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.DESKTOP-8PVJCNB\Downloads\"/>
    </mc:Choice>
  </mc:AlternateContent>
  <bookViews>
    <workbookView xWindow="0" yWindow="0" windowWidth="28800" windowHeight="12180"/>
  </bookViews>
  <sheets>
    <sheet name="Theory" sheetId="1" r:id="rId1"/>
    <sheet name="Graph" sheetId="2" r:id="rId2"/>
    <sheet name="IP" sheetId="3" r:id="rId3"/>
    <sheet name="Test 1" sheetId="4" r:id="rId4"/>
    <sheet name="Test 2" sheetId="5" r:id="rId5"/>
    <sheet name="IP1" sheetId="6" r:id="rId6"/>
    <sheet name="IP2" sheetId="7" r:id="rId7"/>
    <sheet name="ESM" sheetId="8" r:id="rId8"/>
    <sheet name="Final Attainment" sheetId="9" r:id="rId9"/>
    <sheet name="Export" sheetId="10" r:id="rId10"/>
  </sheets>
  <calcPr calcId="162913"/>
</workbook>
</file>

<file path=xl/calcChain.xml><?xml version="1.0" encoding="utf-8"?>
<calcChain xmlns="http://schemas.openxmlformats.org/spreadsheetml/2006/main">
  <c r="B10" i="10" l="1"/>
  <c r="T51" i="9"/>
  <c r="Q51" i="9"/>
  <c r="P51" i="9"/>
  <c r="N51" i="9"/>
  <c r="M51" i="9"/>
  <c r="L51" i="9"/>
  <c r="K51" i="9"/>
  <c r="J51" i="9"/>
  <c r="T50" i="9"/>
  <c r="Q50" i="9"/>
  <c r="P50" i="9"/>
  <c r="N50" i="9"/>
  <c r="M50" i="9"/>
  <c r="L50" i="9"/>
  <c r="K50" i="9"/>
  <c r="T49" i="9"/>
  <c r="Q49" i="9"/>
  <c r="P49" i="9"/>
  <c r="N49" i="9"/>
  <c r="M49" i="9"/>
  <c r="L49" i="9"/>
  <c r="K49" i="9"/>
  <c r="J49" i="9"/>
  <c r="T48" i="9"/>
  <c r="Q48" i="9"/>
  <c r="P48" i="9"/>
  <c r="N48" i="9"/>
  <c r="M48" i="9"/>
  <c r="L48" i="9"/>
  <c r="K48" i="9"/>
  <c r="J48" i="9"/>
  <c r="T47" i="9"/>
  <c r="Q47" i="9"/>
  <c r="P47" i="9"/>
  <c r="N47" i="9"/>
  <c r="M47" i="9"/>
  <c r="L47" i="9"/>
  <c r="K47" i="9"/>
  <c r="J47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S4" i="9"/>
  <c r="K4" i="9"/>
  <c r="X1" i="9"/>
  <c r="B7" i="8" s="1"/>
  <c r="Q81" i="8"/>
  <c r="P81" i="8"/>
  <c r="O81" i="8"/>
  <c r="N81" i="8"/>
  <c r="M81" i="8"/>
  <c r="B81" i="8"/>
  <c r="A81" i="8"/>
  <c r="Q80" i="8"/>
  <c r="P80" i="8"/>
  <c r="O80" i="8"/>
  <c r="N80" i="8"/>
  <c r="M80" i="8"/>
  <c r="B80" i="8"/>
  <c r="A80" i="8"/>
  <c r="Q79" i="8"/>
  <c r="P79" i="8"/>
  <c r="O79" i="8"/>
  <c r="N79" i="8"/>
  <c r="M79" i="8"/>
  <c r="B79" i="8"/>
  <c r="A79" i="8"/>
  <c r="Q78" i="8"/>
  <c r="P78" i="8"/>
  <c r="O78" i="8"/>
  <c r="N78" i="8"/>
  <c r="M78" i="8"/>
  <c r="B78" i="8"/>
  <c r="A78" i="8"/>
  <c r="Q77" i="8"/>
  <c r="P77" i="8"/>
  <c r="O77" i="8"/>
  <c r="N77" i="8"/>
  <c r="M77" i="8"/>
  <c r="B77" i="8"/>
  <c r="A77" i="8"/>
  <c r="Q76" i="8"/>
  <c r="P76" i="8"/>
  <c r="O76" i="8"/>
  <c r="N76" i="8"/>
  <c r="M76" i="8"/>
  <c r="B76" i="8"/>
  <c r="A76" i="8"/>
  <c r="Q75" i="8"/>
  <c r="P75" i="8"/>
  <c r="O75" i="8"/>
  <c r="N75" i="8"/>
  <c r="M75" i="8"/>
  <c r="B75" i="8"/>
  <c r="A75" i="8"/>
  <c r="Q74" i="8"/>
  <c r="P74" i="8"/>
  <c r="O74" i="8"/>
  <c r="N74" i="8"/>
  <c r="M74" i="8"/>
  <c r="B74" i="8"/>
  <c r="A74" i="8"/>
  <c r="Q73" i="8"/>
  <c r="P73" i="8"/>
  <c r="O73" i="8"/>
  <c r="N73" i="8"/>
  <c r="M73" i="8"/>
  <c r="B73" i="8"/>
  <c r="A73" i="8"/>
  <c r="Q72" i="8"/>
  <c r="P72" i="8"/>
  <c r="O72" i="8"/>
  <c r="N72" i="8"/>
  <c r="M72" i="8"/>
  <c r="B72" i="8"/>
  <c r="A72" i="8"/>
  <c r="Q71" i="8"/>
  <c r="P71" i="8"/>
  <c r="O71" i="8"/>
  <c r="N71" i="8"/>
  <c r="M71" i="8"/>
  <c r="B71" i="8"/>
  <c r="A71" i="8"/>
  <c r="Q70" i="8"/>
  <c r="P70" i="8"/>
  <c r="O70" i="8"/>
  <c r="N70" i="8"/>
  <c r="M70" i="8"/>
  <c r="B70" i="8"/>
  <c r="A70" i="8"/>
  <c r="Q69" i="8"/>
  <c r="P69" i="8"/>
  <c r="O69" i="8"/>
  <c r="N69" i="8"/>
  <c r="M69" i="8"/>
  <c r="B69" i="8"/>
  <c r="A69" i="8"/>
  <c r="Q68" i="8"/>
  <c r="P68" i="8"/>
  <c r="O68" i="8"/>
  <c r="N68" i="8"/>
  <c r="M68" i="8"/>
  <c r="B68" i="8"/>
  <c r="A68" i="8"/>
  <c r="Q67" i="8"/>
  <c r="P67" i="8"/>
  <c r="O67" i="8"/>
  <c r="N67" i="8"/>
  <c r="M67" i="8"/>
  <c r="B67" i="8"/>
  <c r="A67" i="8"/>
  <c r="Q66" i="8"/>
  <c r="P66" i="8"/>
  <c r="O66" i="8"/>
  <c r="N66" i="8"/>
  <c r="M66" i="8"/>
  <c r="B66" i="8"/>
  <c r="A66" i="8"/>
  <c r="Q65" i="8"/>
  <c r="P65" i="8"/>
  <c r="O65" i="8"/>
  <c r="N65" i="8"/>
  <c r="M65" i="8"/>
  <c r="B65" i="8"/>
  <c r="A65" i="8"/>
  <c r="Q64" i="8"/>
  <c r="P64" i="8"/>
  <c r="O64" i="8"/>
  <c r="N64" i="8"/>
  <c r="M64" i="8"/>
  <c r="B64" i="8"/>
  <c r="A64" i="8"/>
  <c r="Q63" i="8"/>
  <c r="P63" i="8"/>
  <c r="O63" i="8"/>
  <c r="N63" i="8"/>
  <c r="M63" i="8"/>
  <c r="B63" i="8"/>
  <c r="A63" i="8"/>
  <c r="Q62" i="8"/>
  <c r="P62" i="8"/>
  <c r="O62" i="8"/>
  <c r="N62" i="8"/>
  <c r="M62" i="8"/>
  <c r="B62" i="8"/>
  <c r="A62" i="8"/>
  <c r="Q61" i="8"/>
  <c r="P61" i="8"/>
  <c r="O61" i="8"/>
  <c r="N61" i="8"/>
  <c r="M61" i="8"/>
  <c r="B61" i="8"/>
  <c r="A61" i="8"/>
  <c r="Q60" i="8"/>
  <c r="P60" i="8"/>
  <c r="O60" i="8"/>
  <c r="N60" i="8"/>
  <c r="M60" i="8"/>
  <c r="B60" i="8"/>
  <c r="A60" i="8"/>
  <c r="Q59" i="8"/>
  <c r="P59" i="8"/>
  <c r="O59" i="8"/>
  <c r="N59" i="8"/>
  <c r="M59" i="8"/>
  <c r="B59" i="8"/>
  <c r="A59" i="8"/>
  <c r="Q58" i="8"/>
  <c r="P58" i="8"/>
  <c r="O58" i="8"/>
  <c r="N58" i="8"/>
  <c r="M58" i="8"/>
  <c r="B58" i="8"/>
  <c r="A58" i="8"/>
  <c r="Q57" i="8"/>
  <c r="P57" i="8"/>
  <c r="O57" i="8"/>
  <c r="N57" i="8"/>
  <c r="M57" i="8"/>
  <c r="B57" i="8"/>
  <c r="A57" i="8"/>
  <c r="Q56" i="8"/>
  <c r="P56" i="8"/>
  <c r="O56" i="8"/>
  <c r="N56" i="8"/>
  <c r="M56" i="8"/>
  <c r="B56" i="8"/>
  <c r="A56" i="8"/>
  <c r="Q55" i="8"/>
  <c r="P55" i="8"/>
  <c r="O55" i="8"/>
  <c r="N55" i="8"/>
  <c r="M55" i="8"/>
  <c r="B55" i="8"/>
  <c r="A55" i="8"/>
  <c r="Q54" i="8"/>
  <c r="P54" i="8"/>
  <c r="O54" i="8"/>
  <c r="N54" i="8"/>
  <c r="M54" i="8"/>
  <c r="B54" i="8"/>
  <c r="A54" i="8"/>
  <c r="Q53" i="8"/>
  <c r="P53" i="8"/>
  <c r="O53" i="8"/>
  <c r="N53" i="8"/>
  <c r="M53" i="8"/>
  <c r="B53" i="8"/>
  <c r="A53" i="8"/>
  <c r="Q52" i="8"/>
  <c r="P52" i="8"/>
  <c r="O52" i="8"/>
  <c r="N52" i="8"/>
  <c r="M52" i="8"/>
  <c r="B52" i="8"/>
  <c r="A52" i="8"/>
  <c r="Q51" i="8"/>
  <c r="P51" i="8"/>
  <c r="O51" i="8"/>
  <c r="N51" i="8"/>
  <c r="M51" i="8"/>
  <c r="B51" i="8"/>
  <c r="A51" i="8"/>
  <c r="Q50" i="8"/>
  <c r="P50" i="8"/>
  <c r="O50" i="8"/>
  <c r="N50" i="8"/>
  <c r="M50" i="8"/>
  <c r="B50" i="8"/>
  <c r="A50" i="8"/>
  <c r="Q49" i="8"/>
  <c r="P49" i="8"/>
  <c r="O49" i="8"/>
  <c r="N49" i="8"/>
  <c r="M49" i="8"/>
  <c r="B49" i="8"/>
  <c r="A49" i="8"/>
  <c r="Q48" i="8"/>
  <c r="P48" i="8"/>
  <c r="O48" i="8"/>
  <c r="N48" i="8"/>
  <c r="M48" i="8"/>
  <c r="B48" i="8"/>
  <c r="A48" i="8"/>
  <c r="Q47" i="8"/>
  <c r="P47" i="8"/>
  <c r="O47" i="8"/>
  <c r="N47" i="8"/>
  <c r="M47" i="8"/>
  <c r="B47" i="8"/>
  <c r="A47" i="8"/>
  <c r="Q46" i="8"/>
  <c r="P46" i="8"/>
  <c r="O46" i="8"/>
  <c r="N46" i="8"/>
  <c r="M46" i="8"/>
  <c r="B46" i="8"/>
  <c r="A46" i="8"/>
  <c r="Q45" i="8"/>
  <c r="P45" i="8"/>
  <c r="O45" i="8"/>
  <c r="N45" i="8"/>
  <c r="M45" i="8"/>
  <c r="B45" i="8"/>
  <c r="A45" i="8"/>
  <c r="Q44" i="8"/>
  <c r="P44" i="8"/>
  <c r="O44" i="8"/>
  <c r="N44" i="8"/>
  <c r="M44" i="8"/>
  <c r="B44" i="8"/>
  <c r="A44" i="8"/>
  <c r="Q43" i="8"/>
  <c r="P43" i="8"/>
  <c r="O43" i="8"/>
  <c r="N43" i="8"/>
  <c r="M43" i="8"/>
  <c r="B43" i="8"/>
  <c r="A43" i="8"/>
  <c r="Q42" i="8"/>
  <c r="P42" i="8"/>
  <c r="O42" i="8"/>
  <c r="N42" i="8"/>
  <c r="M42" i="8"/>
  <c r="B42" i="8"/>
  <c r="A42" i="8"/>
  <c r="Q41" i="8"/>
  <c r="P41" i="8"/>
  <c r="O41" i="8"/>
  <c r="N41" i="8"/>
  <c r="M41" i="8"/>
  <c r="B41" i="8"/>
  <c r="A41" i="8"/>
  <c r="Q40" i="8"/>
  <c r="P40" i="8"/>
  <c r="O40" i="8"/>
  <c r="N40" i="8"/>
  <c r="M40" i="8"/>
  <c r="B40" i="8"/>
  <c r="A40" i="8"/>
  <c r="Q39" i="8"/>
  <c r="P39" i="8"/>
  <c r="O39" i="8"/>
  <c r="N39" i="8"/>
  <c r="M39" i="8"/>
  <c r="B39" i="8"/>
  <c r="A39" i="8"/>
  <c r="Q38" i="8"/>
  <c r="P38" i="8"/>
  <c r="O38" i="8"/>
  <c r="N38" i="8"/>
  <c r="M38" i="8"/>
  <c r="B38" i="8"/>
  <c r="A38" i="8"/>
  <c r="Q37" i="8"/>
  <c r="P37" i="8"/>
  <c r="O37" i="8"/>
  <c r="N37" i="8"/>
  <c r="M37" i="8"/>
  <c r="B37" i="8"/>
  <c r="A37" i="8"/>
  <c r="Q36" i="8"/>
  <c r="P36" i="8"/>
  <c r="O36" i="8"/>
  <c r="N36" i="8"/>
  <c r="M36" i="8"/>
  <c r="B36" i="8"/>
  <c r="A36" i="8"/>
  <c r="Q35" i="8"/>
  <c r="P35" i="8"/>
  <c r="O35" i="8"/>
  <c r="N35" i="8"/>
  <c r="M35" i="8"/>
  <c r="B35" i="8"/>
  <c r="A35" i="8"/>
  <c r="Q34" i="8"/>
  <c r="P34" i="8"/>
  <c r="O34" i="8"/>
  <c r="N34" i="8"/>
  <c r="M34" i="8"/>
  <c r="B34" i="8"/>
  <c r="A34" i="8"/>
  <c r="Q33" i="8"/>
  <c r="P33" i="8"/>
  <c r="O33" i="8"/>
  <c r="N33" i="8"/>
  <c r="M33" i="8"/>
  <c r="B33" i="8"/>
  <c r="A33" i="8"/>
  <c r="Q32" i="8"/>
  <c r="P32" i="8"/>
  <c r="O32" i="8"/>
  <c r="N32" i="8"/>
  <c r="M32" i="8"/>
  <c r="B32" i="8"/>
  <c r="A32" i="8"/>
  <c r="Q31" i="8"/>
  <c r="P31" i="8"/>
  <c r="O31" i="8"/>
  <c r="N31" i="8"/>
  <c r="M31" i="8"/>
  <c r="B31" i="8"/>
  <c r="A31" i="8"/>
  <c r="Q30" i="8"/>
  <c r="P30" i="8"/>
  <c r="O30" i="8"/>
  <c r="N30" i="8"/>
  <c r="M30" i="8"/>
  <c r="B30" i="8"/>
  <c r="A30" i="8"/>
  <c r="Q29" i="8"/>
  <c r="P29" i="8"/>
  <c r="O29" i="8"/>
  <c r="N29" i="8"/>
  <c r="S29" i="8" s="1"/>
  <c r="M29" i="8"/>
  <c r="B29" i="8"/>
  <c r="A29" i="8"/>
  <c r="Q28" i="8"/>
  <c r="P28" i="8"/>
  <c r="O28" i="8"/>
  <c r="N28" i="8"/>
  <c r="M28" i="8"/>
  <c r="B28" i="8"/>
  <c r="A28" i="8"/>
  <c r="Q27" i="8"/>
  <c r="P27" i="8"/>
  <c r="O27" i="8"/>
  <c r="N27" i="8"/>
  <c r="M27" i="8"/>
  <c r="B27" i="8"/>
  <c r="A27" i="8"/>
  <c r="Q26" i="8"/>
  <c r="P26" i="8"/>
  <c r="O26" i="8"/>
  <c r="N26" i="8"/>
  <c r="M26" i="8"/>
  <c r="B26" i="8"/>
  <c r="A26" i="8"/>
  <c r="Q25" i="8"/>
  <c r="P25" i="8"/>
  <c r="O25" i="8"/>
  <c r="N25" i="8"/>
  <c r="M25" i="8"/>
  <c r="B25" i="8"/>
  <c r="A25" i="8"/>
  <c r="S24" i="8"/>
  <c r="Q24" i="8"/>
  <c r="P24" i="8"/>
  <c r="O24" i="8"/>
  <c r="N24" i="8"/>
  <c r="M24" i="8"/>
  <c r="B24" i="8"/>
  <c r="A24" i="8"/>
  <c r="T23" i="8"/>
  <c r="Q23" i="8"/>
  <c r="P23" i="8"/>
  <c r="O23" i="8"/>
  <c r="N23" i="8"/>
  <c r="M23" i="8"/>
  <c r="B23" i="8"/>
  <c r="A23" i="8"/>
  <c r="T22" i="8"/>
  <c r="Q22" i="8"/>
  <c r="P22" i="8"/>
  <c r="O22" i="8"/>
  <c r="N22" i="8"/>
  <c r="M22" i="8"/>
  <c r="B22" i="8"/>
  <c r="A22" i="8"/>
  <c r="Q21" i="8"/>
  <c r="P21" i="8"/>
  <c r="O21" i="8"/>
  <c r="N21" i="8"/>
  <c r="M21" i="8"/>
  <c r="B21" i="8"/>
  <c r="A21" i="8"/>
  <c r="Q20" i="8"/>
  <c r="P20" i="8"/>
  <c r="O20" i="8"/>
  <c r="N20" i="8"/>
  <c r="M20" i="8"/>
  <c r="B20" i="8"/>
  <c r="A20" i="8"/>
  <c r="Q19" i="8"/>
  <c r="P19" i="8"/>
  <c r="O19" i="8"/>
  <c r="T19" i="8" s="1"/>
  <c r="N19" i="8"/>
  <c r="M19" i="8"/>
  <c r="B19" i="8"/>
  <c r="A19" i="8"/>
  <c r="S18" i="8"/>
  <c r="Q18" i="8"/>
  <c r="P18" i="8"/>
  <c r="U18" i="8" s="1"/>
  <c r="O18" i="8"/>
  <c r="N18" i="8"/>
  <c r="M18" i="8"/>
  <c r="B18" i="8"/>
  <c r="A18" i="8"/>
  <c r="Q17" i="8"/>
  <c r="P17" i="8"/>
  <c r="O17" i="8"/>
  <c r="N17" i="8"/>
  <c r="M17" i="8"/>
  <c r="B17" i="8"/>
  <c r="A17" i="8"/>
  <c r="T16" i="8"/>
  <c r="S16" i="8"/>
  <c r="R16" i="8"/>
  <c r="Q16" i="8"/>
  <c r="P16" i="8"/>
  <c r="O16" i="8"/>
  <c r="N16" i="8"/>
  <c r="M16" i="8"/>
  <c r="B16" i="8"/>
  <c r="E11" i="8" s="1"/>
  <c r="A16" i="8"/>
  <c r="T10" i="8"/>
  <c r="E10" i="8"/>
  <c r="S64" i="8" s="1"/>
  <c r="V9" i="8"/>
  <c r="U9" i="8"/>
  <c r="T9" i="8"/>
  <c r="S9" i="8"/>
  <c r="R9" i="8"/>
  <c r="S4" i="8"/>
  <c r="K4" i="8"/>
  <c r="G4" i="8"/>
  <c r="C4" i="8"/>
  <c r="A2" i="8"/>
  <c r="A1" i="8"/>
  <c r="Q81" i="7"/>
  <c r="P81" i="7"/>
  <c r="O81" i="7"/>
  <c r="N81" i="7"/>
  <c r="B81" i="7"/>
  <c r="A81" i="7"/>
  <c r="Q80" i="7"/>
  <c r="P80" i="7"/>
  <c r="O80" i="7"/>
  <c r="N80" i="7"/>
  <c r="B80" i="7"/>
  <c r="A80" i="7"/>
  <c r="Q79" i="7"/>
  <c r="P79" i="7"/>
  <c r="O79" i="7"/>
  <c r="N79" i="7"/>
  <c r="B79" i="7"/>
  <c r="A79" i="7"/>
  <c r="Q78" i="7"/>
  <c r="P78" i="7"/>
  <c r="O78" i="7"/>
  <c r="N78" i="7"/>
  <c r="B78" i="7"/>
  <c r="A78" i="7"/>
  <c r="Q77" i="7"/>
  <c r="P77" i="7"/>
  <c r="O77" i="7"/>
  <c r="N77" i="7"/>
  <c r="B77" i="7"/>
  <c r="A77" i="7"/>
  <c r="Q76" i="7"/>
  <c r="P76" i="7"/>
  <c r="O76" i="7"/>
  <c r="N76" i="7"/>
  <c r="B76" i="7"/>
  <c r="A76" i="7"/>
  <c r="Q75" i="7"/>
  <c r="P75" i="7"/>
  <c r="O75" i="7"/>
  <c r="N75" i="7"/>
  <c r="B75" i="7"/>
  <c r="A75" i="7"/>
  <c r="Q74" i="7"/>
  <c r="P74" i="7"/>
  <c r="O74" i="7"/>
  <c r="N74" i="7"/>
  <c r="B74" i="7"/>
  <c r="A74" i="7"/>
  <c r="Q73" i="7"/>
  <c r="P73" i="7"/>
  <c r="O73" i="7"/>
  <c r="N73" i="7"/>
  <c r="B73" i="7"/>
  <c r="A73" i="7"/>
  <c r="Q72" i="7"/>
  <c r="P72" i="7"/>
  <c r="O72" i="7"/>
  <c r="N72" i="7"/>
  <c r="B72" i="7"/>
  <c r="A72" i="7"/>
  <c r="Q71" i="7"/>
  <c r="P71" i="7"/>
  <c r="O71" i="7"/>
  <c r="N71" i="7"/>
  <c r="B71" i="7"/>
  <c r="A71" i="7"/>
  <c r="Q70" i="7"/>
  <c r="P70" i="7"/>
  <c r="O70" i="7"/>
  <c r="N70" i="7"/>
  <c r="B70" i="7"/>
  <c r="A70" i="7"/>
  <c r="Q69" i="7"/>
  <c r="P69" i="7"/>
  <c r="O69" i="7"/>
  <c r="N69" i="7"/>
  <c r="B69" i="7"/>
  <c r="A69" i="7"/>
  <c r="Q68" i="7"/>
  <c r="P68" i="7"/>
  <c r="O68" i="7"/>
  <c r="N68" i="7"/>
  <c r="B68" i="7"/>
  <c r="A68" i="7"/>
  <c r="Q67" i="7"/>
  <c r="P67" i="7"/>
  <c r="O67" i="7"/>
  <c r="N67" i="7"/>
  <c r="B67" i="7"/>
  <c r="A67" i="7"/>
  <c r="Q66" i="7"/>
  <c r="P66" i="7"/>
  <c r="O66" i="7"/>
  <c r="N66" i="7"/>
  <c r="B66" i="7"/>
  <c r="A66" i="7"/>
  <c r="Q65" i="7"/>
  <c r="P65" i="7"/>
  <c r="O65" i="7"/>
  <c r="N65" i="7"/>
  <c r="B65" i="7"/>
  <c r="A65" i="7"/>
  <c r="Q64" i="7"/>
  <c r="P64" i="7"/>
  <c r="O64" i="7"/>
  <c r="N64" i="7"/>
  <c r="B64" i="7"/>
  <c r="A64" i="7"/>
  <c r="Q63" i="7"/>
  <c r="P63" i="7"/>
  <c r="O63" i="7"/>
  <c r="N63" i="7"/>
  <c r="B63" i="7"/>
  <c r="A63" i="7"/>
  <c r="Q62" i="7"/>
  <c r="P62" i="7"/>
  <c r="O62" i="7"/>
  <c r="N62" i="7"/>
  <c r="B62" i="7"/>
  <c r="A62" i="7"/>
  <c r="Q61" i="7"/>
  <c r="P61" i="7"/>
  <c r="O61" i="7"/>
  <c r="N61" i="7"/>
  <c r="B61" i="7"/>
  <c r="A61" i="7"/>
  <c r="Q60" i="7"/>
  <c r="P60" i="7"/>
  <c r="O60" i="7"/>
  <c r="N60" i="7"/>
  <c r="B60" i="7"/>
  <c r="A60" i="7"/>
  <c r="Q59" i="7"/>
  <c r="P59" i="7"/>
  <c r="O59" i="7"/>
  <c r="N59" i="7"/>
  <c r="B59" i="7"/>
  <c r="A59" i="7"/>
  <c r="Q58" i="7"/>
  <c r="P58" i="7"/>
  <c r="O58" i="7"/>
  <c r="N58" i="7"/>
  <c r="B58" i="7"/>
  <c r="A58" i="7"/>
  <c r="Q57" i="7"/>
  <c r="P57" i="7"/>
  <c r="O57" i="7"/>
  <c r="N57" i="7"/>
  <c r="B57" i="7"/>
  <c r="A57" i="7"/>
  <c r="Q56" i="7"/>
  <c r="P56" i="7"/>
  <c r="O56" i="7"/>
  <c r="N56" i="7"/>
  <c r="B56" i="7"/>
  <c r="A56" i="7"/>
  <c r="Q55" i="7"/>
  <c r="P55" i="7"/>
  <c r="O55" i="7"/>
  <c r="N55" i="7"/>
  <c r="B55" i="7"/>
  <c r="A55" i="7"/>
  <c r="Q54" i="7"/>
  <c r="P54" i="7"/>
  <c r="O54" i="7"/>
  <c r="N54" i="7"/>
  <c r="B54" i="7"/>
  <c r="A54" i="7"/>
  <c r="Q53" i="7"/>
  <c r="P53" i="7"/>
  <c r="O53" i="7"/>
  <c r="N53" i="7"/>
  <c r="B53" i="7"/>
  <c r="A53" i="7"/>
  <c r="Q52" i="7"/>
  <c r="P52" i="7"/>
  <c r="O52" i="7"/>
  <c r="N52" i="7"/>
  <c r="B52" i="7"/>
  <c r="A52" i="7"/>
  <c r="Q51" i="7"/>
  <c r="P51" i="7"/>
  <c r="O51" i="7"/>
  <c r="N51" i="7"/>
  <c r="B51" i="7"/>
  <c r="A51" i="7"/>
  <c r="Q50" i="7"/>
  <c r="P50" i="7"/>
  <c r="O50" i="7"/>
  <c r="N50" i="7"/>
  <c r="B50" i="7"/>
  <c r="A50" i="7"/>
  <c r="Q49" i="7"/>
  <c r="P49" i="7"/>
  <c r="O49" i="7"/>
  <c r="N49" i="7"/>
  <c r="B49" i="7"/>
  <c r="A49" i="7"/>
  <c r="Q48" i="7"/>
  <c r="P48" i="7"/>
  <c r="O48" i="7"/>
  <c r="N48" i="7"/>
  <c r="B48" i="7"/>
  <c r="A48" i="7"/>
  <c r="Q47" i="7"/>
  <c r="P47" i="7"/>
  <c r="O47" i="7"/>
  <c r="N47" i="7"/>
  <c r="B47" i="7"/>
  <c r="A47" i="7"/>
  <c r="Q46" i="7"/>
  <c r="P46" i="7"/>
  <c r="O46" i="7"/>
  <c r="N46" i="7"/>
  <c r="B46" i="7"/>
  <c r="A46" i="7"/>
  <c r="Q45" i="7"/>
  <c r="P45" i="7"/>
  <c r="O45" i="7"/>
  <c r="N45" i="7"/>
  <c r="B45" i="7"/>
  <c r="A45" i="7"/>
  <c r="Q44" i="7"/>
  <c r="P44" i="7"/>
  <c r="O44" i="7"/>
  <c r="N44" i="7"/>
  <c r="B44" i="7"/>
  <c r="A44" i="7"/>
  <c r="Q43" i="7"/>
  <c r="P43" i="7"/>
  <c r="O43" i="7"/>
  <c r="N43" i="7"/>
  <c r="B43" i="7"/>
  <c r="A43" i="7"/>
  <c r="Q42" i="7"/>
  <c r="P42" i="7"/>
  <c r="O42" i="7"/>
  <c r="N42" i="7"/>
  <c r="B42" i="7"/>
  <c r="A42" i="7"/>
  <c r="Q41" i="7"/>
  <c r="P41" i="7"/>
  <c r="O41" i="7"/>
  <c r="N41" i="7"/>
  <c r="B41" i="7"/>
  <c r="A41" i="7"/>
  <c r="Q40" i="7"/>
  <c r="P40" i="7"/>
  <c r="O40" i="7"/>
  <c r="N40" i="7"/>
  <c r="B40" i="7"/>
  <c r="A40" i="7"/>
  <c r="Q39" i="7"/>
  <c r="P39" i="7"/>
  <c r="O39" i="7"/>
  <c r="N39" i="7"/>
  <c r="B39" i="7"/>
  <c r="A39" i="7"/>
  <c r="Q38" i="7"/>
  <c r="P38" i="7"/>
  <c r="O38" i="7"/>
  <c r="N38" i="7"/>
  <c r="B38" i="7"/>
  <c r="A38" i="7"/>
  <c r="Q37" i="7"/>
  <c r="P37" i="7"/>
  <c r="O37" i="7"/>
  <c r="N37" i="7"/>
  <c r="B37" i="7"/>
  <c r="A37" i="7"/>
  <c r="Q36" i="7"/>
  <c r="P36" i="7"/>
  <c r="O36" i="7"/>
  <c r="N36" i="7"/>
  <c r="B36" i="7"/>
  <c r="A36" i="7"/>
  <c r="Q35" i="7"/>
  <c r="P35" i="7"/>
  <c r="O35" i="7"/>
  <c r="N35" i="7"/>
  <c r="B35" i="7"/>
  <c r="A35" i="7"/>
  <c r="Q34" i="7"/>
  <c r="P34" i="7"/>
  <c r="O34" i="7"/>
  <c r="N34" i="7"/>
  <c r="B34" i="7"/>
  <c r="A34" i="7"/>
  <c r="Q33" i="7"/>
  <c r="P33" i="7"/>
  <c r="O33" i="7"/>
  <c r="N33" i="7"/>
  <c r="B33" i="7"/>
  <c r="A33" i="7"/>
  <c r="Q32" i="7"/>
  <c r="P32" i="7"/>
  <c r="O32" i="7"/>
  <c r="N32" i="7"/>
  <c r="B32" i="7"/>
  <c r="A32" i="7"/>
  <c r="Q31" i="7"/>
  <c r="P31" i="7"/>
  <c r="O31" i="7"/>
  <c r="N31" i="7"/>
  <c r="B31" i="7"/>
  <c r="A31" i="7"/>
  <c r="Q30" i="7"/>
  <c r="P30" i="7"/>
  <c r="O30" i="7"/>
  <c r="N30" i="7"/>
  <c r="B30" i="7"/>
  <c r="A30" i="7"/>
  <c r="Q29" i="7"/>
  <c r="P29" i="7"/>
  <c r="O29" i="7"/>
  <c r="N29" i="7"/>
  <c r="B29" i="7"/>
  <c r="A29" i="7"/>
  <c r="Q28" i="7"/>
  <c r="P28" i="7"/>
  <c r="O28" i="7"/>
  <c r="N28" i="7"/>
  <c r="B28" i="7"/>
  <c r="A28" i="7"/>
  <c r="Q27" i="7"/>
  <c r="P27" i="7"/>
  <c r="O27" i="7"/>
  <c r="N27" i="7"/>
  <c r="B27" i="7"/>
  <c r="A27" i="7"/>
  <c r="Q26" i="7"/>
  <c r="P26" i="7"/>
  <c r="O26" i="7"/>
  <c r="N26" i="7"/>
  <c r="B26" i="7"/>
  <c r="A26" i="7"/>
  <c r="Q25" i="7"/>
  <c r="P25" i="7"/>
  <c r="O25" i="7"/>
  <c r="N25" i="7"/>
  <c r="B25" i="7"/>
  <c r="A25" i="7"/>
  <c r="Q24" i="7"/>
  <c r="P24" i="7"/>
  <c r="O24" i="7"/>
  <c r="N24" i="7"/>
  <c r="B24" i="7"/>
  <c r="A24" i="7"/>
  <c r="Q23" i="7"/>
  <c r="P23" i="7"/>
  <c r="O23" i="7"/>
  <c r="N23" i="7"/>
  <c r="B23" i="7"/>
  <c r="A23" i="7"/>
  <c r="Q22" i="7"/>
  <c r="P22" i="7"/>
  <c r="O22" i="7"/>
  <c r="N22" i="7"/>
  <c r="B22" i="7"/>
  <c r="A22" i="7"/>
  <c r="Q21" i="7"/>
  <c r="P21" i="7"/>
  <c r="O21" i="7"/>
  <c r="N21" i="7"/>
  <c r="B21" i="7"/>
  <c r="A21" i="7"/>
  <c r="Q20" i="7"/>
  <c r="P20" i="7"/>
  <c r="O20" i="7"/>
  <c r="N20" i="7"/>
  <c r="B20" i="7"/>
  <c r="E11" i="7" s="1"/>
  <c r="A20" i="7"/>
  <c r="Q19" i="7"/>
  <c r="P19" i="7"/>
  <c r="O19" i="7"/>
  <c r="N19" i="7"/>
  <c r="B19" i="7"/>
  <c r="A19" i="7"/>
  <c r="Q18" i="7"/>
  <c r="P18" i="7"/>
  <c r="O18" i="7"/>
  <c r="N18" i="7"/>
  <c r="B18" i="7"/>
  <c r="A18" i="7"/>
  <c r="Q17" i="7"/>
  <c r="P17" i="7"/>
  <c r="O17" i="7"/>
  <c r="N17" i="7"/>
  <c r="B17" i="7"/>
  <c r="A17" i="7"/>
  <c r="Q16" i="7"/>
  <c r="P16" i="7"/>
  <c r="O16" i="7"/>
  <c r="N16" i="7"/>
  <c r="B16" i="7"/>
  <c r="A16" i="7"/>
  <c r="R10" i="7"/>
  <c r="R12" i="7" s="1"/>
  <c r="E10" i="7"/>
  <c r="V10" i="7" s="1"/>
  <c r="V9" i="7"/>
  <c r="U9" i="7"/>
  <c r="E12" i="7" s="1"/>
  <c r="T9" i="7"/>
  <c r="S9" i="7"/>
  <c r="R9" i="7"/>
  <c r="S4" i="7"/>
  <c r="K4" i="7"/>
  <c r="G4" i="7"/>
  <c r="C4" i="7"/>
  <c r="A2" i="7"/>
  <c r="A1" i="7"/>
  <c r="Q81" i="6"/>
  <c r="P81" i="6"/>
  <c r="O81" i="6"/>
  <c r="N81" i="6"/>
  <c r="M81" i="6"/>
  <c r="B81" i="6"/>
  <c r="A81" i="6"/>
  <c r="Q80" i="6"/>
  <c r="P80" i="6"/>
  <c r="O80" i="6"/>
  <c r="N80" i="6"/>
  <c r="M80" i="6"/>
  <c r="B80" i="6"/>
  <c r="A80" i="6"/>
  <c r="Q79" i="6"/>
  <c r="P79" i="6"/>
  <c r="O79" i="6"/>
  <c r="N79" i="6"/>
  <c r="M79" i="6"/>
  <c r="B79" i="6"/>
  <c r="A79" i="6"/>
  <c r="Q78" i="6"/>
  <c r="P78" i="6"/>
  <c r="O78" i="6"/>
  <c r="N78" i="6"/>
  <c r="M78" i="6"/>
  <c r="B78" i="6"/>
  <c r="A78" i="6"/>
  <c r="Q77" i="6"/>
  <c r="P77" i="6"/>
  <c r="O77" i="6"/>
  <c r="N77" i="6"/>
  <c r="M77" i="6"/>
  <c r="B77" i="6"/>
  <c r="A77" i="6"/>
  <c r="Q76" i="6"/>
  <c r="P76" i="6"/>
  <c r="O76" i="6"/>
  <c r="N76" i="6"/>
  <c r="M76" i="6"/>
  <c r="B76" i="6"/>
  <c r="A76" i="6"/>
  <c r="Q75" i="6"/>
  <c r="P75" i="6"/>
  <c r="O75" i="6"/>
  <c r="N75" i="6"/>
  <c r="M75" i="6"/>
  <c r="B75" i="6"/>
  <c r="A75" i="6"/>
  <c r="Q74" i="6"/>
  <c r="P74" i="6"/>
  <c r="O74" i="6"/>
  <c r="N74" i="6"/>
  <c r="M74" i="6"/>
  <c r="B74" i="6"/>
  <c r="A74" i="6"/>
  <c r="Q73" i="6"/>
  <c r="P73" i="6"/>
  <c r="O73" i="6"/>
  <c r="N73" i="6"/>
  <c r="M73" i="6"/>
  <c r="B73" i="6"/>
  <c r="A73" i="6"/>
  <c r="Q72" i="6"/>
  <c r="P72" i="6"/>
  <c r="O72" i="6"/>
  <c r="N72" i="6"/>
  <c r="M72" i="6"/>
  <c r="B72" i="6"/>
  <c r="A72" i="6"/>
  <c r="Q71" i="6"/>
  <c r="P71" i="6"/>
  <c r="O71" i="6"/>
  <c r="N71" i="6"/>
  <c r="M71" i="6"/>
  <c r="B71" i="6"/>
  <c r="A71" i="6"/>
  <c r="Q70" i="6"/>
  <c r="P70" i="6"/>
  <c r="O70" i="6"/>
  <c r="N70" i="6"/>
  <c r="M70" i="6"/>
  <c r="B70" i="6"/>
  <c r="A70" i="6"/>
  <c r="Q69" i="6"/>
  <c r="P69" i="6"/>
  <c r="O69" i="6"/>
  <c r="N69" i="6"/>
  <c r="M69" i="6"/>
  <c r="B69" i="6"/>
  <c r="A69" i="6"/>
  <c r="Q68" i="6"/>
  <c r="P68" i="6"/>
  <c r="O68" i="6"/>
  <c r="N68" i="6"/>
  <c r="M68" i="6"/>
  <c r="B68" i="6"/>
  <c r="A68" i="6"/>
  <c r="Q67" i="6"/>
  <c r="P67" i="6"/>
  <c r="O67" i="6"/>
  <c r="N67" i="6"/>
  <c r="M67" i="6"/>
  <c r="B67" i="6"/>
  <c r="A67" i="6"/>
  <c r="Q66" i="6"/>
  <c r="P66" i="6"/>
  <c r="O66" i="6"/>
  <c r="N66" i="6"/>
  <c r="M66" i="6"/>
  <c r="B66" i="6"/>
  <c r="A66" i="6"/>
  <c r="Q65" i="6"/>
  <c r="P65" i="6"/>
  <c r="O65" i="6"/>
  <c r="N65" i="6"/>
  <c r="M65" i="6"/>
  <c r="B65" i="6"/>
  <c r="A65" i="6"/>
  <c r="Q64" i="6"/>
  <c r="P64" i="6"/>
  <c r="O64" i="6"/>
  <c r="N64" i="6"/>
  <c r="M64" i="6"/>
  <c r="B64" i="6"/>
  <c r="A64" i="6"/>
  <c r="Q63" i="6"/>
  <c r="P63" i="6"/>
  <c r="O63" i="6"/>
  <c r="N63" i="6"/>
  <c r="M63" i="6"/>
  <c r="B63" i="6"/>
  <c r="A63" i="6"/>
  <c r="Q62" i="6"/>
  <c r="P62" i="6"/>
  <c r="O62" i="6"/>
  <c r="N62" i="6"/>
  <c r="M62" i="6"/>
  <c r="B62" i="6"/>
  <c r="A62" i="6"/>
  <c r="Q61" i="6"/>
  <c r="P61" i="6"/>
  <c r="O61" i="6"/>
  <c r="N61" i="6"/>
  <c r="M61" i="6"/>
  <c r="B61" i="6"/>
  <c r="A61" i="6"/>
  <c r="Q60" i="6"/>
  <c r="P60" i="6"/>
  <c r="O60" i="6"/>
  <c r="N60" i="6"/>
  <c r="M60" i="6"/>
  <c r="B60" i="6"/>
  <c r="A60" i="6"/>
  <c r="Q59" i="6"/>
  <c r="P59" i="6"/>
  <c r="O59" i="6"/>
  <c r="N59" i="6"/>
  <c r="M59" i="6"/>
  <c r="B59" i="6"/>
  <c r="A59" i="6"/>
  <c r="Q58" i="6"/>
  <c r="P58" i="6"/>
  <c r="O58" i="6"/>
  <c r="N58" i="6"/>
  <c r="M58" i="6"/>
  <c r="B58" i="6"/>
  <c r="A58" i="6"/>
  <c r="Q57" i="6"/>
  <c r="P57" i="6"/>
  <c r="O57" i="6"/>
  <c r="N57" i="6"/>
  <c r="M57" i="6"/>
  <c r="B57" i="6"/>
  <c r="A57" i="6"/>
  <c r="Q56" i="6"/>
  <c r="P56" i="6"/>
  <c r="O56" i="6"/>
  <c r="N56" i="6"/>
  <c r="M56" i="6"/>
  <c r="B56" i="6"/>
  <c r="A56" i="6"/>
  <c r="Q55" i="6"/>
  <c r="P55" i="6"/>
  <c r="O55" i="6"/>
  <c r="N55" i="6"/>
  <c r="M55" i="6"/>
  <c r="B55" i="6"/>
  <c r="A55" i="6"/>
  <c r="Q54" i="6"/>
  <c r="P54" i="6"/>
  <c r="O54" i="6"/>
  <c r="N54" i="6"/>
  <c r="M54" i="6"/>
  <c r="B54" i="6"/>
  <c r="A54" i="6"/>
  <c r="Q53" i="6"/>
  <c r="P53" i="6"/>
  <c r="O53" i="6"/>
  <c r="N53" i="6"/>
  <c r="M53" i="6"/>
  <c r="B53" i="6"/>
  <c r="A53" i="6"/>
  <c r="Q52" i="6"/>
  <c r="P52" i="6"/>
  <c r="O52" i="6"/>
  <c r="N52" i="6"/>
  <c r="M52" i="6"/>
  <c r="B52" i="6"/>
  <c r="A52" i="6"/>
  <c r="Q51" i="6"/>
  <c r="P51" i="6"/>
  <c r="O51" i="6"/>
  <c r="N51" i="6"/>
  <c r="M51" i="6"/>
  <c r="B51" i="6"/>
  <c r="A51" i="6"/>
  <c r="Q50" i="6"/>
  <c r="P50" i="6"/>
  <c r="O50" i="6"/>
  <c r="N50" i="6"/>
  <c r="M50" i="6"/>
  <c r="B50" i="6"/>
  <c r="A50" i="6"/>
  <c r="Q49" i="6"/>
  <c r="P49" i="6"/>
  <c r="O49" i="6"/>
  <c r="N49" i="6"/>
  <c r="M49" i="6"/>
  <c r="B49" i="6"/>
  <c r="A49" i="6"/>
  <c r="Q48" i="6"/>
  <c r="P48" i="6"/>
  <c r="O48" i="6"/>
  <c r="N48" i="6"/>
  <c r="M48" i="6"/>
  <c r="B48" i="6"/>
  <c r="A48" i="6"/>
  <c r="Q47" i="6"/>
  <c r="P47" i="6"/>
  <c r="O47" i="6"/>
  <c r="N47" i="6"/>
  <c r="M47" i="6"/>
  <c r="B47" i="6"/>
  <c r="A47" i="6"/>
  <c r="Q46" i="6"/>
  <c r="P46" i="6"/>
  <c r="O46" i="6"/>
  <c r="N46" i="6"/>
  <c r="M46" i="6"/>
  <c r="B46" i="6"/>
  <c r="A46" i="6"/>
  <c r="Q45" i="6"/>
  <c r="P45" i="6"/>
  <c r="O45" i="6"/>
  <c r="N45" i="6"/>
  <c r="M45" i="6"/>
  <c r="B45" i="6"/>
  <c r="A45" i="6"/>
  <c r="Q44" i="6"/>
  <c r="P44" i="6"/>
  <c r="O44" i="6"/>
  <c r="N44" i="6"/>
  <c r="M44" i="6"/>
  <c r="B44" i="6"/>
  <c r="A44" i="6"/>
  <c r="Q43" i="6"/>
  <c r="P43" i="6"/>
  <c r="O43" i="6"/>
  <c r="N43" i="6"/>
  <c r="M43" i="6"/>
  <c r="B43" i="6"/>
  <c r="A43" i="6"/>
  <c r="Q42" i="6"/>
  <c r="P42" i="6"/>
  <c r="O42" i="6"/>
  <c r="N42" i="6"/>
  <c r="M42" i="6"/>
  <c r="B42" i="6"/>
  <c r="A42" i="6"/>
  <c r="Q41" i="6"/>
  <c r="P41" i="6"/>
  <c r="O41" i="6"/>
  <c r="N41" i="6"/>
  <c r="M41" i="6"/>
  <c r="B41" i="6"/>
  <c r="A41" i="6"/>
  <c r="Q40" i="6"/>
  <c r="P40" i="6"/>
  <c r="O40" i="6"/>
  <c r="N40" i="6"/>
  <c r="M40" i="6"/>
  <c r="B40" i="6"/>
  <c r="A40" i="6"/>
  <c r="Q39" i="6"/>
  <c r="P39" i="6"/>
  <c r="O39" i="6"/>
  <c r="N39" i="6"/>
  <c r="M39" i="6"/>
  <c r="B39" i="6"/>
  <c r="A39" i="6"/>
  <c r="Q38" i="6"/>
  <c r="P38" i="6"/>
  <c r="O38" i="6"/>
  <c r="N38" i="6"/>
  <c r="M38" i="6"/>
  <c r="B38" i="6"/>
  <c r="A38" i="6"/>
  <c r="Q37" i="6"/>
  <c r="P37" i="6"/>
  <c r="O37" i="6"/>
  <c r="N37" i="6"/>
  <c r="M37" i="6"/>
  <c r="B37" i="6"/>
  <c r="A37" i="6"/>
  <c r="Q36" i="6"/>
  <c r="P36" i="6"/>
  <c r="O36" i="6"/>
  <c r="N36" i="6"/>
  <c r="M36" i="6"/>
  <c r="B36" i="6"/>
  <c r="A36" i="6"/>
  <c r="Q35" i="6"/>
  <c r="P35" i="6"/>
  <c r="O35" i="6"/>
  <c r="N35" i="6"/>
  <c r="M35" i="6"/>
  <c r="B35" i="6"/>
  <c r="A35" i="6"/>
  <c r="Q34" i="6"/>
  <c r="P34" i="6"/>
  <c r="O34" i="6"/>
  <c r="N34" i="6"/>
  <c r="M34" i="6"/>
  <c r="B34" i="6"/>
  <c r="A34" i="6"/>
  <c r="Q33" i="6"/>
  <c r="P33" i="6"/>
  <c r="O33" i="6"/>
  <c r="N33" i="6"/>
  <c r="M33" i="6"/>
  <c r="B33" i="6"/>
  <c r="A33" i="6"/>
  <c r="Q32" i="6"/>
  <c r="P32" i="6"/>
  <c r="O32" i="6"/>
  <c r="N32" i="6"/>
  <c r="M32" i="6"/>
  <c r="B32" i="6"/>
  <c r="A32" i="6"/>
  <c r="Q31" i="6"/>
  <c r="P31" i="6"/>
  <c r="O31" i="6"/>
  <c r="N31" i="6"/>
  <c r="M31" i="6"/>
  <c r="B31" i="6"/>
  <c r="A31" i="6"/>
  <c r="Q30" i="6"/>
  <c r="P30" i="6"/>
  <c r="O30" i="6"/>
  <c r="N30" i="6"/>
  <c r="M30" i="6"/>
  <c r="B30" i="6"/>
  <c r="A30" i="6"/>
  <c r="Q29" i="6"/>
  <c r="P29" i="6"/>
  <c r="O29" i="6"/>
  <c r="N29" i="6"/>
  <c r="M29" i="6"/>
  <c r="B29" i="6"/>
  <c r="A29" i="6"/>
  <c r="Q28" i="6"/>
  <c r="P28" i="6"/>
  <c r="O28" i="6"/>
  <c r="N28" i="6"/>
  <c r="M28" i="6"/>
  <c r="B28" i="6"/>
  <c r="A28" i="6"/>
  <c r="Q27" i="6"/>
  <c r="P27" i="6"/>
  <c r="O27" i="6"/>
  <c r="N27" i="6"/>
  <c r="M27" i="6"/>
  <c r="B27" i="6"/>
  <c r="A27" i="6"/>
  <c r="Q26" i="6"/>
  <c r="P26" i="6"/>
  <c r="O26" i="6"/>
  <c r="N26" i="6"/>
  <c r="M26" i="6"/>
  <c r="B26" i="6"/>
  <c r="A26" i="6"/>
  <c r="Q25" i="6"/>
  <c r="P25" i="6"/>
  <c r="O25" i="6"/>
  <c r="N25" i="6"/>
  <c r="M25" i="6"/>
  <c r="B25" i="6"/>
  <c r="A25" i="6"/>
  <c r="Q24" i="6"/>
  <c r="P24" i="6"/>
  <c r="O24" i="6"/>
  <c r="N24" i="6"/>
  <c r="M24" i="6"/>
  <c r="B24" i="6"/>
  <c r="A24" i="6"/>
  <c r="Q23" i="6"/>
  <c r="P23" i="6"/>
  <c r="O23" i="6"/>
  <c r="N23" i="6"/>
  <c r="M23" i="6"/>
  <c r="B23" i="6"/>
  <c r="A23" i="6"/>
  <c r="Q22" i="6"/>
  <c r="P22" i="6"/>
  <c r="O22" i="6"/>
  <c r="N22" i="6"/>
  <c r="M22" i="6"/>
  <c r="B22" i="6"/>
  <c r="A22" i="6"/>
  <c r="Q21" i="6"/>
  <c r="P21" i="6"/>
  <c r="O21" i="6"/>
  <c r="N21" i="6"/>
  <c r="M21" i="6"/>
  <c r="B21" i="6"/>
  <c r="A21" i="6"/>
  <c r="Q20" i="6"/>
  <c r="P20" i="6"/>
  <c r="O20" i="6"/>
  <c r="N20" i="6"/>
  <c r="M20" i="6"/>
  <c r="B20" i="6"/>
  <c r="A20" i="6"/>
  <c r="Q19" i="6"/>
  <c r="P19" i="6"/>
  <c r="O19" i="6"/>
  <c r="N19" i="6"/>
  <c r="M19" i="6"/>
  <c r="B19" i="6"/>
  <c r="A19" i="6"/>
  <c r="Q18" i="6"/>
  <c r="P18" i="6"/>
  <c r="O18" i="6"/>
  <c r="N18" i="6"/>
  <c r="M18" i="6"/>
  <c r="B18" i="6"/>
  <c r="A18" i="6"/>
  <c r="Q17" i="6"/>
  <c r="P17" i="6"/>
  <c r="O17" i="6"/>
  <c r="N17" i="6"/>
  <c r="M17" i="6"/>
  <c r="B17" i="6"/>
  <c r="A17" i="6"/>
  <c r="Q16" i="6"/>
  <c r="P16" i="6"/>
  <c r="O16" i="6"/>
  <c r="N16" i="6"/>
  <c r="M16" i="6"/>
  <c r="B16" i="6"/>
  <c r="E11" i="6" s="1"/>
  <c r="A16" i="6"/>
  <c r="V10" i="6"/>
  <c r="T10" i="6"/>
  <c r="R10" i="6"/>
  <c r="E10" i="6"/>
  <c r="S10" i="6" s="1"/>
  <c r="V9" i="6"/>
  <c r="U9" i="6"/>
  <c r="T9" i="6"/>
  <c r="S9" i="6"/>
  <c r="R9" i="6"/>
  <c r="R12" i="6" s="1"/>
  <c r="B7" i="6"/>
  <c r="S4" i="6"/>
  <c r="K4" i="6"/>
  <c r="G4" i="6"/>
  <c r="C4" i="6"/>
  <c r="A2" i="6"/>
  <c r="A1" i="6"/>
  <c r="W81" i="5"/>
  <c r="Q81" i="5"/>
  <c r="V81" i="5" s="1"/>
  <c r="P81" i="5"/>
  <c r="O81" i="5"/>
  <c r="N81" i="5"/>
  <c r="B81" i="5"/>
  <c r="A81" i="5"/>
  <c r="W80" i="5"/>
  <c r="Q80" i="5"/>
  <c r="V80" i="5" s="1"/>
  <c r="P80" i="5"/>
  <c r="O80" i="5"/>
  <c r="T80" i="5" s="1"/>
  <c r="N80" i="5"/>
  <c r="B80" i="5"/>
  <c r="A80" i="5"/>
  <c r="W79" i="5"/>
  <c r="Q79" i="5"/>
  <c r="P79" i="5"/>
  <c r="O79" i="5"/>
  <c r="T79" i="5" s="1"/>
  <c r="N79" i="5"/>
  <c r="B79" i="5"/>
  <c r="A79" i="5"/>
  <c r="W78" i="5"/>
  <c r="Q78" i="5"/>
  <c r="P78" i="5"/>
  <c r="O78" i="5"/>
  <c r="T78" i="5" s="1"/>
  <c r="N78" i="5"/>
  <c r="B78" i="5"/>
  <c r="A78" i="5"/>
  <c r="W77" i="5"/>
  <c r="Q77" i="5"/>
  <c r="P77" i="5"/>
  <c r="O77" i="5"/>
  <c r="N77" i="5"/>
  <c r="B77" i="5"/>
  <c r="A77" i="5"/>
  <c r="W76" i="5"/>
  <c r="Q76" i="5"/>
  <c r="P76" i="5"/>
  <c r="O76" i="5"/>
  <c r="N76" i="5"/>
  <c r="B76" i="5"/>
  <c r="A76" i="5"/>
  <c r="W75" i="5"/>
  <c r="Q75" i="5"/>
  <c r="P75" i="5"/>
  <c r="O75" i="5"/>
  <c r="N75" i="5"/>
  <c r="B75" i="5"/>
  <c r="A75" i="5"/>
  <c r="W74" i="5"/>
  <c r="Q74" i="5"/>
  <c r="V74" i="5" s="1"/>
  <c r="P74" i="5"/>
  <c r="O74" i="5"/>
  <c r="N74" i="5"/>
  <c r="B74" i="5"/>
  <c r="A74" i="5"/>
  <c r="W73" i="5"/>
  <c r="Q73" i="5"/>
  <c r="V73" i="5" s="1"/>
  <c r="P73" i="5"/>
  <c r="O73" i="5"/>
  <c r="N73" i="5"/>
  <c r="B73" i="5"/>
  <c r="A73" i="5"/>
  <c r="W72" i="5"/>
  <c r="Q72" i="5"/>
  <c r="V72" i="5" s="1"/>
  <c r="P72" i="5"/>
  <c r="U72" i="5" s="1"/>
  <c r="O72" i="5"/>
  <c r="T72" i="5" s="1"/>
  <c r="N72" i="5"/>
  <c r="B72" i="5"/>
  <c r="A72" i="5"/>
  <c r="W71" i="5"/>
  <c r="Q71" i="5"/>
  <c r="P71" i="5"/>
  <c r="O71" i="5"/>
  <c r="T71" i="5" s="1"/>
  <c r="N71" i="5"/>
  <c r="B71" i="5"/>
  <c r="A71" i="5"/>
  <c r="W70" i="5"/>
  <c r="Q70" i="5"/>
  <c r="P70" i="5"/>
  <c r="O70" i="5"/>
  <c r="T70" i="5" s="1"/>
  <c r="N70" i="5"/>
  <c r="B70" i="5"/>
  <c r="A70" i="5"/>
  <c r="W69" i="5"/>
  <c r="Q69" i="5"/>
  <c r="P69" i="5"/>
  <c r="O69" i="5"/>
  <c r="N69" i="5"/>
  <c r="B69" i="5"/>
  <c r="A69" i="5"/>
  <c r="W68" i="5"/>
  <c r="Q68" i="5"/>
  <c r="P68" i="5"/>
  <c r="O68" i="5"/>
  <c r="N68" i="5"/>
  <c r="B68" i="5"/>
  <c r="A68" i="5"/>
  <c r="W67" i="5"/>
  <c r="Q67" i="5"/>
  <c r="P67" i="5"/>
  <c r="O67" i="5"/>
  <c r="N67" i="5"/>
  <c r="B67" i="5"/>
  <c r="A67" i="5"/>
  <c r="W66" i="5"/>
  <c r="Q66" i="5"/>
  <c r="V66" i="5" s="1"/>
  <c r="P66" i="5"/>
  <c r="O66" i="5"/>
  <c r="N66" i="5"/>
  <c r="B66" i="5"/>
  <c r="A66" i="5"/>
  <c r="W65" i="5"/>
  <c r="Q65" i="5"/>
  <c r="V65" i="5" s="1"/>
  <c r="P65" i="5"/>
  <c r="O65" i="5"/>
  <c r="N65" i="5"/>
  <c r="B65" i="5"/>
  <c r="A65" i="5"/>
  <c r="W64" i="5"/>
  <c r="Q64" i="5"/>
  <c r="V64" i="5" s="1"/>
  <c r="P64" i="5"/>
  <c r="O64" i="5"/>
  <c r="T64" i="5" s="1"/>
  <c r="N64" i="5"/>
  <c r="B64" i="5"/>
  <c r="A64" i="5"/>
  <c r="W63" i="5"/>
  <c r="Q63" i="5"/>
  <c r="P63" i="5"/>
  <c r="O63" i="5"/>
  <c r="T63" i="5" s="1"/>
  <c r="N63" i="5"/>
  <c r="B63" i="5"/>
  <c r="A63" i="5"/>
  <c r="W62" i="5"/>
  <c r="Q62" i="5"/>
  <c r="P62" i="5"/>
  <c r="O62" i="5"/>
  <c r="T62" i="5" s="1"/>
  <c r="N62" i="5"/>
  <c r="B62" i="5"/>
  <c r="A62" i="5"/>
  <c r="W61" i="5"/>
  <c r="Q61" i="5"/>
  <c r="P61" i="5"/>
  <c r="O61" i="5"/>
  <c r="N61" i="5"/>
  <c r="B61" i="5"/>
  <c r="A61" i="5"/>
  <c r="W60" i="5"/>
  <c r="Q60" i="5"/>
  <c r="P60" i="5"/>
  <c r="O60" i="5"/>
  <c r="N60" i="5"/>
  <c r="B60" i="5"/>
  <c r="A60" i="5"/>
  <c r="W59" i="5"/>
  <c r="Q59" i="5"/>
  <c r="P59" i="5"/>
  <c r="O59" i="5"/>
  <c r="N59" i="5"/>
  <c r="B59" i="5"/>
  <c r="A59" i="5"/>
  <c r="W58" i="5"/>
  <c r="Q58" i="5"/>
  <c r="V58" i="5" s="1"/>
  <c r="P58" i="5"/>
  <c r="O58" i="5"/>
  <c r="N58" i="5"/>
  <c r="B58" i="5"/>
  <c r="A58" i="5"/>
  <c r="W57" i="5"/>
  <c r="Q57" i="5"/>
  <c r="V57" i="5" s="1"/>
  <c r="P57" i="5"/>
  <c r="O57" i="5"/>
  <c r="N57" i="5"/>
  <c r="B57" i="5"/>
  <c r="A57" i="5"/>
  <c r="W56" i="5"/>
  <c r="Q56" i="5"/>
  <c r="V56" i="5" s="1"/>
  <c r="P56" i="5"/>
  <c r="U56" i="5" s="1"/>
  <c r="O56" i="5"/>
  <c r="T56" i="5" s="1"/>
  <c r="N56" i="5"/>
  <c r="B56" i="5"/>
  <c r="A56" i="5"/>
  <c r="W55" i="5"/>
  <c r="Q55" i="5"/>
  <c r="P55" i="5"/>
  <c r="O55" i="5"/>
  <c r="T55" i="5" s="1"/>
  <c r="N55" i="5"/>
  <c r="B55" i="5"/>
  <c r="A55" i="5"/>
  <c r="W54" i="5"/>
  <c r="Q54" i="5"/>
  <c r="P54" i="5"/>
  <c r="O54" i="5"/>
  <c r="N54" i="5"/>
  <c r="B54" i="5"/>
  <c r="A54" i="5"/>
  <c r="W53" i="5"/>
  <c r="Q53" i="5"/>
  <c r="P53" i="5"/>
  <c r="O53" i="5"/>
  <c r="N53" i="5"/>
  <c r="B53" i="5"/>
  <c r="A53" i="5"/>
  <c r="W52" i="5"/>
  <c r="Q52" i="5"/>
  <c r="P52" i="5"/>
  <c r="O52" i="5"/>
  <c r="N52" i="5"/>
  <c r="B52" i="5"/>
  <c r="A52" i="5"/>
  <c r="W51" i="5"/>
  <c r="Q51" i="5"/>
  <c r="P51" i="5"/>
  <c r="O51" i="5"/>
  <c r="N51" i="5"/>
  <c r="B51" i="5"/>
  <c r="A51" i="5"/>
  <c r="W50" i="5"/>
  <c r="Q50" i="5"/>
  <c r="V50" i="5" s="1"/>
  <c r="P50" i="5"/>
  <c r="O50" i="5"/>
  <c r="N50" i="5"/>
  <c r="B50" i="5"/>
  <c r="A50" i="5"/>
  <c r="W49" i="5"/>
  <c r="Q49" i="5"/>
  <c r="V49" i="5" s="1"/>
  <c r="P49" i="5"/>
  <c r="O49" i="5"/>
  <c r="N49" i="5"/>
  <c r="B49" i="5"/>
  <c r="A49" i="5"/>
  <c r="W48" i="5"/>
  <c r="Q48" i="5"/>
  <c r="V48" i="5" s="1"/>
  <c r="P48" i="5"/>
  <c r="U48" i="5" s="1"/>
  <c r="O48" i="5"/>
  <c r="T48" i="5" s="1"/>
  <c r="N48" i="5"/>
  <c r="B48" i="5"/>
  <c r="A48" i="5"/>
  <c r="W47" i="5"/>
  <c r="Q47" i="5"/>
  <c r="P47" i="5"/>
  <c r="O47" i="5"/>
  <c r="T47" i="5" s="1"/>
  <c r="N47" i="5"/>
  <c r="B47" i="5"/>
  <c r="A47" i="5"/>
  <c r="W46" i="5"/>
  <c r="Q46" i="5"/>
  <c r="P46" i="5"/>
  <c r="O46" i="5"/>
  <c r="N46" i="5"/>
  <c r="B46" i="5"/>
  <c r="A46" i="5"/>
  <c r="W45" i="5"/>
  <c r="Q45" i="5"/>
  <c r="P45" i="5"/>
  <c r="O45" i="5"/>
  <c r="N45" i="5"/>
  <c r="B45" i="5"/>
  <c r="A45" i="5"/>
  <c r="W44" i="5"/>
  <c r="Q44" i="5"/>
  <c r="P44" i="5"/>
  <c r="O44" i="5"/>
  <c r="N44" i="5"/>
  <c r="B44" i="5"/>
  <c r="A44" i="5"/>
  <c r="W43" i="5"/>
  <c r="Q43" i="5"/>
  <c r="P43" i="5"/>
  <c r="O43" i="5"/>
  <c r="N43" i="5"/>
  <c r="B43" i="5"/>
  <c r="A43" i="5"/>
  <c r="W42" i="5"/>
  <c r="Q42" i="5"/>
  <c r="V42" i="5" s="1"/>
  <c r="P42" i="5"/>
  <c r="O42" i="5"/>
  <c r="N42" i="5"/>
  <c r="B42" i="5"/>
  <c r="A42" i="5"/>
  <c r="W41" i="5"/>
  <c r="Q41" i="5"/>
  <c r="P41" i="5"/>
  <c r="O41" i="5"/>
  <c r="N41" i="5"/>
  <c r="B41" i="5"/>
  <c r="A41" i="5"/>
  <c r="W40" i="5"/>
  <c r="Q40" i="5"/>
  <c r="V40" i="5" s="1"/>
  <c r="P40" i="5"/>
  <c r="U40" i="5" s="1"/>
  <c r="O40" i="5"/>
  <c r="T40" i="5" s="1"/>
  <c r="N40" i="5"/>
  <c r="B40" i="5"/>
  <c r="A40" i="5"/>
  <c r="W39" i="5"/>
  <c r="Q39" i="5"/>
  <c r="P39" i="5"/>
  <c r="O39" i="5"/>
  <c r="T39" i="5" s="1"/>
  <c r="N39" i="5"/>
  <c r="B39" i="5"/>
  <c r="A39" i="5"/>
  <c r="W38" i="5"/>
  <c r="Q38" i="5"/>
  <c r="P38" i="5"/>
  <c r="O38" i="5"/>
  <c r="N38" i="5"/>
  <c r="B38" i="5"/>
  <c r="A38" i="5"/>
  <c r="W37" i="5"/>
  <c r="Q37" i="5"/>
  <c r="P37" i="5"/>
  <c r="O37" i="5"/>
  <c r="N37" i="5"/>
  <c r="B37" i="5"/>
  <c r="A37" i="5"/>
  <c r="W36" i="5"/>
  <c r="Q36" i="5"/>
  <c r="P36" i="5"/>
  <c r="O36" i="5"/>
  <c r="N36" i="5"/>
  <c r="B36" i="5"/>
  <c r="A36" i="5"/>
  <c r="W35" i="5"/>
  <c r="U35" i="5"/>
  <c r="Q35" i="5"/>
  <c r="P35" i="5"/>
  <c r="O35" i="5"/>
  <c r="N35" i="5"/>
  <c r="B35" i="5"/>
  <c r="A35" i="5"/>
  <c r="W34" i="5"/>
  <c r="Q34" i="5"/>
  <c r="V34" i="5" s="1"/>
  <c r="P34" i="5"/>
  <c r="O34" i="5"/>
  <c r="N34" i="5"/>
  <c r="B34" i="5"/>
  <c r="A34" i="5"/>
  <c r="W33" i="5"/>
  <c r="U33" i="5"/>
  <c r="Q33" i="5"/>
  <c r="V33" i="5" s="1"/>
  <c r="P33" i="5"/>
  <c r="O33" i="5"/>
  <c r="N33" i="5"/>
  <c r="B33" i="5"/>
  <c r="A33" i="5"/>
  <c r="W32" i="5"/>
  <c r="Q32" i="5"/>
  <c r="V32" i="5" s="1"/>
  <c r="P32" i="5"/>
  <c r="U32" i="5" s="1"/>
  <c r="O32" i="5"/>
  <c r="N32" i="5"/>
  <c r="B32" i="5"/>
  <c r="A32" i="5"/>
  <c r="W31" i="5"/>
  <c r="U31" i="5"/>
  <c r="Q31" i="5"/>
  <c r="V31" i="5" s="1"/>
  <c r="P31" i="5"/>
  <c r="O31" i="5"/>
  <c r="N31" i="5"/>
  <c r="B31" i="5"/>
  <c r="A31" i="5"/>
  <c r="W30" i="5"/>
  <c r="U30" i="5"/>
  <c r="Q30" i="5"/>
  <c r="V30" i="5" s="1"/>
  <c r="P30" i="5"/>
  <c r="O30" i="5"/>
  <c r="N30" i="5"/>
  <c r="B30" i="5"/>
  <c r="A30" i="5"/>
  <c r="W29" i="5"/>
  <c r="U29" i="5"/>
  <c r="Q29" i="5"/>
  <c r="P29" i="5"/>
  <c r="O29" i="5"/>
  <c r="N29" i="5"/>
  <c r="B29" i="5"/>
  <c r="A29" i="5"/>
  <c r="W28" i="5"/>
  <c r="Q28" i="5"/>
  <c r="V28" i="5" s="1"/>
  <c r="P28" i="5"/>
  <c r="U28" i="5" s="1"/>
  <c r="O28" i="5"/>
  <c r="T28" i="5" s="1"/>
  <c r="N28" i="5"/>
  <c r="B28" i="5"/>
  <c r="A28" i="5"/>
  <c r="W27" i="5"/>
  <c r="U27" i="5"/>
  <c r="Q27" i="5"/>
  <c r="V27" i="5" s="1"/>
  <c r="P27" i="5"/>
  <c r="O27" i="5"/>
  <c r="T27" i="5" s="1"/>
  <c r="N27" i="5"/>
  <c r="B27" i="5"/>
  <c r="A27" i="5"/>
  <c r="W26" i="5"/>
  <c r="U26" i="5"/>
  <c r="Q26" i="5"/>
  <c r="V26" i="5" s="1"/>
  <c r="P26" i="5"/>
  <c r="O26" i="5"/>
  <c r="T26" i="5" s="1"/>
  <c r="N26" i="5"/>
  <c r="B26" i="5"/>
  <c r="A26" i="5"/>
  <c r="W25" i="5"/>
  <c r="U25" i="5"/>
  <c r="Q25" i="5"/>
  <c r="V25" i="5" s="1"/>
  <c r="P25" i="5"/>
  <c r="O25" i="5"/>
  <c r="T25" i="5" s="1"/>
  <c r="N25" i="5"/>
  <c r="B25" i="5"/>
  <c r="A25" i="5"/>
  <c r="W24" i="5"/>
  <c r="Q24" i="5"/>
  <c r="V24" i="5" s="1"/>
  <c r="P24" i="5"/>
  <c r="O24" i="5"/>
  <c r="T24" i="5" s="1"/>
  <c r="N24" i="5"/>
  <c r="B24" i="5"/>
  <c r="A24" i="5"/>
  <c r="W23" i="5"/>
  <c r="Q23" i="5"/>
  <c r="V23" i="5" s="1"/>
  <c r="P23" i="5"/>
  <c r="O23" i="5"/>
  <c r="T23" i="5" s="1"/>
  <c r="N23" i="5"/>
  <c r="B23" i="5"/>
  <c r="A23" i="5"/>
  <c r="W22" i="5"/>
  <c r="Q22" i="5"/>
  <c r="P22" i="5"/>
  <c r="O22" i="5"/>
  <c r="T22" i="5" s="1"/>
  <c r="N22" i="5"/>
  <c r="B22" i="5"/>
  <c r="A22" i="5"/>
  <c r="W21" i="5"/>
  <c r="Q21" i="5"/>
  <c r="V21" i="5" s="1"/>
  <c r="P21" i="5"/>
  <c r="O21" i="5"/>
  <c r="T21" i="5" s="1"/>
  <c r="N21" i="5"/>
  <c r="B21" i="5"/>
  <c r="A21" i="5"/>
  <c r="W20" i="5"/>
  <c r="Q20" i="5"/>
  <c r="P20" i="5"/>
  <c r="U20" i="5" s="1"/>
  <c r="O20" i="5"/>
  <c r="N20" i="5"/>
  <c r="B20" i="5"/>
  <c r="A20" i="5"/>
  <c r="W19" i="5"/>
  <c r="Q19" i="5"/>
  <c r="P19" i="5"/>
  <c r="O19" i="5"/>
  <c r="T19" i="5" s="1"/>
  <c r="N19" i="5"/>
  <c r="B19" i="5"/>
  <c r="A19" i="5"/>
  <c r="W18" i="5"/>
  <c r="Q18" i="5"/>
  <c r="P18" i="5"/>
  <c r="O18" i="5"/>
  <c r="T18" i="5" s="1"/>
  <c r="N18" i="5"/>
  <c r="B18" i="5"/>
  <c r="A18" i="5"/>
  <c r="W17" i="5"/>
  <c r="Q17" i="5"/>
  <c r="P17" i="5"/>
  <c r="O17" i="5"/>
  <c r="T17" i="5" s="1"/>
  <c r="N17" i="5"/>
  <c r="B17" i="5"/>
  <c r="A17" i="5"/>
  <c r="W16" i="5"/>
  <c r="Q16" i="5"/>
  <c r="P16" i="5"/>
  <c r="O16" i="5"/>
  <c r="T16" i="5" s="1"/>
  <c r="N16" i="5"/>
  <c r="B16" i="5"/>
  <c r="E11" i="5" s="1"/>
  <c r="A16" i="5"/>
  <c r="E10" i="5"/>
  <c r="U78" i="5" s="1"/>
  <c r="V9" i="5"/>
  <c r="U9" i="5"/>
  <c r="T9" i="5"/>
  <c r="E12" i="5" s="1"/>
  <c r="S9" i="5"/>
  <c r="R9" i="5"/>
  <c r="B7" i="5"/>
  <c r="S4" i="5"/>
  <c r="K4" i="5"/>
  <c r="G4" i="5"/>
  <c r="C4" i="5"/>
  <c r="A2" i="5"/>
  <c r="A1" i="5"/>
  <c r="W81" i="4"/>
  <c r="Q81" i="4"/>
  <c r="P81" i="4"/>
  <c r="O81" i="4"/>
  <c r="N81" i="4"/>
  <c r="M81" i="4"/>
  <c r="B81" i="4"/>
  <c r="A81" i="4"/>
  <c r="W80" i="4"/>
  <c r="Q80" i="4"/>
  <c r="P80" i="4"/>
  <c r="O80" i="4"/>
  <c r="N80" i="4"/>
  <c r="M80" i="4"/>
  <c r="B80" i="4"/>
  <c r="A80" i="4"/>
  <c r="W79" i="4"/>
  <c r="Q79" i="4"/>
  <c r="P79" i="4"/>
  <c r="O79" i="4"/>
  <c r="N79" i="4"/>
  <c r="M79" i="4"/>
  <c r="B79" i="4"/>
  <c r="A79" i="4"/>
  <c r="W78" i="4"/>
  <c r="Q78" i="4"/>
  <c r="P78" i="4"/>
  <c r="O78" i="4"/>
  <c r="N78" i="4"/>
  <c r="M78" i="4"/>
  <c r="B78" i="4"/>
  <c r="A78" i="4"/>
  <c r="W77" i="4"/>
  <c r="Q77" i="4"/>
  <c r="P77" i="4"/>
  <c r="O77" i="4"/>
  <c r="N77" i="4"/>
  <c r="M77" i="4"/>
  <c r="B77" i="4"/>
  <c r="A77" i="4"/>
  <c r="W76" i="4"/>
  <c r="Q76" i="4"/>
  <c r="P76" i="4"/>
  <c r="O76" i="4"/>
  <c r="N76" i="4"/>
  <c r="M76" i="4"/>
  <c r="B76" i="4"/>
  <c r="A76" i="4"/>
  <c r="W75" i="4"/>
  <c r="Q75" i="4"/>
  <c r="P75" i="4"/>
  <c r="O75" i="4"/>
  <c r="N75" i="4"/>
  <c r="M75" i="4"/>
  <c r="B75" i="4"/>
  <c r="A75" i="4"/>
  <c r="W74" i="4"/>
  <c r="Q74" i="4"/>
  <c r="P74" i="4"/>
  <c r="O74" i="4"/>
  <c r="N74" i="4"/>
  <c r="M74" i="4"/>
  <c r="B74" i="4"/>
  <c r="A74" i="4"/>
  <c r="W73" i="4"/>
  <c r="Q73" i="4"/>
  <c r="P73" i="4"/>
  <c r="O73" i="4"/>
  <c r="N73" i="4"/>
  <c r="M73" i="4"/>
  <c r="B73" i="4"/>
  <c r="A73" i="4"/>
  <c r="W72" i="4"/>
  <c r="Q72" i="4"/>
  <c r="P72" i="4"/>
  <c r="O72" i="4"/>
  <c r="N72" i="4"/>
  <c r="M72" i="4"/>
  <c r="B72" i="4"/>
  <c r="A72" i="4"/>
  <c r="W71" i="4"/>
  <c r="Q71" i="4"/>
  <c r="P71" i="4"/>
  <c r="O71" i="4"/>
  <c r="N71" i="4"/>
  <c r="M71" i="4"/>
  <c r="B71" i="4"/>
  <c r="A71" i="4"/>
  <c r="W70" i="4"/>
  <c r="Q70" i="4"/>
  <c r="P70" i="4"/>
  <c r="O70" i="4"/>
  <c r="N70" i="4"/>
  <c r="M70" i="4"/>
  <c r="B70" i="4"/>
  <c r="A70" i="4"/>
  <c r="W69" i="4"/>
  <c r="Q69" i="4"/>
  <c r="P69" i="4"/>
  <c r="O69" i="4"/>
  <c r="N69" i="4"/>
  <c r="M69" i="4"/>
  <c r="B69" i="4"/>
  <c r="A69" i="4"/>
  <c r="W68" i="4"/>
  <c r="Q68" i="4"/>
  <c r="P68" i="4"/>
  <c r="O68" i="4"/>
  <c r="N68" i="4"/>
  <c r="M68" i="4"/>
  <c r="B68" i="4"/>
  <c r="A68" i="4"/>
  <c r="W67" i="4"/>
  <c r="Q67" i="4"/>
  <c r="P67" i="4"/>
  <c r="O67" i="4"/>
  <c r="N67" i="4"/>
  <c r="M67" i="4"/>
  <c r="B67" i="4"/>
  <c r="A67" i="4"/>
  <c r="W66" i="4"/>
  <c r="Q66" i="4"/>
  <c r="P66" i="4"/>
  <c r="O66" i="4"/>
  <c r="N66" i="4"/>
  <c r="M66" i="4"/>
  <c r="B66" i="4"/>
  <c r="A66" i="4"/>
  <c r="W65" i="4"/>
  <c r="Q65" i="4"/>
  <c r="P65" i="4"/>
  <c r="O65" i="4"/>
  <c r="N65" i="4"/>
  <c r="M65" i="4"/>
  <c r="B65" i="4"/>
  <c r="A65" i="4"/>
  <c r="W64" i="4"/>
  <c r="Q64" i="4"/>
  <c r="P64" i="4"/>
  <c r="O64" i="4"/>
  <c r="N64" i="4"/>
  <c r="M64" i="4"/>
  <c r="B64" i="4"/>
  <c r="A64" i="4"/>
  <c r="W63" i="4"/>
  <c r="Q63" i="4"/>
  <c r="P63" i="4"/>
  <c r="O63" i="4"/>
  <c r="N63" i="4"/>
  <c r="M63" i="4"/>
  <c r="B63" i="4"/>
  <c r="A63" i="4"/>
  <c r="W62" i="4"/>
  <c r="Q62" i="4"/>
  <c r="P62" i="4"/>
  <c r="O62" i="4"/>
  <c r="N62" i="4"/>
  <c r="M62" i="4"/>
  <c r="B62" i="4"/>
  <c r="A62" i="4"/>
  <c r="W61" i="4"/>
  <c r="Q61" i="4"/>
  <c r="P61" i="4"/>
  <c r="O61" i="4"/>
  <c r="N61" i="4"/>
  <c r="M61" i="4"/>
  <c r="B61" i="4"/>
  <c r="A61" i="4"/>
  <c r="W60" i="4"/>
  <c r="Q60" i="4"/>
  <c r="P60" i="4"/>
  <c r="O60" i="4"/>
  <c r="N60" i="4"/>
  <c r="M60" i="4"/>
  <c r="B60" i="4"/>
  <c r="A60" i="4"/>
  <c r="W59" i="4"/>
  <c r="Q59" i="4"/>
  <c r="P59" i="4"/>
  <c r="O59" i="4"/>
  <c r="N59" i="4"/>
  <c r="M59" i="4"/>
  <c r="B59" i="4"/>
  <c r="A59" i="4"/>
  <c r="W58" i="4"/>
  <c r="Q58" i="4"/>
  <c r="P58" i="4"/>
  <c r="O58" i="4"/>
  <c r="N58" i="4"/>
  <c r="M58" i="4"/>
  <c r="B58" i="4"/>
  <c r="A58" i="4"/>
  <c r="W57" i="4"/>
  <c r="Q57" i="4"/>
  <c r="P57" i="4"/>
  <c r="O57" i="4"/>
  <c r="N57" i="4"/>
  <c r="M57" i="4"/>
  <c r="B57" i="4"/>
  <c r="A57" i="4"/>
  <c r="W56" i="4"/>
  <c r="Q56" i="4"/>
  <c r="P56" i="4"/>
  <c r="O56" i="4"/>
  <c r="N56" i="4"/>
  <c r="M56" i="4"/>
  <c r="B56" i="4"/>
  <c r="A56" i="4"/>
  <c r="W55" i="4"/>
  <c r="Q55" i="4"/>
  <c r="P55" i="4"/>
  <c r="O55" i="4"/>
  <c r="N55" i="4"/>
  <c r="M55" i="4"/>
  <c r="B55" i="4"/>
  <c r="A55" i="4"/>
  <c r="W54" i="4"/>
  <c r="Q54" i="4"/>
  <c r="P54" i="4"/>
  <c r="O54" i="4"/>
  <c r="N54" i="4"/>
  <c r="M54" i="4"/>
  <c r="B54" i="4"/>
  <c r="A54" i="4"/>
  <c r="W53" i="4"/>
  <c r="Q53" i="4"/>
  <c r="P53" i="4"/>
  <c r="O53" i="4"/>
  <c r="N53" i="4"/>
  <c r="M53" i="4"/>
  <c r="B53" i="4"/>
  <c r="A53" i="4"/>
  <c r="W52" i="4"/>
  <c r="Q52" i="4"/>
  <c r="P52" i="4"/>
  <c r="O52" i="4"/>
  <c r="N52" i="4"/>
  <c r="M52" i="4"/>
  <c r="B52" i="4"/>
  <c r="A52" i="4"/>
  <c r="W51" i="4"/>
  <c r="Q51" i="4"/>
  <c r="P51" i="4"/>
  <c r="O51" i="4"/>
  <c r="N51" i="4"/>
  <c r="M51" i="4"/>
  <c r="B51" i="4"/>
  <c r="A51" i="4"/>
  <c r="W50" i="4"/>
  <c r="Q50" i="4"/>
  <c r="P50" i="4"/>
  <c r="O50" i="4"/>
  <c r="N50" i="4"/>
  <c r="M50" i="4"/>
  <c r="B50" i="4"/>
  <c r="A50" i="4"/>
  <c r="W49" i="4"/>
  <c r="Q49" i="4"/>
  <c r="P49" i="4"/>
  <c r="O49" i="4"/>
  <c r="N49" i="4"/>
  <c r="M49" i="4"/>
  <c r="B49" i="4"/>
  <c r="A49" i="4"/>
  <c r="W48" i="4"/>
  <c r="Q48" i="4"/>
  <c r="P48" i="4"/>
  <c r="O48" i="4"/>
  <c r="N48" i="4"/>
  <c r="M48" i="4"/>
  <c r="B48" i="4"/>
  <c r="A48" i="4"/>
  <c r="W47" i="4"/>
  <c r="Q47" i="4"/>
  <c r="P47" i="4"/>
  <c r="O47" i="4"/>
  <c r="N47" i="4"/>
  <c r="M47" i="4"/>
  <c r="B47" i="4"/>
  <c r="A47" i="4"/>
  <c r="W46" i="4"/>
  <c r="Q46" i="4"/>
  <c r="P46" i="4"/>
  <c r="O46" i="4"/>
  <c r="N46" i="4"/>
  <c r="M46" i="4"/>
  <c r="B46" i="4"/>
  <c r="A46" i="4"/>
  <c r="W45" i="4"/>
  <c r="Q45" i="4"/>
  <c r="P45" i="4"/>
  <c r="O45" i="4"/>
  <c r="N45" i="4"/>
  <c r="M45" i="4"/>
  <c r="B45" i="4"/>
  <c r="A45" i="4"/>
  <c r="W44" i="4"/>
  <c r="Q44" i="4"/>
  <c r="P44" i="4"/>
  <c r="O44" i="4"/>
  <c r="N44" i="4"/>
  <c r="M44" i="4"/>
  <c r="B44" i="4"/>
  <c r="A44" i="4"/>
  <c r="W43" i="4"/>
  <c r="Q43" i="4"/>
  <c r="P43" i="4"/>
  <c r="O43" i="4"/>
  <c r="N43" i="4"/>
  <c r="M43" i="4"/>
  <c r="B43" i="4"/>
  <c r="A43" i="4"/>
  <c r="W42" i="4"/>
  <c r="Q42" i="4"/>
  <c r="P42" i="4"/>
  <c r="O42" i="4"/>
  <c r="N42" i="4"/>
  <c r="M42" i="4"/>
  <c r="B42" i="4"/>
  <c r="A42" i="4"/>
  <c r="W41" i="4"/>
  <c r="Q41" i="4"/>
  <c r="P41" i="4"/>
  <c r="O41" i="4"/>
  <c r="N41" i="4"/>
  <c r="M41" i="4"/>
  <c r="B41" i="4"/>
  <c r="A41" i="4"/>
  <c r="W40" i="4"/>
  <c r="Q40" i="4"/>
  <c r="P40" i="4"/>
  <c r="O40" i="4"/>
  <c r="N40" i="4"/>
  <c r="M40" i="4"/>
  <c r="B40" i="4"/>
  <c r="A40" i="4"/>
  <c r="W39" i="4"/>
  <c r="S39" i="4"/>
  <c r="Q39" i="4"/>
  <c r="P39" i="4"/>
  <c r="O39" i="4"/>
  <c r="N39" i="4"/>
  <c r="M39" i="4"/>
  <c r="R39" i="4" s="1"/>
  <c r="B39" i="4"/>
  <c r="A39" i="4"/>
  <c r="W38" i="4"/>
  <c r="Q38" i="4"/>
  <c r="P38" i="4"/>
  <c r="O38" i="4"/>
  <c r="N38" i="4"/>
  <c r="M38" i="4"/>
  <c r="B38" i="4"/>
  <c r="A38" i="4"/>
  <c r="W37" i="4"/>
  <c r="Q37" i="4"/>
  <c r="P37" i="4"/>
  <c r="O37" i="4"/>
  <c r="N37" i="4"/>
  <c r="M37" i="4"/>
  <c r="R37" i="4" s="1"/>
  <c r="B37" i="4"/>
  <c r="A37" i="4"/>
  <c r="W36" i="4"/>
  <c r="Q36" i="4"/>
  <c r="P36" i="4"/>
  <c r="O36" i="4"/>
  <c r="N36" i="4"/>
  <c r="S36" i="4" s="1"/>
  <c r="M36" i="4"/>
  <c r="R36" i="4" s="1"/>
  <c r="B36" i="4"/>
  <c r="A36" i="4"/>
  <c r="W35" i="4"/>
  <c r="Q35" i="4"/>
  <c r="P35" i="4"/>
  <c r="O35" i="4"/>
  <c r="N35" i="4"/>
  <c r="M35" i="4"/>
  <c r="B35" i="4"/>
  <c r="A35" i="4"/>
  <c r="W34" i="4"/>
  <c r="Q34" i="4"/>
  <c r="P34" i="4"/>
  <c r="O34" i="4"/>
  <c r="T34" i="4" s="1"/>
  <c r="N34" i="4"/>
  <c r="S34" i="4" s="1"/>
  <c r="M34" i="4"/>
  <c r="B34" i="4"/>
  <c r="A34" i="4"/>
  <c r="W33" i="4"/>
  <c r="Q33" i="4"/>
  <c r="P33" i="4"/>
  <c r="O33" i="4"/>
  <c r="T33" i="4" s="1"/>
  <c r="N33" i="4"/>
  <c r="S33" i="4" s="1"/>
  <c r="M33" i="4"/>
  <c r="B33" i="4"/>
  <c r="A33" i="4"/>
  <c r="W32" i="4"/>
  <c r="Q32" i="4"/>
  <c r="P32" i="4"/>
  <c r="O32" i="4"/>
  <c r="N32" i="4"/>
  <c r="M32" i="4"/>
  <c r="B32" i="4"/>
  <c r="A32" i="4"/>
  <c r="W31" i="4"/>
  <c r="Q31" i="4"/>
  <c r="P31" i="4"/>
  <c r="O31" i="4"/>
  <c r="T31" i="4" s="1"/>
  <c r="N31" i="4"/>
  <c r="M31" i="4"/>
  <c r="B31" i="4"/>
  <c r="A31" i="4"/>
  <c r="W30" i="4"/>
  <c r="Q30" i="4"/>
  <c r="P30" i="4"/>
  <c r="O30" i="4"/>
  <c r="T30" i="4" s="1"/>
  <c r="N30" i="4"/>
  <c r="S30" i="4" s="1"/>
  <c r="M30" i="4"/>
  <c r="B30" i="4"/>
  <c r="A30" i="4"/>
  <c r="W29" i="4"/>
  <c r="Q29" i="4"/>
  <c r="P29" i="4"/>
  <c r="O29" i="4"/>
  <c r="N29" i="4"/>
  <c r="S29" i="4" s="1"/>
  <c r="M29" i="4"/>
  <c r="B29" i="4"/>
  <c r="A29" i="4"/>
  <c r="W28" i="4"/>
  <c r="Q28" i="4"/>
  <c r="P28" i="4"/>
  <c r="O28" i="4"/>
  <c r="N28" i="4"/>
  <c r="S28" i="4" s="1"/>
  <c r="M28" i="4"/>
  <c r="B28" i="4"/>
  <c r="A28" i="4"/>
  <c r="W27" i="4"/>
  <c r="Q27" i="4"/>
  <c r="P27" i="4"/>
  <c r="O27" i="4"/>
  <c r="T27" i="4" s="1"/>
  <c r="N27" i="4"/>
  <c r="M27" i="4"/>
  <c r="B27" i="4"/>
  <c r="A27" i="4"/>
  <c r="W26" i="4"/>
  <c r="Q26" i="4"/>
  <c r="P26" i="4"/>
  <c r="O26" i="4"/>
  <c r="T26" i="4" s="1"/>
  <c r="N26" i="4"/>
  <c r="M26" i="4"/>
  <c r="B26" i="4"/>
  <c r="A26" i="4"/>
  <c r="W25" i="4"/>
  <c r="Q25" i="4"/>
  <c r="P25" i="4"/>
  <c r="O25" i="4"/>
  <c r="T25" i="4" s="1"/>
  <c r="N25" i="4"/>
  <c r="M25" i="4"/>
  <c r="B25" i="4"/>
  <c r="A25" i="4"/>
  <c r="W24" i="4"/>
  <c r="Q24" i="4"/>
  <c r="P24" i="4"/>
  <c r="O24" i="4"/>
  <c r="N24" i="4"/>
  <c r="M24" i="4"/>
  <c r="B24" i="4"/>
  <c r="A24" i="4"/>
  <c r="W23" i="4"/>
  <c r="Q23" i="4"/>
  <c r="P23" i="4"/>
  <c r="O23" i="4"/>
  <c r="N23" i="4"/>
  <c r="M23" i="4"/>
  <c r="B23" i="4"/>
  <c r="A23" i="4"/>
  <c r="W22" i="4"/>
  <c r="R22" i="4"/>
  <c r="Q22" i="4"/>
  <c r="P22" i="4"/>
  <c r="O22" i="4"/>
  <c r="N22" i="4"/>
  <c r="M22" i="4"/>
  <c r="B22" i="4"/>
  <c r="A22" i="4"/>
  <c r="W21" i="4"/>
  <c r="Q21" i="4"/>
  <c r="P21" i="4"/>
  <c r="O21" i="4"/>
  <c r="N21" i="4"/>
  <c r="M21" i="4"/>
  <c r="B21" i="4"/>
  <c r="A21" i="4"/>
  <c r="W20" i="4"/>
  <c r="T20" i="4"/>
  <c r="Q20" i="4"/>
  <c r="P20" i="4"/>
  <c r="O20" i="4"/>
  <c r="N20" i="4"/>
  <c r="M20" i="4"/>
  <c r="B20" i="4"/>
  <c r="A20" i="4"/>
  <c r="W19" i="4"/>
  <c r="Q19" i="4"/>
  <c r="P19" i="4"/>
  <c r="O19" i="4"/>
  <c r="N19" i="4"/>
  <c r="M19" i="4"/>
  <c r="B19" i="4"/>
  <c r="A19" i="4"/>
  <c r="W18" i="4"/>
  <c r="Q18" i="4"/>
  <c r="P18" i="4"/>
  <c r="O18" i="4"/>
  <c r="N18" i="4"/>
  <c r="M18" i="4"/>
  <c r="B18" i="4"/>
  <c r="A18" i="4"/>
  <c r="W17" i="4"/>
  <c r="Q17" i="4"/>
  <c r="P17" i="4"/>
  <c r="O17" i="4"/>
  <c r="N17" i="4"/>
  <c r="M17" i="4"/>
  <c r="B17" i="4"/>
  <c r="A17" i="4"/>
  <c r="W16" i="4"/>
  <c r="Q16" i="4"/>
  <c r="P16" i="4"/>
  <c r="O16" i="4"/>
  <c r="N16" i="4"/>
  <c r="M16" i="4"/>
  <c r="R16" i="4" s="1"/>
  <c r="B16" i="4"/>
  <c r="E11" i="4" s="1"/>
  <c r="A16" i="4"/>
  <c r="E10" i="4"/>
  <c r="R80" i="4" s="1"/>
  <c r="V9" i="4"/>
  <c r="U9" i="4"/>
  <c r="T9" i="4"/>
  <c r="S9" i="4"/>
  <c r="R9" i="4"/>
  <c r="B7" i="4"/>
  <c r="S4" i="4"/>
  <c r="K4" i="4"/>
  <c r="G4" i="4"/>
  <c r="C4" i="4"/>
  <c r="A2" i="4"/>
  <c r="A1" i="4"/>
  <c r="F71" i="3"/>
  <c r="D71" i="3" s="1"/>
  <c r="W81" i="6" s="1"/>
  <c r="C71" i="3"/>
  <c r="B71" i="3"/>
  <c r="A71" i="3"/>
  <c r="F70" i="3"/>
  <c r="E70" i="3" s="1"/>
  <c r="W80" i="7" s="1"/>
  <c r="D70" i="3"/>
  <c r="W80" i="6" s="1"/>
  <c r="C70" i="3"/>
  <c r="B70" i="3"/>
  <c r="A70" i="3"/>
  <c r="F69" i="3"/>
  <c r="C69" i="3"/>
  <c r="B69" i="3"/>
  <c r="A69" i="3"/>
  <c r="F68" i="3"/>
  <c r="D68" i="3"/>
  <c r="C68" i="3"/>
  <c r="B68" i="3"/>
  <c r="A68" i="3"/>
  <c r="F67" i="3"/>
  <c r="C67" i="3"/>
  <c r="B67" i="3"/>
  <c r="A67" i="3"/>
  <c r="F66" i="3"/>
  <c r="E66" i="3" s="1"/>
  <c r="W76" i="7" s="1"/>
  <c r="D66" i="3"/>
  <c r="W76" i="6" s="1"/>
  <c r="C66" i="3"/>
  <c r="B66" i="3"/>
  <c r="A66" i="3"/>
  <c r="F65" i="3"/>
  <c r="C65" i="3"/>
  <c r="B65" i="3"/>
  <c r="A65" i="3"/>
  <c r="F64" i="3"/>
  <c r="D64" i="3"/>
  <c r="C64" i="3"/>
  <c r="B64" i="3"/>
  <c r="A64" i="3"/>
  <c r="F63" i="3"/>
  <c r="C63" i="3"/>
  <c r="B63" i="3"/>
  <c r="A63" i="3"/>
  <c r="F62" i="3"/>
  <c r="D62" i="3"/>
  <c r="C62" i="3"/>
  <c r="B62" i="3"/>
  <c r="A62" i="3"/>
  <c r="F61" i="3"/>
  <c r="C61" i="3"/>
  <c r="B61" i="3"/>
  <c r="A61" i="3"/>
  <c r="F60" i="3"/>
  <c r="D60" i="3"/>
  <c r="C60" i="3"/>
  <c r="B60" i="3"/>
  <c r="A60" i="3"/>
  <c r="F59" i="3"/>
  <c r="C59" i="3"/>
  <c r="B59" i="3"/>
  <c r="A59" i="3"/>
  <c r="F58" i="3"/>
  <c r="D58" i="3"/>
  <c r="C58" i="3"/>
  <c r="B58" i="3"/>
  <c r="A58" i="3"/>
  <c r="F57" i="3"/>
  <c r="C57" i="3"/>
  <c r="B57" i="3"/>
  <c r="A57" i="3"/>
  <c r="F56" i="3"/>
  <c r="D56" i="3"/>
  <c r="C56" i="3"/>
  <c r="B56" i="3"/>
  <c r="A56" i="3"/>
  <c r="F55" i="3"/>
  <c r="C55" i="3"/>
  <c r="B55" i="3"/>
  <c r="A55" i="3"/>
  <c r="F54" i="3"/>
  <c r="D54" i="3"/>
  <c r="C54" i="3"/>
  <c r="B54" i="3"/>
  <c r="A54" i="3"/>
  <c r="F53" i="3"/>
  <c r="C53" i="3"/>
  <c r="B53" i="3"/>
  <c r="A53" i="3"/>
  <c r="F52" i="3"/>
  <c r="D52" i="3"/>
  <c r="C52" i="3"/>
  <c r="B52" i="3"/>
  <c r="A52" i="3"/>
  <c r="F51" i="3"/>
  <c r="C51" i="3"/>
  <c r="B51" i="3"/>
  <c r="A51" i="3"/>
  <c r="F50" i="3"/>
  <c r="D50" i="3"/>
  <c r="C50" i="3"/>
  <c r="B50" i="3"/>
  <c r="A50" i="3"/>
  <c r="F49" i="3"/>
  <c r="C49" i="3"/>
  <c r="B49" i="3"/>
  <c r="A49" i="3"/>
  <c r="F48" i="3"/>
  <c r="D48" i="3"/>
  <c r="C48" i="3"/>
  <c r="B48" i="3"/>
  <c r="A48" i="3"/>
  <c r="F47" i="3"/>
  <c r="C47" i="3"/>
  <c r="B47" i="3"/>
  <c r="A47" i="3"/>
  <c r="F46" i="3"/>
  <c r="D46" i="3"/>
  <c r="C46" i="3"/>
  <c r="B46" i="3"/>
  <c r="A46" i="3"/>
  <c r="F45" i="3"/>
  <c r="C45" i="3"/>
  <c r="B45" i="3"/>
  <c r="A45" i="3"/>
  <c r="F44" i="3"/>
  <c r="D44" i="3"/>
  <c r="C44" i="3"/>
  <c r="B44" i="3"/>
  <c r="A44" i="3"/>
  <c r="F43" i="3"/>
  <c r="C43" i="3"/>
  <c r="B43" i="3"/>
  <c r="A43" i="3"/>
  <c r="F42" i="3"/>
  <c r="D42" i="3"/>
  <c r="C42" i="3"/>
  <c r="B42" i="3"/>
  <c r="A42" i="3"/>
  <c r="F41" i="3"/>
  <c r="C41" i="3"/>
  <c r="B41" i="3"/>
  <c r="A41" i="3"/>
  <c r="F40" i="3"/>
  <c r="D40" i="3"/>
  <c r="C40" i="3"/>
  <c r="B40" i="3"/>
  <c r="A40" i="3"/>
  <c r="F39" i="3"/>
  <c r="C39" i="3"/>
  <c r="B39" i="3"/>
  <c r="A39" i="3"/>
  <c r="F38" i="3"/>
  <c r="D38" i="3"/>
  <c r="C38" i="3"/>
  <c r="B38" i="3"/>
  <c r="A38" i="3"/>
  <c r="F37" i="3"/>
  <c r="C37" i="3"/>
  <c r="B37" i="3"/>
  <c r="A37" i="3"/>
  <c r="F36" i="3"/>
  <c r="D36" i="3"/>
  <c r="C36" i="3"/>
  <c r="B36" i="3"/>
  <c r="A36" i="3"/>
  <c r="F35" i="3"/>
  <c r="C35" i="3"/>
  <c r="B35" i="3"/>
  <c r="A35" i="3"/>
  <c r="F34" i="3"/>
  <c r="D34" i="3"/>
  <c r="C34" i="3"/>
  <c r="B34" i="3"/>
  <c r="A34" i="3"/>
  <c r="F33" i="3"/>
  <c r="C33" i="3"/>
  <c r="B33" i="3"/>
  <c r="A33" i="3"/>
  <c r="F32" i="3"/>
  <c r="D32" i="3"/>
  <c r="C32" i="3"/>
  <c r="B32" i="3"/>
  <c r="A32" i="3"/>
  <c r="F31" i="3"/>
  <c r="C31" i="3"/>
  <c r="B31" i="3"/>
  <c r="A31" i="3"/>
  <c r="F30" i="3"/>
  <c r="D30" i="3"/>
  <c r="C30" i="3"/>
  <c r="B30" i="3"/>
  <c r="A30" i="3"/>
  <c r="AB29" i="3"/>
  <c r="Z29" i="3"/>
  <c r="Y29" i="3"/>
  <c r="X29" i="3"/>
  <c r="F29" i="3"/>
  <c r="C29" i="3"/>
  <c r="B29" i="3"/>
  <c r="A29" i="3"/>
  <c r="AB28" i="3"/>
  <c r="Z28" i="3"/>
  <c r="Y28" i="3"/>
  <c r="X28" i="3"/>
  <c r="F28" i="3"/>
  <c r="D28" i="3"/>
  <c r="C28" i="3"/>
  <c r="B28" i="3"/>
  <c r="A28" i="3"/>
  <c r="AB27" i="3"/>
  <c r="Z27" i="3"/>
  <c r="Y27" i="3"/>
  <c r="X27" i="3"/>
  <c r="F27" i="3"/>
  <c r="D27" i="3" s="1"/>
  <c r="C27" i="3"/>
  <c r="B27" i="3"/>
  <c r="A27" i="3"/>
  <c r="Z26" i="3"/>
  <c r="Y26" i="3"/>
  <c r="X26" i="3"/>
  <c r="F26" i="3"/>
  <c r="AB26" i="3" s="1"/>
  <c r="C26" i="3"/>
  <c r="B26" i="3"/>
  <c r="A26" i="3"/>
  <c r="Z25" i="3"/>
  <c r="Y25" i="3"/>
  <c r="X25" i="3"/>
  <c r="F25" i="3"/>
  <c r="D25" i="3"/>
  <c r="W35" i="6" s="1"/>
  <c r="C25" i="3"/>
  <c r="B25" i="3"/>
  <c r="A25" i="3"/>
  <c r="Z24" i="3"/>
  <c r="Y24" i="3"/>
  <c r="X24" i="3"/>
  <c r="F24" i="3"/>
  <c r="D24" i="3" s="1"/>
  <c r="W34" i="6" s="1"/>
  <c r="C24" i="3"/>
  <c r="B24" i="3"/>
  <c r="A24" i="3"/>
  <c r="AB23" i="3"/>
  <c r="Z23" i="3"/>
  <c r="Y23" i="3"/>
  <c r="X23" i="3"/>
  <c r="F23" i="3"/>
  <c r="E23" i="3" s="1"/>
  <c r="W33" i="7" s="1"/>
  <c r="D23" i="3"/>
  <c r="W33" i="6" s="1"/>
  <c r="C23" i="3"/>
  <c r="B23" i="3"/>
  <c r="A23" i="3"/>
  <c r="AB22" i="3"/>
  <c r="Z22" i="3"/>
  <c r="Y22" i="3"/>
  <c r="X22" i="3"/>
  <c r="F22" i="3"/>
  <c r="D22" i="3" s="1"/>
  <c r="C22" i="3"/>
  <c r="B22" i="3"/>
  <c r="A22" i="3"/>
  <c r="Z21" i="3"/>
  <c r="Y21" i="3"/>
  <c r="X21" i="3"/>
  <c r="F21" i="3"/>
  <c r="AB21" i="3" s="1"/>
  <c r="D21" i="3"/>
  <c r="W31" i="6" s="1"/>
  <c r="C21" i="3"/>
  <c r="B21" i="3"/>
  <c r="A21" i="3"/>
  <c r="Z20" i="3"/>
  <c r="Y20" i="3"/>
  <c r="X20" i="3"/>
  <c r="F20" i="3"/>
  <c r="D20" i="3" s="1"/>
  <c r="W30" i="6" s="1"/>
  <c r="C20" i="3"/>
  <c r="B20" i="3"/>
  <c r="A20" i="3"/>
  <c r="AB19" i="3"/>
  <c r="Z19" i="3"/>
  <c r="Y19" i="3"/>
  <c r="X19" i="3"/>
  <c r="F19" i="3"/>
  <c r="E19" i="3" s="1"/>
  <c r="W29" i="7" s="1"/>
  <c r="D19" i="3"/>
  <c r="W29" i="6" s="1"/>
  <c r="C19" i="3"/>
  <c r="B19" i="3"/>
  <c r="A19" i="3"/>
  <c r="AB18" i="3"/>
  <c r="Z18" i="3"/>
  <c r="Y18" i="3"/>
  <c r="X18" i="3"/>
  <c r="F18" i="3"/>
  <c r="D18" i="3" s="1"/>
  <c r="C18" i="3"/>
  <c r="B18" i="3"/>
  <c r="A18" i="3"/>
  <c r="Z17" i="3"/>
  <c r="Y17" i="3"/>
  <c r="X17" i="3"/>
  <c r="F17" i="3"/>
  <c r="AB17" i="3" s="1"/>
  <c r="D17" i="3"/>
  <c r="W27" i="6" s="1"/>
  <c r="C17" i="3"/>
  <c r="B17" i="3"/>
  <c r="A17" i="3"/>
  <c r="Z16" i="3"/>
  <c r="Y16" i="3"/>
  <c r="X16" i="3"/>
  <c r="F16" i="3"/>
  <c r="D16" i="3" s="1"/>
  <c r="W26" i="6" s="1"/>
  <c r="C16" i="3"/>
  <c r="B16" i="3"/>
  <c r="A16" i="3"/>
  <c r="AB15" i="3"/>
  <c r="Z15" i="3"/>
  <c r="Y15" i="3"/>
  <c r="X15" i="3"/>
  <c r="F15" i="3"/>
  <c r="E15" i="3" s="1"/>
  <c r="W25" i="7" s="1"/>
  <c r="D15" i="3"/>
  <c r="W25" i="6" s="1"/>
  <c r="C15" i="3"/>
  <c r="B15" i="3"/>
  <c r="A15" i="3"/>
  <c r="AB14" i="3"/>
  <c r="Z14" i="3"/>
  <c r="Y14" i="3"/>
  <c r="X14" i="3"/>
  <c r="F14" i="3"/>
  <c r="D14" i="3" s="1"/>
  <c r="C14" i="3"/>
  <c r="B14" i="3"/>
  <c r="A14" i="3"/>
  <c r="Z13" i="3"/>
  <c r="Y13" i="3"/>
  <c r="X13" i="3"/>
  <c r="F13" i="3"/>
  <c r="AB13" i="3" s="1"/>
  <c r="D13" i="3"/>
  <c r="W23" i="6" s="1"/>
  <c r="C13" i="3"/>
  <c r="B13" i="3"/>
  <c r="A13" i="3"/>
  <c r="Z12" i="3"/>
  <c r="Y12" i="3"/>
  <c r="X12" i="3"/>
  <c r="F12" i="3"/>
  <c r="D12" i="3" s="1"/>
  <c r="W22" i="6" s="1"/>
  <c r="C12" i="3"/>
  <c r="B12" i="3"/>
  <c r="A12" i="3"/>
  <c r="AB11" i="3"/>
  <c r="Z11" i="3"/>
  <c r="Y11" i="3"/>
  <c r="X11" i="3"/>
  <c r="F11" i="3"/>
  <c r="D11" i="3"/>
  <c r="W21" i="6" s="1"/>
  <c r="C11" i="3"/>
  <c r="B11" i="3"/>
  <c r="A11" i="3"/>
  <c r="AB10" i="3"/>
  <c r="Z10" i="3"/>
  <c r="Y10" i="3"/>
  <c r="X10" i="3"/>
  <c r="F10" i="3"/>
  <c r="D10" i="3" s="1"/>
  <c r="C10" i="3"/>
  <c r="B10" i="3"/>
  <c r="A10" i="3"/>
  <c r="Z9" i="3"/>
  <c r="Y9" i="3"/>
  <c r="X9" i="3"/>
  <c r="F9" i="3"/>
  <c r="AB9" i="3" s="1"/>
  <c r="D9" i="3"/>
  <c r="W19" i="6" s="1"/>
  <c r="C9" i="3"/>
  <c r="B9" i="3"/>
  <c r="A9" i="3"/>
  <c r="Z8" i="3"/>
  <c r="Y8" i="3"/>
  <c r="X8" i="3"/>
  <c r="F8" i="3"/>
  <c r="D8" i="3" s="1"/>
  <c r="W18" i="6" s="1"/>
  <c r="C8" i="3"/>
  <c r="B8" i="3"/>
  <c r="A8" i="3"/>
  <c r="AB7" i="3"/>
  <c r="Z7" i="3"/>
  <c r="Y7" i="3"/>
  <c r="X7" i="3"/>
  <c r="F7" i="3"/>
  <c r="D7" i="3"/>
  <c r="W17" i="6" s="1"/>
  <c r="C7" i="3"/>
  <c r="B7" i="3"/>
  <c r="A7" i="3"/>
  <c r="AB6" i="3"/>
  <c r="Z6" i="3"/>
  <c r="Y6" i="3"/>
  <c r="X6" i="3"/>
  <c r="F6" i="3"/>
  <c r="D6" i="3" s="1"/>
  <c r="C6" i="3"/>
  <c r="B6" i="3"/>
  <c r="A6" i="3"/>
  <c r="C4" i="3"/>
  <c r="C3" i="3"/>
  <c r="B68" i="2"/>
  <c r="A68" i="2"/>
  <c r="B12" i="2"/>
  <c r="A12" i="2"/>
  <c r="F6" i="2"/>
  <c r="K72" i="2" s="1"/>
  <c r="N5" i="2"/>
  <c r="K51" i="2" s="1"/>
  <c r="F5" i="2"/>
  <c r="K17" i="2" s="1"/>
  <c r="K42" i="1"/>
  <c r="L40" i="1"/>
  <c r="L6" i="2" s="1"/>
  <c r="I94" i="2" s="1"/>
  <c r="L38" i="1"/>
  <c r="L42" i="1" s="1"/>
  <c r="N6" i="2" s="1"/>
  <c r="K94" i="2" s="1"/>
  <c r="K38" i="1"/>
  <c r="L37" i="1"/>
  <c r="L41" i="1" s="1"/>
  <c r="M6" i="2" s="1"/>
  <c r="J94" i="2" s="1"/>
  <c r="K37" i="1"/>
  <c r="K41" i="1" s="1"/>
  <c r="M5" i="2" s="1"/>
  <c r="J51" i="2" s="1"/>
  <c r="L36" i="1"/>
  <c r="K36" i="1"/>
  <c r="K40" i="1" s="1"/>
  <c r="L5" i="2" s="1"/>
  <c r="I51" i="2" s="1"/>
  <c r="AJ31" i="1"/>
  <c r="AH31" i="1"/>
  <c r="AG31" i="1"/>
  <c r="AF31" i="1"/>
  <c r="AJ30" i="1"/>
  <c r="AH30" i="1"/>
  <c r="AG30" i="1"/>
  <c r="AF30" i="1"/>
  <c r="AJ29" i="1"/>
  <c r="AH29" i="1"/>
  <c r="AG29" i="1"/>
  <c r="AF29" i="1"/>
  <c r="AJ28" i="1"/>
  <c r="AH28" i="1"/>
  <c r="AG28" i="1"/>
  <c r="AF28" i="1"/>
  <c r="AJ27" i="1"/>
  <c r="AH27" i="1"/>
  <c r="AG27" i="1"/>
  <c r="AF27" i="1"/>
  <c r="AJ26" i="1"/>
  <c r="AH26" i="1"/>
  <c r="AG26" i="1"/>
  <c r="AF26" i="1"/>
  <c r="AJ25" i="1"/>
  <c r="AH25" i="1"/>
  <c r="AG25" i="1"/>
  <c r="AF25" i="1"/>
  <c r="AJ24" i="1"/>
  <c r="AH24" i="1"/>
  <c r="AG24" i="1"/>
  <c r="AF24" i="1"/>
  <c r="AJ23" i="1"/>
  <c r="AH23" i="1"/>
  <c r="AG23" i="1"/>
  <c r="AF23" i="1"/>
  <c r="AJ22" i="1"/>
  <c r="AH22" i="1"/>
  <c r="AG22" i="1"/>
  <c r="AF22" i="1"/>
  <c r="AJ21" i="1"/>
  <c r="AH21" i="1"/>
  <c r="AG21" i="1"/>
  <c r="AF21" i="1"/>
  <c r="AJ20" i="1"/>
  <c r="AH20" i="1"/>
  <c r="AG20" i="1"/>
  <c r="AF20" i="1"/>
  <c r="AJ19" i="1"/>
  <c r="AH19" i="1"/>
  <c r="AG19" i="1"/>
  <c r="AF19" i="1"/>
  <c r="AJ18" i="1"/>
  <c r="AH18" i="1"/>
  <c r="AG18" i="1"/>
  <c r="AF18" i="1"/>
  <c r="AJ17" i="1"/>
  <c r="AH17" i="1"/>
  <c r="AG17" i="1"/>
  <c r="AF17" i="1"/>
  <c r="AJ16" i="1"/>
  <c r="AH16" i="1"/>
  <c r="AG16" i="1"/>
  <c r="AF16" i="1"/>
  <c r="AJ15" i="1"/>
  <c r="AH15" i="1"/>
  <c r="AG15" i="1"/>
  <c r="AF15" i="1"/>
  <c r="AJ14" i="1"/>
  <c r="AH14" i="1"/>
  <c r="AG14" i="1"/>
  <c r="AF14" i="1"/>
  <c r="AJ13" i="1"/>
  <c r="AH13" i="1"/>
  <c r="AG13" i="1"/>
  <c r="AF13" i="1"/>
  <c r="AJ12" i="1"/>
  <c r="AH12" i="1"/>
  <c r="AG12" i="1"/>
  <c r="AF12" i="1"/>
  <c r="AJ11" i="1"/>
  <c r="AH11" i="1"/>
  <c r="AG11" i="1"/>
  <c r="AF11" i="1"/>
  <c r="K11" i="1"/>
  <c r="O6" i="2" s="1"/>
  <c r="AJ10" i="1"/>
  <c r="AH10" i="1"/>
  <c r="AG10" i="1"/>
  <c r="AF10" i="1"/>
  <c r="L10" i="1"/>
  <c r="K6" i="2" s="1"/>
  <c r="K10" i="1"/>
  <c r="K5" i="2" s="1"/>
  <c r="L33" i="2" s="1"/>
  <c r="AJ9" i="1"/>
  <c r="AH9" i="1"/>
  <c r="AG9" i="1"/>
  <c r="AF9" i="1"/>
  <c r="L9" i="1"/>
  <c r="J6" i="2" s="1"/>
  <c r="K9" i="1"/>
  <c r="J5" i="2" s="1"/>
  <c r="K33" i="2" s="1"/>
  <c r="AJ8" i="1"/>
  <c r="AH8" i="1"/>
  <c r="AG8" i="1"/>
  <c r="AF8" i="1"/>
  <c r="L8" i="1"/>
  <c r="I6" i="2" s="1"/>
  <c r="K8" i="1"/>
  <c r="I5" i="2" s="1"/>
  <c r="AJ7" i="1"/>
  <c r="AH7" i="1"/>
  <c r="AG7" i="1"/>
  <c r="AF7" i="1"/>
  <c r="L7" i="1"/>
  <c r="H6" i="2" s="1"/>
  <c r="K7" i="1"/>
  <c r="H5" i="2" s="1"/>
  <c r="AJ6" i="1"/>
  <c r="AH6" i="1"/>
  <c r="AG6" i="1"/>
  <c r="AF6" i="1"/>
  <c r="L5" i="1"/>
  <c r="L6" i="1" s="1"/>
  <c r="G6" i="2" s="1"/>
  <c r="K5" i="1"/>
  <c r="K6" i="1" s="1"/>
  <c r="G5" i="2" s="1"/>
  <c r="K3" i="1"/>
  <c r="D5" i="2" s="1"/>
  <c r="I17" i="2" s="1"/>
  <c r="L2" i="1"/>
  <c r="C6" i="2" s="1"/>
  <c r="K2" i="1"/>
  <c r="C5" i="2" s="1"/>
  <c r="S11" i="8"/>
  <c r="N29" i="9" s="1" a="1"/>
  <c r="V11" i="8"/>
  <c r="Q29" i="9" s="1" a="1"/>
  <c r="V11" i="7"/>
  <c r="Q24" i="9" s="1"/>
  <c r="U11" i="8"/>
  <c r="P29" i="9" s="1" a="1"/>
  <c r="U11" i="7"/>
  <c r="P24" i="9" s="1"/>
  <c r="V11" i="6"/>
  <c r="Q23" i="9" s="1"/>
  <c r="T11" i="4"/>
  <c r="O21" i="9" s="1"/>
  <c r="U11" i="6"/>
  <c r="P23" i="9" s="1"/>
  <c r="S11" i="4"/>
  <c r="N21" i="9" s="1"/>
  <c r="T11" i="6"/>
  <c r="O23" i="9" s="1"/>
  <c r="V11" i="5"/>
  <c r="Q22" i="9" s="1"/>
  <c r="R11" i="4"/>
  <c r="M21" i="9" s="1"/>
  <c r="T11" i="7"/>
  <c r="O24" i="9" s="1"/>
  <c r="S11" i="6"/>
  <c r="N23" i="9" s="1"/>
  <c r="U11" i="5"/>
  <c r="P22" i="9" s="1"/>
  <c r="S11" i="7"/>
  <c r="N24" i="9" s="1"/>
  <c r="R11" i="6"/>
  <c r="M23" i="9" s="1"/>
  <c r="T11" i="5"/>
  <c r="O22" i="9" s="1"/>
  <c r="R11" i="7"/>
  <c r="M24" i="9" s="1"/>
  <c r="S11" i="5"/>
  <c r="N22" i="9" s="1"/>
  <c r="T11" i="8"/>
  <c r="O29" i="9" s="1" a="1"/>
  <c r="R11" i="5"/>
  <c r="M22" i="9" s="1"/>
  <c r="V11" i="4"/>
  <c r="R11" i="8"/>
  <c r="M29" i="9" s="1" a="1"/>
  <c r="U11" i="4"/>
  <c r="T17" i="4" l="1"/>
  <c r="T18" i="4"/>
  <c r="R34" i="4"/>
  <c r="V17" i="8"/>
  <c r="R18" i="8"/>
  <c r="T21" i="4"/>
  <c r="T22" i="4"/>
  <c r="R24" i="4"/>
  <c r="R25" i="4"/>
  <c r="B7" i="7"/>
  <c r="U27" i="8"/>
  <c r="R18" i="4"/>
  <c r="R29" i="4"/>
  <c r="R31" i="4"/>
  <c r="R33" i="4"/>
  <c r="R10" i="8"/>
  <c r="S10" i="8"/>
  <c r="U17" i="8"/>
  <c r="S19" i="8"/>
  <c r="R17" i="4"/>
  <c r="S23" i="4"/>
  <c r="S17" i="4"/>
  <c r="S18" i="4"/>
  <c r="R20" i="4"/>
  <c r="R26" i="4"/>
  <c r="T41" i="4"/>
  <c r="T43" i="4"/>
  <c r="T46" i="4"/>
  <c r="T47" i="4"/>
  <c r="T49" i="4"/>
  <c r="T51" i="4"/>
  <c r="T54" i="4"/>
  <c r="T55" i="4"/>
  <c r="T57" i="4"/>
  <c r="T59" i="4"/>
  <c r="T62" i="4"/>
  <c r="T63" i="4"/>
  <c r="T20" i="5"/>
  <c r="V22" i="5"/>
  <c r="T17" i="8"/>
  <c r="U19" i="8"/>
  <c r="T27" i="8"/>
  <c r="U28" i="8"/>
  <c r="T35" i="8"/>
  <c r="T43" i="8"/>
  <c r="T19" i="4"/>
  <c r="S20" i="4"/>
  <c r="R21" i="4"/>
  <c r="T28" i="4"/>
  <c r="T35" i="4"/>
  <c r="S38" i="4"/>
  <c r="R41" i="4"/>
  <c r="R44" i="4"/>
  <c r="R45" i="4"/>
  <c r="R47" i="4"/>
  <c r="R49" i="4"/>
  <c r="R52" i="4"/>
  <c r="R53" i="4"/>
  <c r="R55" i="4"/>
  <c r="R57" i="4"/>
  <c r="R60" i="4"/>
  <c r="R61" i="4"/>
  <c r="R63" i="4"/>
  <c r="R65" i="4"/>
  <c r="R68" i="4"/>
  <c r="R69" i="4"/>
  <c r="R71" i="4"/>
  <c r="R73" i="4"/>
  <c r="R76" i="4"/>
  <c r="R77" i="4"/>
  <c r="R79" i="4"/>
  <c r="R81" i="4"/>
  <c r="U16" i="5"/>
  <c r="V17" i="5"/>
  <c r="V18" i="5"/>
  <c r="V19" i="5"/>
  <c r="V20" i="5"/>
  <c r="U21" i="5"/>
  <c r="U22" i="5"/>
  <c r="U23" i="5"/>
  <c r="T37" i="5"/>
  <c r="V39" i="5"/>
  <c r="T45" i="5"/>
  <c r="V47" i="5"/>
  <c r="T53" i="5"/>
  <c r="V55" i="5"/>
  <c r="T61" i="5"/>
  <c r="V63" i="5"/>
  <c r="T69" i="5"/>
  <c r="V71" i="5"/>
  <c r="T77" i="5"/>
  <c r="V79" i="5"/>
  <c r="U20" i="8"/>
  <c r="U26" i="8"/>
  <c r="T33" i="8"/>
  <c r="T16" i="4"/>
  <c r="S21" i="4"/>
  <c r="S22" i="4"/>
  <c r="R23" i="4"/>
  <c r="S31" i="4"/>
  <c r="T38" i="4"/>
  <c r="T39" i="4"/>
  <c r="S41" i="4"/>
  <c r="S42" i="4"/>
  <c r="S44" i="4"/>
  <c r="S46" i="4"/>
  <c r="S49" i="4"/>
  <c r="S50" i="4"/>
  <c r="S52" i="4"/>
  <c r="S54" i="4"/>
  <c r="S57" i="4"/>
  <c r="S58" i="4"/>
  <c r="S60" i="4"/>
  <c r="S62" i="4"/>
  <c r="S65" i="4"/>
  <c r="S66" i="4"/>
  <c r="S68" i="4"/>
  <c r="S70" i="4"/>
  <c r="S73" i="4"/>
  <c r="S74" i="4"/>
  <c r="S76" i="4"/>
  <c r="S78" i="4"/>
  <c r="S81" i="4"/>
  <c r="V10" i="5"/>
  <c r="V12" i="5" s="1"/>
  <c r="U17" i="5"/>
  <c r="U18" i="5"/>
  <c r="U19" i="5"/>
  <c r="T35" i="5"/>
  <c r="T36" i="5"/>
  <c r="V38" i="5"/>
  <c r="T44" i="5"/>
  <c r="V46" i="5"/>
  <c r="T52" i="5"/>
  <c r="V54" i="5"/>
  <c r="T60" i="5"/>
  <c r="V62" i="5"/>
  <c r="T68" i="5"/>
  <c r="V70" i="5"/>
  <c r="T76" i="5"/>
  <c r="V78" i="5"/>
  <c r="T12" i="6"/>
  <c r="T12" i="8"/>
  <c r="U25" i="8"/>
  <c r="S31" i="8"/>
  <c r="T65" i="4"/>
  <c r="T67" i="4"/>
  <c r="T70" i="4"/>
  <c r="T71" i="4"/>
  <c r="T73" i="4"/>
  <c r="T75" i="4"/>
  <c r="T78" i="4"/>
  <c r="T79" i="4"/>
  <c r="T81" i="4"/>
  <c r="T33" i="5"/>
  <c r="U36" i="5"/>
  <c r="T43" i="5"/>
  <c r="U44" i="5"/>
  <c r="T51" i="5"/>
  <c r="U52" i="5"/>
  <c r="V53" i="5"/>
  <c r="T59" i="5"/>
  <c r="V61" i="5"/>
  <c r="T67" i="5"/>
  <c r="U68" i="5"/>
  <c r="V69" i="5"/>
  <c r="T75" i="5"/>
  <c r="V77" i="5"/>
  <c r="T20" i="8"/>
  <c r="T21" i="8"/>
  <c r="S22" i="8"/>
  <c r="T31" i="8"/>
  <c r="T47" i="8"/>
  <c r="S19" i="4"/>
  <c r="T23" i="4"/>
  <c r="S25" i="4"/>
  <c r="S26" i="4"/>
  <c r="R28" i="4"/>
  <c r="T36" i="4"/>
  <c r="T10" i="5"/>
  <c r="T12" i="5" s="1"/>
  <c r="T29" i="5"/>
  <c r="T31" i="5"/>
  <c r="T32" i="5"/>
  <c r="V35" i="5"/>
  <c r="V36" i="5"/>
  <c r="V44" i="5"/>
  <c r="V52" i="5"/>
  <c r="T58" i="5"/>
  <c r="V60" i="5"/>
  <c r="T66" i="5"/>
  <c r="V68" i="5"/>
  <c r="T74" i="5"/>
  <c r="V76" i="5"/>
  <c r="V12" i="6"/>
  <c r="T41" i="5"/>
  <c r="V43" i="5"/>
  <c r="T49" i="5"/>
  <c r="V51" i="5"/>
  <c r="T57" i="5"/>
  <c r="V59" i="5"/>
  <c r="T65" i="5"/>
  <c r="V67" i="5"/>
  <c r="T73" i="5"/>
  <c r="V75" i="5"/>
  <c r="T81" i="5"/>
  <c r="T29" i="8"/>
  <c r="T45" i="8"/>
  <c r="M29" i="9"/>
  <c r="O29" i="9"/>
  <c r="M13" i="1"/>
  <c r="R6" i="2" s="1"/>
  <c r="P30" i="9"/>
  <c r="E2" i="10" s="1"/>
  <c r="N13" i="1"/>
  <c r="S6" i="2" s="1"/>
  <c r="M30" i="9"/>
  <c r="B2" i="10" s="1"/>
  <c r="K12" i="1"/>
  <c r="P5" i="2" s="1"/>
  <c r="Q30" i="9"/>
  <c r="F2" i="10" s="1"/>
  <c r="O13" i="1"/>
  <c r="T6" i="2" s="1"/>
  <c r="N30" i="9"/>
  <c r="C2" i="10" s="1"/>
  <c r="L12" i="1"/>
  <c r="Q5" i="2" s="1"/>
  <c r="O30" i="9"/>
  <c r="D2" i="10" s="1"/>
  <c r="M12" i="1"/>
  <c r="R5" i="2" s="1"/>
  <c r="P29" i="9"/>
  <c r="Q29" i="9"/>
  <c r="N29" i="9"/>
  <c r="K83" i="2"/>
  <c r="J33" i="2"/>
  <c r="J83" i="2"/>
  <c r="I33" i="2"/>
  <c r="W37" i="6"/>
  <c r="E27" i="3"/>
  <c r="W37" i="7" s="1"/>
  <c r="W16" i="6"/>
  <c r="E6" i="3"/>
  <c r="W16" i="7" s="1"/>
  <c r="W20" i="6"/>
  <c r="E10" i="3"/>
  <c r="W20" i="7" s="1"/>
  <c r="W24" i="6"/>
  <c r="E14" i="3"/>
  <c r="W24" i="7" s="1"/>
  <c r="W28" i="6"/>
  <c r="E18" i="3"/>
  <c r="W28" i="7" s="1"/>
  <c r="W32" i="6"/>
  <c r="E22" i="3"/>
  <c r="W32" i="7" s="1"/>
  <c r="W62" i="6"/>
  <c r="E52" i="3"/>
  <c r="W62" i="7" s="1"/>
  <c r="L3" i="1"/>
  <c r="D6" i="2" s="1"/>
  <c r="I72" i="2" s="1"/>
  <c r="E8" i="3"/>
  <c r="W18" i="7" s="1"/>
  <c r="E12" i="3"/>
  <c r="W22" i="7" s="1"/>
  <c r="E16" i="3"/>
  <c r="W26" i="7" s="1"/>
  <c r="E20" i="3"/>
  <c r="W30" i="7" s="1"/>
  <c r="E24" i="3"/>
  <c r="W34" i="7" s="1"/>
  <c r="W44" i="6"/>
  <c r="E34" i="3"/>
  <c r="W44" i="7" s="1"/>
  <c r="E41" i="3"/>
  <c r="W51" i="7" s="1"/>
  <c r="D41" i="3"/>
  <c r="W51" i="6" s="1"/>
  <c r="W60" i="6"/>
  <c r="E50" i="3"/>
  <c r="W60" i="7" s="1"/>
  <c r="E57" i="3"/>
  <c r="W67" i="7" s="1"/>
  <c r="D57" i="3"/>
  <c r="W67" i="6" s="1"/>
  <c r="D43" i="3"/>
  <c r="W53" i="6" s="1"/>
  <c r="O5" i="2"/>
  <c r="E9" i="3"/>
  <c r="W19" i="7" s="1"/>
  <c r="E13" i="3"/>
  <c r="W23" i="7" s="1"/>
  <c r="E17" i="3"/>
  <c r="W27" i="7" s="1"/>
  <c r="E21" i="3"/>
  <c r="W31" i="7" s="1"/>
  <c r="E25" i="3"/>
  <c r="W35" i="7" s="1"/>
  <c r="D26" i="3"/>
  <c r="W36" i="6" s="1"/>
  <c r="W48" i="6"/>
  <c r="E38" i="3"/>
  <c r="W48" i="7" s="1"/>
  <c r="D45" i="3"/>
  <c r="W55" i="6" s="1"/>
  <c r="W64" i="6"/>
  <c r="E54" i="3"/>
  <c r="W64" i="7" s="1"/>
  <c r="D61" i="3"/>
  <c r="W71" i="6" s="1"/>
  <c r="D31" i="3"/>
  <c r="W41" i="6" s="1"/>
  <c r="E31" i="3"/>
  <c r="W41" i="7" s="1"/>
  <c r="W50" i="6"/>
  <c r="E40" i="3"/>
  <c r="W50" i="7" s="1"/>
  <c r="D47" i="3"/>
  <c r="W57" i="6" s="1"/>
  <c r="E47" i="3"/>
  <c r="W57" i="7" s="1"/>
  <c r="W66" i="6"/>
  <c r="E56" i="3"/>
  <c r="W66" i="7" s="1"/>
  <c r="D63" i="3"/>
  <c r="W73" i="6" s="1"/>
  <c r="E63" i="3"/>
  <c r="W73" i="7" s="1"/>
  <c r="S12" i="6"/>
  <c r="D59" i="3"/>
  <c r="W69" i="6" s="1"/>
  <c r="W78" i="6"/>
  <c r="E68" i="3"/>
  <c r="W78" i="7" s="1"/>
  <c r="L4" i="1"/>
  <c r="E6" i="2" s="1"/>
  <c r="J72" i="2" s="1"/>
  <c r="D33" i="3"/>
  <c r="W43" i="6" s="1"/>
  <c r="W52" i="6"/>
  <c r="E42" i="3"/>
  <c r="W52" i="7" s="1"/>
  <c r="D49" i="3"/>
  <c r="W59" i="6" s="1"/>
  <c r="W68" i="6"/>
  <c r="E58" i="3"/>
  <c r="W68" i="7" s="1"/>
  <c r="D65" i="3"/>
  <c r="W75" i="6" s="1"/>
  <c r="V12" i="7"/>
  <c r="K4" i="1"/>
  <c r="E5" i="2" s="1"/>
  <c r="J17" i="2" s="1"/>
  <c r="AB8" i="3"/>
  <c r="AB12" i="3"/>
  <c r="AB16" i="3"/>
  <c r="AB20" i="3"/>
  <c r="AB24" i="3"/>
  <c r="W38" i="6"/>
  <c r="E28" i="3"/>
  <c r="W38" i="7" s="1"/>
  <c r="D35" i="3"/>
  <c r="W45" i="6" s="1"/>
  <c r="W54" i="6"/>
  <c r="E44" i="3"/>
  <c r="W54" i="7" s="1"/>
  <c r="D51" i="3"/>
  <c r="W61" i="6" s="1"/>
  <c r="W70" i="6"/>
  <c r="E60" i="3"/>
  <c r="W70" i="7" s="1"/>
  <c r="D67" i="3"/>
  <c r="W77" i="6" s="1"/>
  <c r="W46" i="6"/>
  <c r="E36" i="3"/>
  <c r="W46" i="7" s="1"/>
  <c r="E7" i="3"/>
  <c r="W17" i="7" s="1"/>
  <c r="E11" i="3"/>
  <c r="W21" i="7" s="1"/>
  <c r="AB25" i="3"/>
  <c r="D29" i="3"/>
  <c r="W39" i="6" s="1"/>
  <c r="W40" i="6"/>
  <c r="E30" i="3"/>
  <c r="W40" i="7" s="1"/>
  <c r="E37" i="3"/>
  <c r="W47" i="7" s="1"/>
  <c r="D37" i="3"/>
  <c r="W47" i="6" s="1"/>
  <c r="W56" i="6"/>
  <c r="E46" i="3"/>
  <c r="W56" i="7" s="1"/>
  <c r="E53" i="3"/>
  <c r="W63" i="7" s="1"/>
  <c r="D53" i="3"/>
  <c r="W63" i="6" s="1"/>
  <c r="W72" i="6"/>
  <c r="E62" i="3"/>
  <c r="W72" i="7" s="1"/>
  <c r="E69" i="3"/>
  <c r="W79" i="7" s="1"/>
  <c r="D69" i="3"/>
  <c r="W79" i="6" s="1"/>
  <c r="W42" i="6"/>
  <c r="E32" i="3"/>
  <c r="W42" i="7" s="1"/>
  <c r="D39" i="3"/>
  <c r="W49" i="6" s="1"/>
  <c r="W58" i="6"/>
  <c r="E48" i="3"/>
  <c r="W58" i="7" s="1"/>
  <c r="D55" i="3"/>
  <c r="W65" i="6" s="1"/>
  <c r="W74" i="6"/>
  <c r="E64" i="3"/>
  <c r="W74" i="7" s="1"/>
  <c r="E71" i="3"/>
  <c r="W81" i="7" s="1"/>
  <c r="S10" i="4"/>
  <c r="S12" i="4" s="1"/>
  <c r="S16" i="4"/>
  <c r="R19" i="4"/>
  <c r="S24" i="4"/>
  <c r="R27" i="4"/>
  <c r="T29" i="4"/>
  <c r="S32" i="4"/>
  <c r="R35" i="4"/>
  <c r="T37" i="4"/>
  <c r="S40" i="4"/>
  <c r="R43" i="4"/>
  <c r="T45" i="4"/>
  <c r="S48" i="4"/>
  <c r="R51" i="4"/>
  <c r="T53" i="4"/>
  <c r="S56" i="4"/>
  <c r="R59" i="4"/>
  <c r="T61" i="4"/>
  <c r="S64" i="4"/>
  <c r="R67" i="4"/>
  <c r="T69" i="4"/>
  <c r="S72" i="4"/>
  <c r="R75" i="4"/>
  <c r="T77" i="4"/>
  <c r="S80" i="4"/>
  <c r="U10" i="6"/>
  <c r="U12" i="6" s="1"/>
  <c r="E12" i="6"/>
  <c r="S12" i="8"/>
  <c r="T10" i="4"/>
  <c r="T12" i="4" s="1"/>
  <c r="T24" i="4"/>
  <c r="S27" i="4"/>
  <c r="R30" i="4"/>
  <c r="T32" i="4"/>
  <c r="S35" i="4"/>
  <c r="R38" i="4"/>
  <c r="T40" i="4"/>
  <c r="S43" i="4"/>
  <c r="R46" i="4"/>
  <c r="T48" i="4"/>
  <c r="S51" i="4"/>
  <c r="R54" i="4"/>
  <c r="T56" i="4"/>
  <c r="S59" i="4"/>
  <c r="R62" i="4"/>
  <c r="T64" i="4"/>
  <c r="S67" i="4"/>
  <c r="R70" i="4"/>
  <c r="T72" i="4"/>
  <c r="S75" i="4"/>
  <c r="R78" i="4"/>
  <c r="T80" i="4"/>
  <c r="U39" i="5"/>
  <c r="U43" i="5"/>
  <c r="U47" i="5"/>
  <c r="U51" i="5"/>
  <c r="U55" i="5"/>
  <c r="U59" i="5"/>
  <c r="U63" i="5"/>
  <c r="U67" i="5"/>
  <c r="U71" i="5"/>
  <c r="U75" i="5"/>
  <c r="U79" i="5"/>
  <c r="U10" i="4"/>
  <c r="U12" i="4" s="1"/>
  <c r="E12" i="4"/>
  <c r="V10" i="4"/>
  <c r="V12" i="4" s="1"/>
  <c r="R10" i="5"/>
  <c r="R12" i="5" s="1"/>
  <c r="U24" i="5"/>
  <c r="U60" i="5"/>
  <c r="U64" i="5"/>
  <c r="U76" i="5"/>
  <c r="U80" i="5"/>
  <c r="S10" i="5"/>
  <c r="S12" i="5" s="1"/>
  <c r="V16" i="5"/>
  <c r="R42" i="4"/>
  <c r="T44" i="4"/>
  <c r="S47" i="4"/>
  <c r="R50" i="4"/>
  <c r="T52" i="4"/>
  <c r="S55" i="4"/>
  <c r="R58" i="4"/>
  <c r="T60" i="4"/>
  <c r="S63" i="4"/>
  <c r="R66" i="4"/>
  <c r="T68" i="4"/>
  <c r="S71" i="4"/>
  <c r="R74" i="4"/>
  <c r="T76" i="4"/>
  <c r="S79" i="4"/>
  <c r="U37" i="5"/>
  <c r="U41" i="5"/>
  <c r="U45" i="5"/>
  <c r="U49" i="5"/>
  <c r="U53" i="5"/>
  <c r="U57" i="5"/>
  <c r="U61" i="5"/>
  <c r="U65" i="5"/>
  <c r="U69" i="5"/>
  <c r="U73" i="5"/>
  <c r="U77" i="5"/>
  <c r="U81" i="5"/>
  <c r="U10" i="5"/>
  <c r="U12" i="5" s="1"/>
  <c r="V29" i="5"/>
  <c r="T30" i="5"/>
  <c r="T34" i="5"/>
  <c r="V37" i="5"/>
  <c r="T38" i="5"/>
  <c r="V41" i="5"/>
  <c r="T42" i="5"/>
  <c r="V45" i="5"/>
  <c r="T46" i="5"/>
  <c r="T50" i="5"/>
  <c r="T54" i="5"/>
  <c r="U10" i="7"/>
  <c r="U12" i="7" s="1"/>
  <c r="T10" i="7"/>
  <c r="T12" i="7" s="1"/>
  <c r="S10" i="7"/>
  <c r="S12" i="7" s="1"/>
  <c r="R10" i="4"/>
  <c r="R12" i="4" s="1"/>
  <c r="R32" i="4"/>
  <c r="S37" i="4"/>
  <c r="R40" i="4"/>
  <c r="T42" i="4"/>
  <c r="S45" i="4"/>
  <c r="R48" i="4"/>
  <c r="T50" i="4"/>
  <c r="S53" i="4"/>
  <c r="R56" i="4"/>
  <c r="T58" i="4"/>
  <c r="S61" i="4"/>
  <c r="R64" i="4"/>
  <c r="T66" i="4"/>
  <c r="S69" i="4"/>
  <c r="R72" i="4"/>
  <c r="T74" i="4"/>
  <c r="S77" i="4"/>
  <c r="U34" i="5"/>
  <c r="U38" i="5"/>
  <c r="U42" i="5"/>
  <c r="U46" i="5"/>
  <c r="U50" i="5"/>
  <c r="U54" i="5"/>
  <c r="U58" i="5"/>
  <c r="U62" i="5"/>
  <c r="U66" i="5"/>
  <c r="U70" i="5"/>
  <c r="U74" i="5"/>
  <c r="R12" i="8"/>
  <c r="E12" i="8"/>
  <c r="T36" i="8"/>
  <c r="T37" i="8"/>
  <c r="S38" i="8"/>
  <c r="U41" i="8"/>
  <c r="U42" i="8"/>
  <c r="S45" i="8"/>
  <c r="S53" i="8"/>
  <c r="T55" i="8"/>
  <c r="U56" i="8"/>
  <c r="U57" i="8"/>
  <c r="S60" i="8"/>
  <c r="S67" i="8"/>
  <c r="U69" i="8"/>
  <c r="S75" i="8"/>
  <c r="U77" i="8"/>
  <c r="T38" i="8"/>
  <c r="T39" i="8"/>
  <c r="S40" i="8"/>
  <c r="U43" i="8"/>
  <c r="U44" i="8"/>
  <c r="S47" i="8"/>
  <c r="S51" i="8"/>
  <c r="T53" i="8"/>
  <c r="U54" i="8"/>
  <c r="U55" i="8"/>
  <c r="S58" i="8"/>
  <c r="T67" i="8"/>
  <c r="U68" i="8"/>
  <c r="T75" i="8"/>
  <c r="U76" i="8"/>
  <c r="T24" i="8"/>
  <c r="T25" i="8"/>
  <c r="S26" i="8"/>
  <c r="U29" i="8"/>
  <c r="U30" i="8"/>
  <c r="S33" i="8"/>
  <c r="T40" i="8"/>
  <c r="T41" i="8"/>
  <c r="S42" i="8"/>
  <c r="U45" i="8"/>
  <c r="U46" i="8"/>
  <c r="S49" i="8"/>
  <c r="T51" i="8"/>
  <c r="U52" i="8"/>
  <c r="U53" i="8"/>
  <c r="S56" i="8"/>
  <c r="S65" i="8"/>
  <c r="U67" i="8"/>
  <c r="S73" i="8"/>
  <c r="U75" i="8"/>
  <c r="S81" i="8"/>
  <c r="T26" i="8"/>
  <c r="S28" i="8"/>
  <c r="U31" i="8"/>
  <c r="U32" i="8"/>
  <c r="S35" i="8"/>
  <c r="T42" i="8"/>
  <c r="S44" i="8"/>
  <c r="U47" i="8"/>
  <c r="U48" i="8"/>
  <c r="T49" i="8"/>
  <c r="U50" i="8"/>
  <c r="U51" i="8"/>
  <c r="S54" i="8"/>
  <c r="S63" i="8"/>
  <c r="T65" i="8"/>
  <c r="U66" i="8"/>
  <c r="T73" i="8"/>
  <c r="U74" i="8"/>
  <c r="T81" i="8"/>
  <c r="S21" i="8"/>
  <c r="T28" i="8"/>
  <c r="S30" i="8"/>
  <c r="U33" i="8"/>
  <c r="U34" i="8"/>
  <c r="S37" i="8"/>
  <c r="T44" i="8"/>
  <c r="S46" i="8"/>
  <c r="U49" i="8"/>
  <c r="S52" i="8"/>
  <c r="S61" i="8"/>
  <c r="T63" i="8"/>
  <c r="U64" i="8"/>
  <c r="U65" i="8"/>
  <c r="S71" i="8"/>
  <c r="U73" i="8"/>
  <c r="S79" i="8"/>
  <c r="U81" i="8"/>
  <c r="T18" i="8"/>
  <c r="S23" i="8"/>
  <c r="T30" i="8"/>
  <c r="S32" i="8"/>
  <c r="U35" i="8"/>
  <c r="U36" i="8"/>
  <c r="S39" i="8"/>
  <c r="T46" i="8"/>
  <c r="S48" i="8"/>
  <c r="S50" i="8"/>
  <c r="S59" i="8"/>
  <c r="T61" i="8"/>
  <c r="U62" i="8"/>
  <c r="U63" i="8"/>
  <c r="T71" i="8"/>
  <c r="U72" i="8"/>
  <c r="T79" i="8"/>
  <c r="U80" i="8"/>
  <c r="U16" i="8"/>
  <c r="S17" i="8"/>
  <c r="V19" i="8"/>
  <c r="R20" i="8"/>
  <c r="U21" i="8"/>
  <c r="U22" i="8"/>
  <c r="S25" i="8"/>
  <c r="T32" i="8"/>
  <c r="S34" i="8"/>
  <c r="U37" i="8"/>
  <c r="U38" i="8"/>
  <c r="S41" i="8"/>
  <c r="T48" i="8"/>
  <c r="S57" i="8"/>
  <c r="T59" i="8"/>
  <c r="U60" i="8"/>
  <c r="U61" i="8"/>
  <c r="S69" i="8"/>
  <c r="U71" i="8"/>
  <c r="S77" i="8"/>
  <c r="U79" i="8"/>
  <c r="T80" i="8"/>
  <c r="T78" i="8"/>
  <c r="T76" i="8"/>
  <c r="T74" i="8"/>
  <c r="T72" i="8"/>
  <c r="T70" i="8"/>
  <c r="T68" i="8"/>
  <c r="T66" i="8"/>
  <c r="T64" i="8"/>
  <c r="T62" i="8"/>
  <c r="T60" i="8"/>
  <c r="T58" i="8"/>
  <c r="T56" i="8"/>
  <c r="T54" i="8"/>
  <c r="T52" i="8"/>
  <c r="T50" i="8"/>
  <c r="S80" i="8"/>
  <c r="S78" i="8"/>
  <c r="S76" i="8"/>
  <c r="S74" i="8"/>
  <c r="S72" i="8"/>
  <c r="S70" i="8"/>
  <c r="S68" i="8"/>
  <c r="S66" i="8"/>
  <c r="V81" i="8"/>
  <c r="R80" i="8"/>
  <c r="V79" i="8"/>
  <c r="R78" i="8"/>
  <c r="V77" i="8"/>
  <c r="R76" i="8"/>
  <c r="V75" i="8"/>
  <c r="R74" i="8"/>
  <c r="V73" i="8"/>
  <c r="R72" i="8"/>
  <c r="V71" i="8"/>
  <c r="R70" i="8"/>
  <c r="V69" i="8"/>
  <c r="R68" i="8"/>
  <c r="V67" i="8"/>
  <c r="R66" i="8"/>
  <c r="V65" i="8"/>
  <c r="R64" i="8"/>
  <c r="V63" i="8"/>
  <c r="R62" i="8"/>
  <c r="V61" i="8"/>
  <c r="R60" i="8"/>
  <c r="V59" i="8"/>
  <c r="R58" i="8"/>
  <c r="V57" i="8"/>
  <c r="R56" i="8"/>
  <c r="V55" i="8"/>
  <c r="R54" i="8"/>
  <c r="V53" i="8"/>
  <c r="R52" i="8"/>
  <c r="V51" i="8"/>
  <c r="R50" i="8"/>
  <c r="V49" i="8"/>
  <c r="R48" i="8"/>
  <c r="V47" i="8"/>
  <c r="R46" i="8"/>
  <c r="V45" i="8"/>
  <c r="R44" i="8"/>
  <c r="V43" i="8"/>
  <c r="R42" i="8"/>
  <c r="V41" i="8"/>
  <c r="R40" i="8"/>
  <c r="V39" i="8"/>
  <c r="R38" i="8"/>
  <c r="V37" i="8"/>
  <c r="R36" i="8"/>
  <c r="V35" i="8"/>
  <c r="R34" i="8"/>
  <c r="V33" i="8"/>
  <c r="R32" i="8"/>
  <c r="V31" i="8"/>
  <c r="R30" i="8"/>
  <c r="V29" i="8"/>
  <c r="R28" i="8"/>
  <c r="V27" i="8"/>
  <c r="R26" i="8"/>
  <c r="V25" i="8"/>
  <c r="R24" i="8"/>
  <c r="V23" i="8"/>
  <c r="R22" i="8"/>
  <c r="V21" i="8"/>
  <c r="R81" i="8"/>
  <c r="V80" i="8"/>
  <c r="R79" i="8"/>
  <c r="V78" i="8"/>
  <c r="R77" i="8"/>
  <c r="V76" i="8"/>
  <c r="R75" i="8"/>
  <c r="V74" i="8"/>
  <c r="R73" i="8"/>
  <c r="V72" i="8"/>
  <c r="R71" i="8"/>
  <c r="V70" i="8"/>
  <c r="R69" i="8"/>
  <c r="V68" i="8"/>
  <c r="R67" i="8"/>
  <c r="V66" i="8"/>
  <c r="R65" i="8"/>
  <c r="V64" i="8"/>
  <c r="R63" i="8"/>
  <c r="V62" i="8"/>
  <c r="R61" i="8"/>
  <c r="V60" i="8"/>
  <c r="R59" i="8"/>
  <c r="V58" i="8"/>
  <c r="R57" i="8"/>
  <c r="V56" i="8"/>
  <c r="R55" i="8"/>
  <c r="V54" i="8"/>
  <c r="R53" i="8"/>
  <c r="V52" i="8"/>
  <c r="R51" i="8"/>
  <c r="V50" i="8"/>
  <c r="R49" i="8"/>
  <c r="V48" i="8"/>
  <c r="R47" i="8"/>
  <c r="V46" i="8"/>
  <c r="R45" i="8"/>
  <c r="V44" i="8"/>
  <c r="R43" i="8"/>
  <c r="V42" i="8"/>
  <c r="R41" i="8"/>
  <c r="V40" i="8"/>
  <c r="R39" i="8"/>
  <c r="V38" i="8"/>
  <c r="R37" i="8"/>
  <c r="V36" i="8"/>
  <c r="R35" i="8"/>
  <c r="V34" i="8"/>
  <c r="R33" i="8"/>
  <c r="V32" i="8"/>
  <c r="R31" i="8"/>
  <c r="V30" i="8"/>
  <c r="R29" i="8"/>
  <c r="V28" i="8"/>
  <c r="R27" i="8"/>
  <c r="V26" i="8"/>
  <c r="R25" i="8"/>
  <c r="V24" i="8"/>
  <c r="R23" i="8"/>
  <c r="V22" i="8"/>
  <c r="R21" i="8"/>
  <c r="V20" i="8"/>
  <c r="R19" i="8"/>
  <c r="V18" i="8"/>
  <c r="R17" i="8"/>
  <c r="V16" i="8"/>
  <c r="V10" i="8"/>
  <c r="V12" i="8" s="1"/>
  <c r="U10" i="8"/>
  <c r="U12" i="8" s="1"/>
  <c r="S20" i="8"/>
  <c r="U23" i="8"/>
  <c r="U24" i="8"/>
  <c r="S27" i="8"/>
  <c r="T34" i="8"/>
  <c r="S36" i="8"/>
  <c r="U39" i="8"/>
  <c r="U40" i="8"/>
  <c r="S43" i="8"/>
  <c r="S55" i="8"/>
  <c r="T57" i="8"/>
  <c r="U58" i="8"/>
  <c r="U59" i="8"/>
  <c r="S62" i="8"/>
  <c r="T69" i="8"/>
  <c r="U70" i="8"/>
  <c r="T77" i="8"/>
  <c r="U78" i="8"/>
  <c r="E26" i="3" l="1"/>
  <c r="W36" i="7" s="1"/>
  <c r="I83" i="2"/>
  <c r="C3" i="10"/>
  <c r="N31" i="9"/>
  <c r="N33" i="9" s="1"/>
  <c r="L14" i="1"/>
  <c r="E39" i="3"/>
  <c r="W49" i="7" s="1"/>
  <c r="E29" i="3"/>
  <c r="W39" i="7" s="1"/>
  <c r="E67" i="3"/>
  <c r="W77" i="7" s="1"/>
  <c r="E35" i="3"/>
  <c r="W45" i="7" s="1"/>
  <c r="E49" i="3"/>
  <c r="W59" i="7" s="1"/>
  <c r="E59" i="3"/>
  <c r="W69" i="7" s="1"/>
  <c r="E43" i="3"/>
  <c r="W53" i="7" s="1"/>
  <c r="Q31" i="9"/>
  <c r="Q33" i="9" s="1"/>
  <c r="F3" i="10"/>
  <c r="O14" i="1"/>
  <c r="P31" i="9"/>
  <c r="P33" i="9" s="1"/>
  <c r="E3" i="10"/>
  <c r="N14" i="1"/>
  <c r="E61" i="3"/>
  <c r="W71" i="7" s="1"/>
  <c r="E55" i="3"/>
  <c r="W65" i="7" s="1"/>
  <c r="E51" i="3"/>
  <c r="W61" i="7" s="1"/>
  <c r="E65" i="3"/>
  <c r="W75" i="7" s="1"/>
  <c r="E33" i="3"/>
  <c r="W43" i="7" s="1"/>
  <c r="O31" i="9"/>
  <c r="O33" i="9" s="1"/>
  <c r="D3" i="10"/>
  <c r="M14" i="1"/>
  <c r="E45" i="3"/>
  <c r="W55" i="7" s="1"/>
  <c r="L83" i="2"/>
  <c r="B3" i="10"/>
  <c r="M31" i="9"/>
  <c r="M33" i="9" s="1"/>
  <c r="K14" i="1"/>
  <c r="E4" i="10" l="1"/>
  <c r="D50" i="9"/>
  <c r="D4" i="10"/>
  <c r="D49" i="9"/>
  <c r="B4" i="10"/>
  <c r="D47" i="9"/>
  <c r="F4" i="10"/>
  <c r="D51" i="9"/>
  <c r="C4" i="10"/>
  <c r="D48" i="9"/>
  <c r="R52" i="9" l="1"/>
  <c r="J52" i="9"/>
  <c r="I47" i="9"/>
  <c r="Q52" i="9"/>
  <c r="I52" i="9"/>
  <c r="H47" i="9"/>
  <c r="P52" i="9"/>
  <c r="H52" i="9"/>
  <c r="O47" i="9"/>
  <c r="G47" i="9"/>
  <c r="O52" i="9"/>
  <c r="G52" i="9"/>
  <c r="F47" i="9"/>
  <c r="N52" i="9"/>
  <c r="F52" i="9"/>
  <c r="M52" i="9"/>
  <c r="T52" i="9"/>
  <c r="L52" i="9"/>
  <c r="S47" i="9"/>
  <c r="S52" i="9"/>
  <c r="K52" i="9"/>
  <c r="R47" i="9"/>
  <c r="I51" i="9"/>
  <c r="H51" i="9"/>
  <c r="O51" i="9"/>
  <c r="G51" i="9"/>
  <c r="F51" i="9"/>
  <c r="S51" i="9"/>
  <c r="R51" i="9"/>
  <c r="I49" i="9"/>
  <c r="H49" i="9"/>
  <c r="O49" i="9"/>
  <c r="G49" i="9"/>
  <c r="F49" i="9"/>
  <c r="S49" i="9"/>
  <c r="R49" i="9"/>
  <c r="I48" i="9"/>
  <c r="H48" i="9"/>
  <c r="O48" i="9"/>
  <c r="G48" i="9"/>
  <c r="F48" i="9"/>
  <c r="S48" i="9"/>
  <c r="R48" i="9"/>
  <c r="I50" i="9"/>
  <c r="H50" i="9"/>
  <c r="O50" i="9"/>
  <c r="G50" i="9"/>
  <c r="F50" i="9"/>
  <c r="S50" i="9"/>
  <c r="R50" i="9"/>
  <c r="J50" i="9"/>
  <c r="N53" i="9" l="1"/>
  <c r="J7" i="10"/>
  <c r="K25" i="1"/>
  <c r="K53" i="9"/>
  <c r="G7" i="10"/>
  <c r="K22" i="1"/>
  <c r="I53" i="9"/>
  <c r="E7" i="10"/>
  <c r="K20" i="1"/>
  <c r="I7" i="10"/>
  <c r="M53" i="9"/>
  <c r="K24" i="1"/>
  <c r="Q53" i="9"/>
  <c r="M7" i="10"/>
  <c r="K28" i="1"/>
  <c r="F53" i="9"/>
  <c r="B7" i="10"/>
  <c r="K17" i="1"/>
  <c r="S53" i="9"/>
  <c r="O7" i="10"/>
  <c r="K30" i="1"/>
  <c r="O53" i="9"/>
  <c r="K7" i="10"/>
  <c r="K26" i="1"/>
  <c r="P53" i="9"/>
  <c r="L7" i="10"/>
  <c r="K27" i="1"/>
  <c r="G53" i="9"/>
  <c r="C7" i="10"/>
  <c r="K18" i="1"/>
  <c r="H7" i="10"/>
  <c r="L53" i="9"/>
  <c r="K23" i="1"/>
  <c r="J53" i="9"/>
  <c r="F7" i="10"/>
  <c r="K21" i="1"/>
  <c r="H53" i="9"/>
  <c r="D7" i="10"/>
  <c r="K19" i="1"/>
  <c r="P7" i="10"/>
  <c r="T53" i="9"/>
  <c r="K31" i="1"/>
  <c r="R53" i="9"/>
  <c r="N7" i="10"/>
  <c r="K29" i="1"/>
</calcChain>
</file>

<file path=xl/sharedStrings.xml><?xml version="1.0" encoding="utf-8"?>
<sst xmlns="http://schemas.openxmlformats.org/spreadsheetml/2006/main" count="576" uniqueCount="265">
  <si>
    <t>PT1</t>
  </si>
  <si>
    <t>PT2</t>
  </si>
  <si>
    <t>PT, IP and Int Marks</t>
  </si>
  <si>
    <t>No.of.Candidates Registered</t>
  </si>
  <si>
    <t>Course Code - Name</t>
  </si>
  <si>
    <t>22EE401 &amp; POWER GENERATION, TRANSMISSION AND DISTRIBUTION</t>
  </si>
  <si>
    <t>No.of.Candidates Appeared for the Exam</t>
  </si>
  <si>
    <t>Faculty ID - Name</t>
  </si>
  <si>
    <t>Dr.SIVARAMAN P / EE1329</t>
  </si>
  <si>
    <t>No.of.Candidates Absent for the Exam</t>
  </si>
  <si>
    <t>S. No.</t>
  </si>
  <si>
    <t>Reg. No.</t>
  </si>
  <si>
    <t>Name</t>
  </si>
  <si>
    <t>PT1 (50)</t>
  </si>
  <si>
    <t>PT2 (50)</t>
  </si>
  <si>
    <t>Optional Test (50)</t>
  </si>
  <si>
    <t>IP (16)</t>
  </si>
  <si>
    <t>IM (40)</t>
  </si>
  <si>
    <t>No. of Candidates Passed the Exam</t>
  </si>
  <si>
    <t>7376231EE102</t>
  </si>
  <si>
    <t>ABINISHA S</t>
  </si>
  <si>
    <t>pass %</t>
  </si>
  <si>
    <t>7376231EE103</t>
  </si>
  <si>
    <t>ANANTHIKA A</t>
  </si>
  <si>
    <t>0-20</t>
  </si>
  <si>
    <t>7376231EE104</t>
  </si>
  <si>
    <t>ANBARASU G</t>
  </si>
  <si>
    <t>21-50</t>
  </si>
  <si>
    <t>7376231EE105</t>
  </si>
  <si>
    <t>ANUJA N</t>
  </si>
  <si>
    <t>51-80</t>
  </si>
  <si>
    <t>7376231EE106</t>
  </si>
  <si>
    <t>ARUN BHAGAVATH S</t>
  </si>
  <si>
    <t>81-100</t>
  </si>
  <si>
    <t>7376231EE107</t>
  </si>
  <si>
    <t>ARUNIKA T K</t>
  </si>
  <si>
    <t>CO Target</t>
  </si>
  <si>
    <t>7376231EE108</t>
  </si>
  <si>
    <t>BALAJI M J</t>
  </si>
  <si>
    <t>PT1 Attainment</t>
  </si>
  <si>
    <t>7376231EE109</t>
  </si>
  <si>
    <t>BHARANIDHARAN S</t>
  </si>
  <si>
    <t>PT2 Attainment</t>
  </si>
  <si>
    <t>7376231EE110</t>
  </si>
  <si>
    <t>DEEPTHI A</t>
  </si>
  <si>
    <t>SEE Attainment</t>
  </si>
  <si>
    <t>7376231EE111</t>
  </si>
  <si>
    <t>DEPEN T</t>
  </si>
  <si>
    <t>7376231EE112</t>
  </si>
  <si>
    <t>DHANUSHA CHITRA PALANISAMY</t>
  </si>
  <si>
    <t>7376231EE113</t>
  </si>
  <si>
    <t>DHARSHINI M</t>
  </si>
  <si>
    <t>PO1</t>
  </si>
  <si>
    <t>7376231EE114</t>
  </si>
  <si>
    <t>DHILIP M V</t>
  </si>
  <si>
    <t>PO2</t>
  </si>
  <si>
    <t>7376231EE115</t>
  </si>
  <si>
    <t>DHIVA R</t>
  </si>
  <si>
    <t>PO3</t>
  </si>
  <si>
    <t>7376231EE116</t>
  </si>
  <si>
    <t>GOWTHAM M</t>
  </si>
  <si>
    <t>PO4</t>
  </si>
  <si>
    <t>7376231EE117</t>
  </si>
  <si>
    <t>GOWTHAM T</t>
  </si>
  <si>
    <t>PO5</t>
  </si>
  <si>
    <t>7376231EE118</t>
  </si>
  <si>
    <t>HARIKRISHNA N</t>
  </si>
  <si>
    <t>PO6</t>
  </si>
  <si>
    <t>7376231EE119</t>
  </si>
  <si>
    <t>HARINI K S</t>
  </si>
  <si>
    <t>PO7</t>
  </si>
  <si>
    <t>7376231EE120</t>
  </si>
  <si>
    <t>JANANI N</t>
  </si>
  <si>
    <t>PO8</t>
  </si>
  <si>
    <t>7376231EE121</t>
  </si>
  <si>
    <t>JEBASTIN JOSEPH PAUL J</t>
  </si>
  <si>
    <t>PO9</t>
  </si>
  <si>
    <t>7376231EE122</t>
  </si>
  <si>
    <t>JEEVITHA S</t>
  </si>
  <si>
    <t>PO10</t>
  </si>
  <si>
    <t>7376231EE123</t>
  </si>
  <si>
    <t>KAMALESH A P</t>
  </si>
  <si>
    <t>PO11</t>
  </si>
  <si>
    <t>7376231EE124</t>
  </si>
  <si>
    <t>KAMALESH VARMA V G</t>
  </si>
  <si>
    <t>PO12</t>
  </si>
  <si>
    <t>7376231EE125</t>
  </si>
  <si>
    <t>KATHIR NITHESH R</t>
  </si>
  <si>
    <t>PSO1</t>
  </si>
  <si>
    <t>7376231EE126</t>
  </si>
  <si>
    <t>KAVITHA M</t>
  </si>
  <si>
    <t>PSO2</t>
  </si>
  <si>
    <t>7376231EE127</t>
  </si>
  <si>
    <t>KAVIYARASU V K</t>
  </si>
  <si>
    <t>PSO3</t>
  </si>
  <si>
    <t>7376231EE128</t>
  </si>
  <si>
    <t>KEERTHISANKAR S</t>
  </si>
  <si>
    <t>7376231EE129</t>
  </si>
  <si>
    <t>KEERTHIVASAN S</t>
  </si>
  <si>
    <t>7376231EE130</t>
  </si>
  <si>
    <t>KHAJA PARVEZ T</t>
  </si>
  <si>
    <t>7376231EE131</t>
  </si>
  <si>
    <t>KIRUBA O C</t>
  </si>
  <si>
    <t>7376231EE132</t>
  </si>
  <si>
    <t>KOWSHIK ARAVIND K S P</t>
  </si>
  <si>
    <t>Min</t>
  </si>
  <si>
    <t>7376231EE133</t>
  </si>
  <si>
    <t>MANEESH D</t>
  </si>
  <si>
    <t>Max</t>
  </si>
  <si>
    <t>7376231EE134</t>
  </si>
  <si>
    <t>MATHIYARASI K</t>
  </si>
  <si>
    <t>Avg</t>
  </si>
  <si>
    <t>7376231EE135</t>
  </si>
  <si>
    <t>MAURYA A S</t>
  </si>
  <si>
    <t>7376231EE136</t>
  </si>
  <si>
    <t>MITHUN P P</t>
  </si>
  <si>
    <t>min out of 100</t>
  </si>
  <si>
    <t>7376231EE137</t>
  </si>
  <si>
    <t>MOHAN PRASANTH N</t>
  </si>
  <si>
    <t>max out of 100</t>
  </si>
  <si>
    <t>7376231EE138</t>
  </si>
  <si>
    <t>MONIKA S</t>
  </si>
  <si>
    <t>avg out of 100</t>
  </si>
  <si>
    <t>7376231EE139</t>
  </si>
  <si>
    <t>MONISHWARAN R</t>
  </si>
  <si>
    <t>7376231EE140</t>
  </si>
  <si>
    <t>NIKILESHKUMAR S</t>
  </si>
  <si>
    <t>7376231EE141</t>
  </si>
  <si>
    <t>NITHYA SHREE K A</t>
  </si>
  <si>
    <t>7376231EE142</t>
  </si>
  <si>
    <t>PRANAV T S S</t>
  </si>
  <si>
    <t>7376231EE143</t>
  </si>
  <si>
    <t>PRAVIN RAJ P</t>
  </si>
  <si>
    <t>7376231EE144</t>
  </si>
  <si>
    <t>PUNITHA S</t>
  </si>
  <si>
    <t>7376231EE145</t>
  </si>
  <si>
    <t>RAGUPATHI M</t>
  </si>
  <si>
    <t>7376231EE146</t>
  </si>
  <si>
    <t>RAJA PRADEEPA R</t>
  </si>
  <si>
    <t>7376231EE147</t>
  </si>
  <si>
    <t>ROHITH M</t>
  </si>
  <si>
    <t>7376231EE148</t>
  </si>
  <si>
    <t>SANTHIYA V</t>
  </si>
  <si>
    <t>7376231EE149</t>
  </si>
  <si>
    <t>SANTHOSH V</t>
  </si>
  <si>
    <t>7376231EE150</t>
  </si>
  <si>
    <t>SARAN R</t>
  </si>
  <si>
    <t>7376231EE151</t>
  </si>
  <si>
    <t>SARVESH K</t>
  </si>
  <si>
    <t>7376231EE152</t>
  </si>
  <si>
    <t>SHREE SUBI G</t>
  </si>
  <si>
    <t>7376231EE153</t>
  </si>
  <si>
    <t>SIVA P</t>
  </si>
  <si>
    <t>7376231EE154</t>
  </si>
  <si>
    <t>SOWKANDHIKA M</t>
  </si>
  <si>
    <t>7376231EE155</t>
  </si>
  <si>
    <t>SRI BALAJI S</t>
  </si>
  <si>
    <t>7376231EE156</t>
  </si>
  <si>
    <t>SUBASRI N</t>
  </si>
  <si>
    <t>7376231EE157</t>
  </si>
  <si>
    <t>THARUNYA S T</t>
  </si>
  <si>
    <t>7376231EE158</t>
  </si>
  <si>
    <t>VEDARISHABAA J</t>
  </si>
  <si>
    <t>7376231EE159</t>
  </si>
  <si>
    <t>VISHNU V</t>
  </si>
  <si>
    <t>7376231EE160</t>
  </si>
  <si>
    <t>VISHNUTHARAN K</t>
  </si>
  <si>
    <t>7376231EE161</t>
  </si>
  <si>
    <t>YUVASHRI J</t>
  </si>
  <si>
    <t>7376241EE501</t>
  </si>
  <si>
    <t>JEEVA PRAKASH S</t>
  </si>
  <si>
    <t>7376241EE502</t>
  </si>
  <si>
    <t>KANISHK S J</t>
  </si>
  <si>
    <t>7376241EE503</t>
  </si>
  <si>
    <t>RANJITH R</t>
  </si>
  <si>
    <t>7376241EE504</t>
  </si>
  <si>
    <t>SELVA LATHISH S</t>
  </si>
  <si>
    <t>7376241EE505</t>
  </si>
  <si>
    <t>VASUKI A S</t>
  </si>
  <si>
    <t>7376241EE506</t>
  </si>
  <si>
    <t>VELU PRABHAKARAN M</t>
  </si>
  <si>
    <t>No.of.Candidates Passed in the Exam</t>
  </si>
  <si>
    <t>PASS%</t>
  </si>
  <si>
    <t>Number of students scoring marks in the range mentioned</t>
  </si>
  <si>
    <t>CO target</t>
  </si>
  <si>
    <t>CO1 attainment</t>
  </si>
  <si>
    <t>CO2 attainment</t>
  </si>
  <si>
    <t>CO3 attainment</t>
  </si>
  <si>
    <t>CO4 attainment</t>
  </si>
  <si>
    <t>CO5  attainment</t>
  </si>
  <si>
    <t>PT1 ANALYSIS</t>
  </si>
  <si>
    <t>No. of students Appeared, Absent, Passed graph (Clustered Column Graph)</t>
  </si>
  <si>
    <t>Appeared</t>
  </si>
  <si>
    <t>Absent</t>
  </si>
  <si>
    <t>Passed</t>
  </si>
  <si>
    <t>Number of students in mark range (0-20. 21-50. 51-80. 81-100) graph (Clustered Column Graph) in %</t>
  </si>
  <si>
    <t>Percentage</t>
  </si>
  <si>
    <t>Min, Max and Avg., Mark comparison (Clustered Column Graph)</t>
  </si>
  <si>
    <t>PT2 ANALYSIS</t>
  </si>
  <si>
    <t>Innovative Practice</t>
  </si>
  <si>
    <t>IP1</t>
  </si>
  <si>
    <t>IP2</t>
  </si>
  <si>
    <t>Academic Year:</t>
  </si>
  <si>
    <t>Sem &amp; Year:</t>
  </si>
  <si>
    <t>Course Code &amp; Title:</t>
  </si>
  <si>
    <t>Faculty:</t>
  </si>
  <si>
    <t xml:space="preserve">PT 1
</t>
  </si>
  <si>
    <t>Scale</t>
  </si>
  <si>
    <t>CO Attainment Summary</t>
  </si>
  <si>
    <t>CO1</t>
  </si>
  <si>
    <t>CO2</t>
  </si>
  <si>
    <t>CO3</t>
  </si>
  <si>
    <t>CO4</t>
  </si>
  <si>
    <t>CO5</t>
  </si>
  <si>
    <t>Total No. of Students</t>
  </si>
  <si>
    <t>Target CO%:</t>
  </si>
  <si>
    <t>Total No. of Students Achieved the Target CO%</t>
  </si>
  <si>
    <t>Total No. of Students:</t>
  </si>
  <si>
    <t>Attainment Level</t>
  </si>
  <si>
    <t>Total No. of Attended Students:</t>
  </si>
  <si>
    <t>Total No. of Students who need Remedial Class</t>
  </si>
  <si>
    <t>S.No</t>
  </si>
  <si>
    <t>Reg.No.</t>
  </si>
  <si>
    <t>MARKS ALLOCATED</t>
  </si>
  <si>
    <t>MARKS OBTAINED</t>
  </si>
  <si>
    <t>CO ATTAINMENT %</t>
  </si>
  <si>
    <t>ATTAINMENT of COs</t>
  </si>
  <si>
    <t>Marks</t>
  </si>
  <si>
    <t xml:space="preserve">PT 2
</t>
  </si>
  <si>
    <t xml:space="preserve">End Semester Exam
</t>
  </si>
  <si>
    <t>2024-2025 EVEN</t>
  </si>
  <si>
    <t>IV &amp; II</t>
  </si>
  <si>
    <t>Faculty Name</t>
  </si>
  <si>
    <t>Level</t>
  </si>
  <si>
    <t>Range From</t>
  </si>
  <si>
    <t>Range To</t>
  </si>
  <si>
    <t>Target marks for CO :</t>
  </si>
  <si>
    <t>Level 0</t>
  </si>
  <si>
    <t>&lt;50% of students scoring less than the target marks</t>
  </si>
  <si>
    <t>Level 1</t>
  </si>
  <si>
    <t>50% of students scoring more than the target marks</t>
  </si>
  <si>
    <t>Level 2</t>
  </si>
  <si>
    <t>60% of students scoring more than the target marks</t>
  </si>
  <si>
    <t>Level 3</t>
  </si>
  <si>
    <t>70% of students scoring more than the target marks</t>
  </si>
  <si>
    <t>CO ATTAINMENT</t>
  </si>
  <si>
    <t>Direct Assessment</t>
  </si>
  <si>
    <t>Test 1</t>
  </si>
  <si>
    <t>Test 2</t>
  </si>
  <si>
    <t>ESM</t>
  </si>
  <si>
    <t>Continuous Internal Evaluation (CIE)</t>
  </si>
  <si>
    <t>Direct CO Attainment (100%)</t>
  </si>
  <si>
    <t>Course Exit Survey (CES)</t>
  </si>
  <si>
    <t>Final CO Attainment Level (80% Direct CO Att. + 20% CES)</t>
  </si>
  <si>
    <t>PO &amp; PSO ATTAINMENT</t>
  </si>
  <si>
    <t>CO-PO-PSO Articulation Matrix</t>
  </si>
  <si>
    <t>CO No.</t>
  </si>
  <si>
    <t>Average</t>
  </si>
  <si>
    <t>PO &amp; PSO Attainment Level and Percentage</t>
  </si>
  <si>
    <t>CO Attainment</t>
  </si>
  <si>
    <t>Overall PO/PSO Level</t>
  </si>
  <si>
    <t>Overall PO/PSO %</t>
  </si>
  <si>
    <t>Semester End Examination (SEE)</t>
  </si>
  <si>
    <t>CO Attainment Level (80% Direct CO Att. + 20% CES)</t>
  </si>
  <si>
    <t>PO &amp; PSO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</si>
</sst>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2"/>
      <color theme="1"/>
      <name val="Times New Roman"/>
    </font>
    <font>
      <sz val="12"/>
      <color rgb="FF000000"/>
      <name val="Calibri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</font>
    <font>
      <b/>
      <sz val="12"/>
      <color theme="1"/>
      <name val="&quot;Times New Roman&quot;"/>
    </font>
    <font>
      <sz val="12"/>
      <color theme="1"/>
      <name val="Arial"/>
    </font>
    <font>
      <sz val="9"/>
      <color rgb="FF000000"/>
      <name val="Times New Roman"/>
    </font>
    <font>
      <b/>
      <sz val="20"/>
      <color rgb="FF000000"/>
      <name val="Calibri"/>
    </font>
    <font>
      <sz val="18"/>
      <color theme="1"/>
      <name val="Arial"/>
    </font>
    <font>
      <b/>
      <sz val="15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2"/>
      <color rgb="FF000000"/>
      <name val="Times"/>
    </font>
    <font>
      <b/>
      <u/>
      <sz val="14"/>
      <color rgb="FF000000"/>
      <name val="Calibri"/>
    </font>
    <font>
      <sz val="12"/>
      <color theme="1"/>
      <name val="Calibri"/>
    </font>
    <font>
      <b/>
      <sz val="10"/>
      <color rgb="FF000000"/>
      <name val="Arial"/>
    </font>
    <font>
      <b/>
      <u/>
      <sz val="14"/>
      <color rgb="FF000000"/>
      <name val="Calibri"/>
    </font>
    <font>
      <sz val="18"/>
      <color rgb="FF000000"/>
      <name val="Calibri"/>
    </font>
    <font>
      <sz val="11"/>
      <color theme="0"/>
      <name val="Inconsolata"/>
    </font>
    <font>
      <sz val="11"/>
      <color theme="1"/>
      <name val="Arial"/>
    </font>
    <font>
      <b/>
      <sz val="14"/>
      <color theme="1"/>
      <name val="Arial"/>
    </font>
    <font>
      <b/>
      <i/>
      <sz val="12"/>
      <color rgb="FF000000"/>
      <name val="Calibri"/>
    </font>
    <font>
      <b/>
      <i/>
      <sz val="12"/>
      <color theme="1"/>
      <name val="Calibri"/>
    </font>
    <font>
      <sz val="11"/>
      <color rgb="FF000000"/>
      <name val="Inconsolata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AD592"/>
        <bgColor rgb="FF7AD592"/>
      </patternFill>
    </fill>
    <fill>
      <patternFill patternType="solid">
        <fgColor rgb="FFF6B3AE"/>
        <bgColor rgb="FFF6B3AE"/>
      </patternFill>
    </fill>
    <fill>
      <patternFill patternType="solid">
        <fgColor rgb="FF8DB5F8"/>
        <bgColor rgb="FF8DB5F8"/>
      </patternFill>
    </fill>
    <fill>
      <patternFill patternType="solid">
        <fgColor theme="6"/>
        <bgColor theme="6"/>
      </patternFill>
    </fill>
    <fill>
      <patternFill patternType="solid">
        <fgColor rgb="FFFFCC99"/>
        <bgColor rgb="FFFFCC99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</fills>
  <borders count="7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96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wrapText="1"/>
    </xf>
    <xf numFmtId="0" fontId="7" fillId="0" borderId="7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0" xfId="0" applyFont="1"/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/>
    <xf numFmtId="0" fontId="9" fillId="3" borderId="4" xfId="0" applyFont="1" applyFill="1" applyBorder="1" applyAlignment="1">
      <alignment horizontal="center"/>
    </xf>
    <xf numFmtId="4" fontId="3" fillId="0" borderId="0" xfId="0" applyNumberFormat="1" applyFont="1"/>
    <xf numFmtId="0" fontId="10" fillId="0" borderId="0" xfId="0" applyFont="1"/>
    <xf numFmtId="0" fontId="1" fillId="0" borderId="10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/>
    <xf numFmtId="0" fontId="1" fillId="0" borderId="10" xfId="0" applyFont="1" applyBorder="1" applyAlignment="1"/>
    <xf numFmtId="0" fontId="7" fillId="0" borderId="8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0" borderId="0" xfId="0" applyFont="1"/>
    <xf numFmtId="0" fontId="1" fillId="0" borderId="0" xfId="0" applyFont="1" applyAlignment="1"/>
    <xf numFmtId="0" fontId="12" fillId="0" borderId="0" xfId="0" applyFont="1" applyAlignment="1"/>
    <xf numFmtId="0" fontId="12" fillId="0" borderId="0" xfId="0" applyFont="1" applyAlignment="1"/>
    <xf numFmtId="0" fontId="4" fillId="0" borderId="8" xfId="0" applyFont="1" applyBorder="1" applyAlignment="1">
      <alignment horizontal="center" wrapText="1"/>
    </xf>
    <xf numFmtId="0" fontId="1" fillId="0" borderId="7" xfId="0" applyFont="1" applyBorder="1" applyAlignment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9" xfId="0" applyFont="1" applyBorder="1" applyAlignment="1"/>
    <xf numFmtId="0" fontId="1" fillId="0" borderId="12" xfId="0" applyFont="1" applyBorder="1" applyAlignment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0" xfId="0" applyFont="1"/>
    <xf numFmtId="0" fontId="14" fillId="0" borderId="8" xfId="0" applyFont="1" applyBorder="1" applyAlignment="1">
      <alignment horizontal="center"/>
    </xf>
    <xf numFmtId="0" fontId="13" fillId="0" borderId="0" xfId="0" applyFont="1" applyAlignment="1"/>
    <xf numFmtId="1" fontId="1" fillId="0" borderId="8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7" fillId="0" borderId="0" xfId="0" applyFont="1" applyAlignment="1"/>
    <xf numFmtId="0" fontId="5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21" fillId="0" borderId="0" xfId="0" applyFont="1" applyAlignment="1"/>
    <xf numFmtId="0" fontId="22" fillId="0" borderId="0" xfId="0" applyFont="1" applyAlignment="1">
      <alignment horizontal="right"/>
    </xf>
    <xf numFmtId="0" fontId="5" fillId="2" borderId="14" xfId="0" applyFont="1" applyFill="1" applyBorder="1" applyAlignment="1">
      <alignment horizontal="right"/>
    </xf>
    <xf numFmtId="0" fontId="20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1" fillId="3" borderId="35" xfId="0" applyFont="1" applyFill="1" applyBorder="1" applyAlignment="1"/>
    <xf numFmtId="0" fontId="5" fillId="3" borderId="36" xfId="0" applyFont="1" applyFill="1" applyBorder="1" applyAlignment="1">
      <alignment horizontal="right"/>
    </xf>
    <xf numFmtId="1" fontId="5" fillId="2" borderId="37" xfId="0" applyNumberFormat="1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1" fillId="3" borderId="42" xfId="0" applyFont="1" applyFill="1" applyBorder="1" applyAlignment="1"/>
    <xf numFmtId="0" fontId="5" fillId="3" borderId="4" xfId="0" applyFont="1" applyFill="1" applyBorder="1" applyAlignment="1">
      <alignment horizontal="right"/>
    </xf>
    <xf numFmtId="1" fontId="5" fillId="2" borderId="29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1" fillId="3" borderId="47" xfId="0" applyFont="1" applyFill="1" applyBorder="1" applyAlignment="1"/>
    <xf numFmtId="0" fontId="5" fillId="3" borderId="48" xfId="0" applyFont="1" applyFill="1" applyBorder="1" applyAlignment="1">
      <alignment horizontal="right"/>
    </xf>
    <xf numFmtId="1" fontId="5" fillId="2" borderId="49" xfId="0" applyNumberFormat="1" applyFont="1" applyFill="1" applyBorder="1" applyAlignment="1">
      <alignment horizontal="center"/>
    </xf>
    <xf numFmtId="1" fontId="24" fillId="2" borderId="48" xfId="0" applyNumberFormat="1" applyFont="1" applyFill="1" applyBorder="1" applyAlignment="1">
      <alignment horizontal="center"/>
    </xf>
    <xf numFmtId="1" fontId="24" fillId="2" borderId="49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20" fillId="2" borderId="14" xfId="0" applyFont="1" applyFill="1" applyBorder="1" applyAlignment="1"/>
    <xf numFmtId="0" fontId="5" fillId="5" borderId="58" xfId="0" applyFont="1" applyFill="1" applyBorder="1" applyAlignment="1">
      <alignment horizontal="center" vertical="center"/>
    </xf>
    <xf numFmtId="0" fontId="5" fillId="5" borderId="5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1" fontId="5" fillId="2" borderId="60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5" fillId="2" borderId="61" xfId="0" applyNumberFormat="1" applyFont="1" applyFill="1" applyBorder="1" applyAlignment="1">
      <alignment horizontal="center"/>
    </xf>
    <xf numFmtId="0" fontId="20" fillId="2" borderId="62" xfId="0" applyFont="1" applyFill="1" applyBorder="1" applyAlignment="1"/>
    <xf numFmtId="0" fontId="5" fillId="5" borderId="4" xfId="0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1" fontId="24" fillId="2" borderId="6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" fontId="7" fillId="2" borderId="58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7" fillId="0" borderId="0" xfId="0" applyFont="1" applyAlignment="1"/>
    <xf numFmtId="0" fontId="28" fillId="2" borderId="0" xfId="0" applyFont="1" applyFill="1"/>
    <xf numFmtId="0" fontId="9" fillId="0" borderId="0" xfId="0" applyFont="1" applyAlignment="1"/>
    <xf numFmtId="0" fontId="20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9" fillId="2" borderId="0" xfId="0" applyFont="1" applyFill="1" applyAlignment="1">
      <alignment horizontal="right"/>
    </xf>
    <xf numFmtId="0" fontId="9" fillId="0" borderId="0" xfId="0" applyFont="1" applyAlignment="1">
      <alignment horizontal="left"/>
    </xf>
    <xf numFmtId="0" fontId="5" fillId="2" borderId="0" xfId="0" applyFont="1" applyFill="1" applyAlignment="1">
      <alignment horizontal="right"/>
    </xf>
    <xf numFmtId="0" fontId="29" fillId="0" borderId="0" xfId="0" applyFont="1"/>
    <xf numFmtId="0" fontId="29" fillId="0" borderId="0" xfId="0" applyFont="1" applyAlignment="1"/>
    <xf numFmtId="0" fontId="2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22" fillId="2" borderId="0" xfId="0" applyFont="1" applyFill="1" applyAlignment="1">
      <alignment horizontal="right"/>
    </xf>
    <xf numFmtId="0" fontId="3" fillId="2" borderId="0" xfId="0" applyFont="1" applyFill="1"/>
    <xf numFmtId="0" fontId="5" fillId="2" borderId="0" xfId="0" applyFont="1" applyFill="1" applyAlignment="1">
      <alignment horizontal="left"/>
    </xf>
    <xf numFmtId="0" fontId="5" fillId="2" borderId="14" xfId="0" applyFont="1" applyFill="1" applyBorder="1" applyAlignment="1">
      <alignment horizontal="left"/>
    </xf>
    <xf numFmtId="0" fontId="22" fillId="0" borderId="0" xfId="0" applyFont="1" applyAlignment="1">
      <alignment horizontal="center"/>
    </xf>
    <xf numFmtId="0" fontId="20" fillId="0" borderId="69" xfId="0" applyFont="1" applyBorder="1" applyAlignment="1"/>
    <xf numFmtId="0" fontId="5" fillId="0" borderId="0" xfId="0" applyFont="1" applyAlignment="1">
      <alignment horizontal="center"/>
    </xf>
    <xf numFmtId="0" fontId="5" fillId="0" borderId="27" xfId="0" applyFont="1" applyBorder="1" applyAlignment="1">
      <alignment horizontal="right"/>
    </xf>
    <xf numFmtId="0" fontId="5" fillId="6" borderId="4" xfId="0" applyFont="1" applyFill="1" applyBorder="1" applyAlignment="1">
      <alignment horizontal="center"/>
    </xf>
    <xf numFmtId="0" fontId="5" fillId="2" borderId="70" xfId="0" applyFont="1" applyFill="1" applyBorder="1" applyAlignment="1">
      <alignment horizontal="center"/>
    </xf>
    <xf numFmtId="0" fontId="20" fillId="0" borderId="27" xfId="0" applyFont="1" applyBorder="1" applyAlignment="1"/>
    <xf numFmtId="0" fontId="32" fillId="2" borderId="4" xfId="0" applyFont="1" applyFill="1" applyBorder="1" applyAlignment="1">
      <alignment horizontal="center"/>
    </xf>
    <xf numFmtId="0" fontId="32" fillId="2" borderId="7" xfId="0" applyFont="1" applyFill="1" applyBorder="1" applyAlignment="1">
      <alignment horizontal="center"/>
    </xf>
    <xf numFmtId="0" fontId="20" fillId="2" borderId="70" xfId="0" applyFont="1" applyFill="1" applyBorder="1" applyAlignment="1"/>
    <xf numFmtId="0" fontId="32" fillId="2" borderId="7" xfId="0" applyFont="1" applyFill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" fontId="4" fillId="4" borderId="8" xfId="0" applyNumberFormat="1" applyFont="1" applyFill="1" applyBorder="1" applyAlignment="1">
      <alignment horizontal="center"/>
    </xf>
    <xf numFmtId="4" fontId="5" fillId="2" borderId="70" xfId="0" applyNumberFormat="1" applyFont="1" applyFill="1" applyBorder="1" applyAlignment="1">
      <alignment horizontal="center"/>
    </xf>
    <xf numFmtId="4" fontId="5" fillId="2" borderId="14" xfId="0" applyNumberFormat="1" applyFont="1" applyFill="1" applyBorder="1" applyAlignment="1">
      <alignment horizontal="center"/>
    </xf>
    <xf numFmtId="0" fontId="33" fillId="2" borderId="0" xfId="0" applyFont="1" applyFill="1" applyAlignment="1">
      <alignment horizontal="left"/>
    </xf>
    <xf numFmtId="4" fontId="1" fillId="7" borderId="8" xfId="0" applyNumberFormat="1" applyFont="1" applyFill="1" applyBorder="1" applyAlignment="1"/>
    <xf numFmtId="4" fontId="4" fillId="7" borderId="8" xfId="0" applyNumberFormat="1" applyFont="1" applyFill="1" applyBorder="1" applyAlignment="1">
      <alignment horizontal="center"/>
    </xf>
    <xf numFmtId="0" fontId="21" fillId="0" borderId="0" xfId="0" applyFont="1" applyAlignment="1">
      <alignment horizontal="left" vertical="top"/>
    </xf>
    <xf numFmtId="4" fontId="1" fillId="6" borderId="8" xfId="0" applyNumberFormat="1" applyFont="1" applyFill="1" applyBorder="1" applyAlignment="1"/>
    <xf numFmtId="4" fontId="4" fillId="6" borderId="8" xfId="0" applyNumberFormat="1" applyFont="1" applyFill="1" applyBorder="1" applyAlignment="1">
      <alignment horizontal="center"/>
    </xf>
    <xf numFmtId="4" fontId="1" fillId="5" borderId="8" xfId="0" applyNumberFormat="1" applyFont="1" applyFill="1" applyBorder="1" applyAlignment="1"/>
    <xf numFmtId="4" fontId="4" fillId="5" borderId="8" xfId="0" applyNumberFormat="1" applyFont="1" applyFill="1" applyBorder="1" applyAlignment="1">
      <alignment horizontal="center"/>
    </xf>
    <xf numFmtId="0" fontId="9" fillId="0" borderId="66" xfId="0" applyFont="1" applyBorder="1" applyAlignment="1"/>
    <xf numFmtId="0" fontId="9" fillId="0" borderId="67" xfId="0" applyFont="1" applyBorder="1" applyAlignment="1"/>
    <xf numFmtId="0" fontId="20" fillId="0" borderId="67" xfId="0" applyFont="1" applyBorder="1" applyAlignment="1"/>
    <xf numFmtId="0" fontId="5" fillId="2" borderId="71" xfId="0" applyFont="1" applyFill="1" applyBorder="1" applyAlignment="1">
      <alignment horizontal="right"/>
    </xf>
    <xf numFmtId="0" fontId="5" fillId="0" borderId="68" xfId="0" applyFont="1" applyBorder="1" applyAlignment="1">
      <alignment horizontal="right"/>
    </xf>
    <xf numFmtId="0" fontId="20" fillId="0" borderId="65" xfId="0" applyFont="1" applyBorder="1" applyAlignment="1"/>
    <xf numFmtId="0" fontId="20" fillId="0" borderId="20" xfId="0" applyFont="1" applyBorder="1" applyAlignment="1"/>
    <xf numFmtId="0" fontId="5" fillId="0" borderId="21" xfId="0" applyFont="1" applyBorder="1" applyAlignment="1">
      <alignment horizontal="right"/>
    </xf>
    <xf numFmtId="0" fontId="9" fillId="0" borderId="69" xfId="0" applyFont="1" applyBorder="1" applyAlignment="1"/>
    <xf numFmtId="0" fontId="5" fillId="8" borderId="4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4" fontId="29" fillId="0" borderId="0" xfId="0" applyNumberFormat="1" applyFont="1"/>
    <xf numFmtId="0" fontId="5" fillId="8" borderId="4" xfId="0" applyFont="1" applyFill="1" applyBorder="1" applyAlignment="1"/>
    <xf numFmtId="4" fontId="5" fillId="8" borderId="4" xfId="0" applyNumberFormat="1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10" borderId="72" xfId="0" applyFont="1" applyFill="1" applyBorder="1" applyAlignment="1">
      <alignment horizontal="center"/>
    </xf>
    <xf numFmtId="4" fontId="9" fillId="0" borderId="7" xfId="0" applyNumberFormat="1" applyFont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4" fontId="20" fillId="0" borderId="69" xfId="0" applyNumberFormat="1" applyFont="1" applyBorder="1" applyAlignment="1"/>
    <xf numFmtId="4" fontId="20" fillId="0" borderId="0" xfId="0" applyNumberFormat="1" applyFont="1" applyAlignment="1"/>
    <xf numFmtId="4" fontId="5" fillId="10" borderId="4" xfId="0" applyNumberFormat="1" applyFont="1" applyFill="1" applyBorder="1" applyAlignment="1">
      <alignment horizontal="center"/>
    </xf>
    <xf numFmtId="4" fontId="5" fillId="0" borderId="27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" fontId="20" fillId="2" borderId="76" xfId="0" applyNumberFormat="1" applyFont="1" applyFill="1" applyBorder="1" applyAlignment="1"/>
    <xf numFmtId="4" fontId="20" fillId="2" borderId="14" xfId="0" applyNumberFormat="1" applyFont="1" applyFill="1" applyBorder="1" applyAlignment="1"/>
    <xf numFmtId="4" fontId="5" fillId="2" borderId="77" xfId="0" applyNumberFormat="1" applyFont="1" applyFill="1" applyBorder="1" applyAlignment="1">
      <alignment horizontal="right"/>
    </xf>
    <xf numFmtId="4" fontId="5" fillId="2" borderId="14" xfId="0" applyNumberFormat="1" applyFont="1" applyFill="1" applyBorder="1" applyAlignment="1">
      <alignment horizontal="right"/>
    </xf>
    <xf numFmtId="4" fontId="19" fillId="2" borderId="14" xfId="0" applyNumberFormat="1" applyFont="1" applyFill="1" applyBorder="1" applyAlignment="1">
      <alignment horizontal="right"/>
    </xf>
    <xf numFmtId="0" fontId="20" fillId="0" borderId="66" xfId="0" applyFont="1" applyBorder="1" applyAlignment="1"/>
    <xf numFmtId="0" fontId="4" fillId="11" borderId="0" xfId="0" applyFont="1" applyFill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4" fontId="4" fillId="4" borderId="4" xfId="0" applyNumberFormat="1" applyFont="1" applyFill="1" applyBorder="1" applyAlignment="1">
      <alignment horizontal="center"/>
    </xf>
    <xf numFmtId="4" fontId="4" fillId="12" borderId="4" xfId="0" applyNumberFormat="1" applyFont="1" applyFill="1" applyBorder="1" applyAlignment="1">
      <alignment horizontal="center"/>
    </xf>
    <xf numFmtId="4" fontId="4" fillId="12" borderId="4" xfId="0" applyNumberFormat="1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4" fontId="4" fillId="14" borderId="4" xfId="0" applyNumberFormat="1" applyFont="1" applyFill="1" applyBorder="1" applyAlignment="1">
      <alignment horizontal="center"/>
    </xf>
    <xf numFmtId="4" fontId="1" fillId="12" borderId="4" xfId="0" applyNumberFormat="1" applyFont="1" applyFill="1" applyBorder="1" applyAlignment="1"/>
    <xf numFmtId="0" fontId="1" fillId="0" borderId="0" xfId="0" applyFont="1" applyAlignment="1"/>
    <xf numFmtId="3" fontId="4" fillId="4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5" fillId="2" borderId="1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wrapText="1"/>
    </xf>
    <xf numFmtId="0" fontId="2" fillId="0" borderId="8" xfId="0" applyFont="1" applyBorder="1"/>
    <xf numFmtId="0" fontId="4" fillId="2" borderId="2" xfId="0" applyFont="1" applyFill="1" applyBorder="1" applyAlignment="1">
      <alignment horizontal="center" wrapText="1"/>
    </xf>
    <xf numFmtId="0" fontId="1" fillId="0" borderId="0" xfId="0" applyFont="1" applyAlignment="1"/>
    <xf numFmtId="0" fontId="0" fillId="0" borderId="0" xfId="0" applyFont="1" applyAlignment="1"/>
    <xf numFmtId="0" fontId="13" fillId="0" borderId="0" xfId="0" applyFont="1" applyAlignment="1">
      <alignment wrapText="1"/>
    </xf>
    <xf numFmtId="0" fontId="1" fillId="0" borderId="9" xfId="0" applyFont="1" applyBorder="1" applyAlignment="1"/>
    <xf numFmtId="0" fontId="2" fillId="0" borderId="9" xfId="0" applyFont="1" applyBorder="1"/>
    <xf numFmtId="0" fontId="4" fillId="0" borderId="11" xfId="0" applyFont="1" applyBorder="1" applyAlignment="1">
      <alignment horizontal="center" wrapText="1"/>
    </xf>
    <xf numFmtId="0" fontId="2" fillId="0" borderId="7" xfId="0" applyFont="1" applyBorder="1"/>
    <xf numFmtId="0" fontId="4" fillId="2" borderId="6" xfId="0" applyFont="1" applyFill="1" applyBorder="1" applyAlignment="1">
      <alignment horizontal="center" wrapText="1"/>
    </xf>
    <xf numFmtId="0" fontId="4" fillId="0" borderId="13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0" fontId="23" fillId="2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4" fillId="2" borderId="22" xfId="0" applyFont="1" applyFill="1" applyBorder="1" applyAlignment="1">
      <alignment horizontal="center"/>
    </xf>
    <xf numFmtId="0" fontId="2" fillId="0" borderId="23" xfId="0" applyFont="1" applyBorder="1"/>
    <xf numFmtId="0" fontId="2" fillId="0" borderId="24" xfId="0" applyFont="1" applyBorder="1"/>
    <xf numFmtId="0" fontId="5" fillId="2" borderId="18" xfId="0" applyFont="1" applyFill="1" applyBorder="1" applyAlignment="1">
      <alignment horizontal="center" vertical="center" textRotation="90"/>
    </xf>
    <xf numFmtId="0" fontId="2" fillId="0" borderId="25" xfId="0" applyFont="1" applyBorder="1"/>
    <xf numFmtId="0" fontId="2" fillId="0" borderId="30" xfId="0" applyFont="1" applyBorder="1"/>
    <xf numFmtId="0" fontId="5" fillId="2" borderId="19" xfId="0" applyFont="1" applyFill="1" applyBorder="1" applyAlignment="1">
      <alignment horizontal="left"/>
    </xf>
    <xf numFmtId="0" fontId="2" fillId="0" borderId="20" xfId="0" applyFont="1" applyBorder="1"/>
    <xf numFmtId="0" fontId="2" fillId="0" borderId="21" xfId="0" applyFont="1" applyBorder="1"/>
    <xf numFmtId="0" fontId="2" fillId="0" borderId="26" xfId="0" applyFont="1" applyBorder="1"/>
    <xf numFmtId="0" fontId="2" fillId="0" borderId="27" xfId="0" applyFont="1" applyBorder="1"/>
    <xf numFmtId="0" fontId="24" fillId="2" borderId="28" xfId="0" applyFont="1" applyFill="1" applyBorder="1" applyAlignment="1"/>
    <xf numFmtId="0" fontId="25" fillId="2" borderId="28" xfId="0" applyFont="1" applyFill="1" applyBorder="1" applyAlignment="1">
      <alignment horizontal="right"/>
    </xf>
    <xf numFmtId="0" fontId="5" fillId="2" borderId="31" xfId="0" applyFont="1" applyFill="1" applyBorder="1" applyAlignment="1">
      <alignment horizontal="right"/>
    </xf>
    <xf numFmtId="0" fontId="2" fillId="0" borderId="32" xfId="0" applyFont="1" applyBorder="1"/>
    <xf numFmtId="0" fontId="5" fillId="2" borderId="33" xfId="0" applyFont="1" applyFill="1" applyBorder="1" applyAlignment="1">
      <alignment horizontal="center"/>
    </xf>
    <xf numFmtId="0" fontId="2" fillId="0" borderId="34" xfId="0" applyFont="1" applyBorder="1"/>
    <xf numFmtId="0" fontId="5" fillId="5" borderId="11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5" fillId="5" borderId="5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right"/>
    </xf>
    <xf numFmtId="0" fontId="2" fillId="0" borderId="39" xfId="0" applyFont="1" applyBorder="1"/>
    <xf numFmtId="0" fontId="5" fillId="2" borderId="40" xfId="0" applyFont="1" applyFill="1" applyBorder="1" applyAlignment="1">
      <alignment horizontal="center"/>
    </xf>
    <xf numFmtId="0" fontId="2" fillId="0" borderId="41" xfId="0" applyFont="1" applyBorder="1"/>
    <xf numFmtId="0" fontId="5" fillId="2" borderId="43" xfId="0" applyFont="1" applyFill="1" applyBorder="1" applyAlignment="1">
      <alignment horizontal="right" vertical="center"/>
    </xf>
    <xf numFmtId="0" fontId="2" fillId="0" borderId="44" xfId="0" applyFont="1" applyBorder="1"/>
    <xf numFmtId="0" fontId="5" fillId="2" borderId="45" xfId="0" applyFont="1" applyFill="1" applyBorder="1" applyAlignment="1">
      <alignment horizontal="center"/>
    </xf>
    <xf numFmtId="0" fontId="2" fillId="0" borderId="46" xfId="0" applyFont="1" applyBorder="1"/>
    <xf numFmtId="0" fontId="19" fillId="2" borderId="50" xfId="0" applyFont="1" applyFill="1" applyBorder="1" applyAlignment="1">
      <alignment horizontal="right"/>
    </xf>
    <xf numFmtId="0" fontId="2" fillId="0" borderId="51" xfId="0" applyFont="1" applyBorder="1"/>
    <xf numFmtId="0" fontId="2" fillId="0" borderId="52" xfId="0" applyFont="1" applyBorder="1"/>
    <xf numFmtId="0" fontId="5" fillId="0" borderId="0" xfId="0" applyFont="1" applyAlignment="1">
      <alignment horizontal="left"/>
    </xf>
    <xf numFmtId="0" fontId="26" fillId="2" borderId="1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/>
    </xf>
    <xf numFmtId="0" fontId="30" fillId="6" borderId="65" xfId="0" applyFont="1" applyFill="1" applyBorder="1" applyAlignment="1">
      <alignment horizontal="center" vertical="center"/>
    </xf>
    <xf numFmtId="0" fontId="2" fillId="0" borderId="66" xfId="0" applyFont="1" applyBorder="1"/>
    <xf numFmtId="0" fontId="2" fillId="0" borderId="67" xfId="0" applyFont="1" applyBorder="1"/>
    <xf numFmtId="0" fontId="2" fillId="0" borderId="68" xfId="0" applyFont="1" applyBorder="1"/>
    <xf numFmtId="0" fontId="5" fillId="6" borderId="1" xfId="0" applyFont="1" applyFill="1" applyBorder="1" applyAlignment="1">
      <alignment horizontal="center"/>
    </xf>
    <xf numFmtId="0" fontId="31" fillId="2" borderId="1" xfId="0" applyFont="1" applyFill="1" applyBorder="1" applyAlignment="1"/>
    <xf numFmtId="0" fontId="31" fillId="2" borderId="1" xfId="0" applyFont="1" applyFill="1" applyBorder="1" applyAlignment="1">
      <alignment horizontal="left"/>
    </xf>
    <xf numFmtId="0" fontId="32" fillId="2" borderId="1" xfId="0" applyFont="1" applyFill="1" applyBorder="1" applyAlignment="1"/>
    <xf numFmtId="4" fontId="4" fillId="4" borderId="13" xfId="0" applyNumberFormat="1" applyFont="1" applyFill="1" applyBorder="1" applyAlignment="1"/>
    <xf numFmtId="4" fontId="4" fillId="7" borderId="13" xfId="0" applyNumberFormat="1" applyFont="1" applyFill="1" applyBorder="1" applyAlignment="1"/>
    <xf numFmtId="4" fontId="4" fillId="6" borderId="13" xfId="0" applyNumberFormat="1" applyFont="1" applyFill="1" applyBorder="1" applyAlignment="1"/>
    <xf numFmtId="4" fontId="4" fillId="5" borderId="13" xfId="0" applyNumberFormat="1" applyFont="1" applyFill="1" applyBorder="1" applyAlignment="1"/>
    <xf numFmtId="4" fontId="5" fillId="5" borderId="73" xfId="0" applyNumberFormat="1" applyFont="1" applyFill="1" applyBorder="1" applyAlignment="1">
      <alignment horizontal="center"/>
    </xf>
    <xf numFmtId="0" fontId="2" fillId="0" borderId="74" xfId="0" applyFont="1" applyBorder="1"/>
    <xf numFmtId="4" fontId="5" fillId="5" borderId="75" xfId="0" applyNumberFormat="1" applyFont="1" applyFill="1" applyBorder="1" applyAlignment="1">
      <alignment horizontal="center"/>
    </xf>
    <xf numFmtId="4" fontId="5" fillId="10" borderId="1" xfId="0" applyNumberFormat="1" applyFont="1" applyFill="1" applyBorder="1" applyAlignment="1">
      <alignment horizontal="center"/>
    </xf>
    <xf numFmtId="4" fontId="5" fillId="2" borderId="40" xfId="0" applyNumberFormat="1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Graph!$I$16:$K$16</c:f>
              <c:strCache>
                <c:ptCount val="3"/>
                <c:pt idx="0">
                  <c:v>Appeared</c:v>
                </c:pt>
                <c:pt idx="1">
                  <c:v>Absent</c:v>
                </c:pt>
                <c:pt idx="2">
                  <c:v>Passed</c:v>
                </c:pt>
              </c:strCache>
            </c:strRef>
          </c:cat>
          <c:val>
            <c:numRef>
              <c:f>Graph!$I$17:$K$17</c:f>
              <c:numCache>
                <c:formatCode>General</c:formatCode>
                <c:ptCount val="3"/>
                <c:pt idx="0">
                  <c:v>66</c:v>
                </c:pt>
                <c:pt idx="1">
                  <c:v>0</c:v>
                </c:pt>
                <c:pt idx="2">
                  <c:v>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B5-429C-B70C-1BF302F11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8268541"/>
        <c:axId val="289217464"/>
      </c:barChart>
      <c:catAx>
        <c:axId val="648268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9217464"/>
        <c:crosses val="autoZero"/>
        <c:auto val="1"/>
        <c:lblAlgn val="ctr"/>
        <c:lblOffset val="100"/>
        <c:noMultiLvlLbl val="1"/>
      </c:catAx>
      <c:valAx>
        <c:axId val="28921746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Student Strength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826854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Graph!$I$32</c:f>
              <c:strCache>
                <c:ptCount val="1"/>
                <c:pt idx="0">
                  <c:v>0-20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Graph!$I$33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07-4DCF-BB32-DDAC49151F2A}"/>
            </c:ext>
          </c:extLst>
        </c:ser>
        <c:ser>
          <c:idx val="1"/>
          <c:order val="1"/>
          <c:tx>
            <c:strRef>
              <c:f>Graph!$J$32</c:f>
              <c:strCache>
                <c:ptCount val="1"/>
                <c:pt idx="0">
                  <c:v>21-50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507-4DCF-BB32-DDAC49151F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Graph!$J$33</c:f>
              <c:numCache>
                <c:formatCode>General</c:formatCode>
                <c:ptCount val="1"/>
                <c:pt idx="0">
                  <c:v>18.18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507-4DCF-BB32-DDAC49151F2A}"/>
            </c:ext>
          </c:extLst>
        </c:ser>
        <c:ser>
          <c:idx val="2"/>
          <c:order val="2"/>
          <c:tx>
            <c:strRef>
              <c:f>Graph!$K$32</c:f>
              <c:strCache>
                <c:ptCount val="1"/>
                <c:pt idx="0">
                  <c:v>51-80</c:v>
                </c:pt>
              </c:strCache>
            </c:strRef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Graph!$K$33</c:f>
              <c:numCache>
                <c:formatCode>General</c:formatCode>
                <c:ptCount val="1"/>
                <c:pt idx="0">
                  <c:v>81.819999999999993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507-4DCF-BB32-DDAC49151F2A}"/>
            </c:ext>
          </c:extLst>
        </c:ser>
        <c:ser>
          <c:idx val="3"/>
          <c:order val="3"/>
          <c:tx>
            <c:strRef>
              <c:f>Graph!$L$32</c:f>
              <c:strCache>
                <c:ptCount val="1"/>
                <c:pt idx="0">
                  <c:v>81-100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Graph!$L$33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507-4DCF-BB32-DDAC49151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236301"/>
        <c:axId val="1805027098"/>
      </c:barChart>
      <c:catAx>
        <c:axId val="430236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05027098"/>
        <c:crosses val="autoZero"/>
        <c:auto val="1"/>
        <c:lblAlgn val="ctr"/>
        <c:lblOffset val="100"/>
        <c:noMultiLvlLbl val="1"/>
      </c:catAx>
      <c:valAx>
        <c:axId val="1805027098"/>
        <c:scaling>
          <c:orientation val="minMax"/>
          <c:max val="10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023630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Graph!$I$50:$K$50</c:f>
              <c:strCache>
                <c:ptCount val="3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</c:strCache>
            </c:strRef>
          </c:cat>
          <c:val>
            <c:numRef>
              <c:f>Graph!$I$51:$K$51</c:f>
              <c:numCache>
                <c:formatCode>General</c:formatCode>
                <c:ptCount val="3"/>
                <c:pt idx="0">
                  <c:v>28</c:v>
                </c:pt>
                <c:pt idx="1">
                  <c:v>72</c:v>
                </c:pt>
                <c:pt idx="2" formatCode="0">
                  <c:v>58.666666666666664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C5-457A-9622-1E4CC9269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007854"/>
        <c:axId val="1943188893"/>
      </c:barChart>
      <c:catAx>
        <c:axId val="3350078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3188893"/>
        <c:crosses val="autoZero"/>
        <c:auto val="1"/>
        <c:lblAlgn val="ctr"/>
        <c:lblOffset val="100"/>
        <c:noMultiLvlLbl val="1"/>
      </c:catAx>
      <c:valAx>
        <c:axId val="194318889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Marks out of 100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500785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Graph!$I$71:$K$71</c:f>
              <c:strCache>
                <c:ptCount val="3"/>
                <c:pt idx="0">
                  <c:v>Appeared</c:v>
                </c:pt>
                <c:pt idx="1">
                  <c:v>Absent</c:v>
                </c:pt>
                <c:pt idx="2">
                  <c:v>Passed</c:v>
                </c:pt>
              </c:strCache>
            </c:strRef>
          </c:cat>
          <c:val>
            <c:numRef>
              <c:f>Graph!$I$72:$K$72</c:f>
              <c:numCache>
                <c:formatCode>General</c:formatCode>
                <c:ptCount val="3"/>
                <c:pt idx="0">
                  <c:v>66</c:v>
                </c:pt>
                <c:pt idx="1">
                  <c:v>0</c:v>
                </c:pt>
                <c:pt idx="2">
                  <c:v>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28-4EFE-85CB-BB66B025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675999"/>
        <c:axId val="998309342"/>
      </c:barChart>
      <c:catAx>
        <c:axId val="53667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8309342"/>
        <c:crosses val="autoZero"/>
        <c:auto val="1"/>
        <c:lblAlgn val="ctr"/>
        <c:lblOffset val="100"/>
        <c:noMultiLvlLbl val="1"/>
      </c:catAx>
      <c:valAx>
        <c:axId val="99830934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Student Strength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66759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Graph!$I$82:$L$82</c:f>
              <c:strCache>
                <c:ptCount val="4"/>
                <c:pt idx="0">
                  <c:v>0-20</c:v>
                </c:pt>
                <c:pt idx="1">
                  <c:v>21-50</c:v>
                </c:pt>
                <c:pt idx="2">
                  <c:v>51-80</c:v>
                </c:pt>
                <c:pt idx="3">
                  <c:v>81-100</c:v>
                </c:pt>
              </c:strCache>
            </c:strRef>
          </c:cat>
          <c:val>
            <c:numRef>
              <c:f>Graph!$I$83:$L$83</c:f>
              <c:numCache>
                <c:formatCode>General</c:formatCode>
                <c:ptCount val="4"/>
                <c:pt idx="0">
                  <c:v>1.52</c:v>
                </c:pt>
                <c:pt idx="1">
                  <c:v>18.18</c:v>
                </c:pt>
                <c:pt idx="2">
                  <c:v>80.3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61-4C3C-B19A-8CB3ABB6F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1632186"/>
        <c:axId val="1978667986"/>
      </c:barChart>
      <c:catAx>
        <c:axId val="1691632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8667986"/>
        <c:crosses val="autoZero"/>
        <c:auto val="1"/>
        <c:lblAlgn val="ctr"/>
        <c:lblOffset val="100"/>
        <c:noMultiLvlLbl val="1"/>
      </c:catAx>
      <c:valAx>
        <c:axId val="1978667986"/>
        <c:scaling>
          <c:orientation val="minMax"/>
          <c:max val="10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16321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Graph!$I$93:$K$93</c:f>
              <c:strCache>
                <c:ptCount val="3"/>
                <c:pt idx="0">
                  <c:v>Min</c:v>
                </c:pt>
                <c:pt idx="1">
                  <c:v>Max</c:v>
                </c:pt>
                <c:pt idx="2">
                  <c:v>Avg</c:v>
                </c:pt>
              </c:strCache>
            </c:strRef>
          </c:cat>
          <c:val>
            <c:numRef>
              <c:f>Graph!$I$94:$K$94</c:f>
              <c:numCache>
                <c:formatCode>General</c:formatCode>
                <c:ptCount val="3"/>
                <c:pt idx="0">
                  <c:v>20</c:v>
                </c:pt>
                <c:pt idx="1">
                  <c:v>74</c:v>
                </c:pt>
                <c:pt idx="2" formatCode="0.00">
                  <c:v>58.848484848484851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A0-4CD6-ACA5-66169974F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351967"/>
        <c:axId val="421234867"/>
      </c:barChart>
      <c:catAx>
        <c:axId val="633351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1234867"/>
        <c:crosses val="autoZero"/>
        <c:auto val="1"/>
        <c:lblAlgn val="ctr"/>
        <c:lblOffset val="100"/>
        <c:noMultiLvlLbl val="1"/>
      </c:catAx>
      <c:valAx>
        <c:axId val="42123486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Marks out of 100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33519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0</xdr:row>
      <xdr:rowOff>19050</xdr:rowOff>
    </xdr:from>
    <xdr:ext cx="5419725" cy="590550"/>
    <xdr:pic>
      <xdr:nvPicPr>
        <xdr:cNvPr id="2" name="image2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16</xdr:row>
      <xdr:rowOff>114300</xdr:rowOff>
    </xdr:from>
    <xdr:ext cx="3467100" cy="2152650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619125</xdr:colOff>
      <xdr:row>31</xdr:row>
      <xdr:rowOff>190500</xdr:rowOff>
    </xdr:from>
    <xdr:ext cx="3933825" cy="2438400"/>
    <xdr:graphicFrame macro="">
      <xdr:nvGraphicFramePr>
        <xdr:cNvPr id="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400050</xdr:colOff>
      <xdr:row>51</xdr:row>
      <xdr:rowOff>38100</xdr:rowOff>
    </xdr:from>
    <xdr:ext cx="3867150" cy="2438400"/>
    <xdr:graphicFrame macro="">
      <xdr:nvGraphicFramePr>
        <xdr:cNvPr id="4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238125</xdr:colOff>
      <xdr:row>72</xdr:row>
      <xdr:rowOff>104775</xdr:rowOff>
    </xdr:from>
    <xdr:ext cx="3590925" cy="2228850"/>
    <xdr:graphicFrame macro="">
      <xdr:nvGraphicFramePr>
        <xdr:cNvPr id="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</xdr:col>
      <xdr:colOff>295275</xdr:colOff>
      <xdr:row>90</xdr:row>
      <xdr:rowOff>57150</xdr:rowOff>
    </xdr:from>
    <xdr:ext cx="3790950" cy="2343150"/>
    <xdr:graphicFrame macro="">
      <xdr:nvGraphicFramePr>
        <xdr:cNvPr id="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323850</xdr:colOff>
      <xdr:row>107</xdr:row>
      <xdr:rowOff>104775</xdr:rowOff>
    </xdr:from>
    <xdr:ext cx="3724275" cy="2276475"/>
    <xdr:graphicFrame macro="">
      <xdr:nvGraphicFramePr>
        <xdr:cNvPr id="7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0</xdr:rowOff>
    </xdr:from>
    <xdr:ext cx="4400550" cy="590550"/>
    <xdr:pic>
      <xdr:nvPicPr>
        <xdr:cNvPr id="2" name="image2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0</xdr:row>
      <xdr:rowOff>0</xdr:rowOff>
    </xdr:from>
    <xdr:ext cx="7410450" cy="7810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0</xdr:row>
      <xdr:rowOff>47625</xdr:rowOff>
    </xdr:from>
    <xdr:ext cx="7410450" cy="7810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0</xdr:row>
      <xdr:rowOff>19050</xdr:rowOff>
    </xdr:from>
    <xdr:ext cx="7410450" cy="7810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257175</xdr:colOff>
      <xdr:row>0</xdr:row>
      <xdr:rowOff>38100</xdr:rowOff>
    </xdr:from>
    <xdr:ext cx="7410450" cy="7810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285750</xdr:colOff>
      <xdr:row>0</xdr:row>
      <xdr:rowOff>38100</xdr:rowOff>
    </xdr:from>
    <xdr:ext cx="7410450" cy="7810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371475</xdr:colOff>
      <xdr:row>0</xdr:row>
      <xdr:rowOff>0</xdr:rowOff>
    </xdr:from>
    <xdr:ext cx="7410450" cy="7810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46"/>
  <sheetViews>
    <sheetView tabSelected="1" workbookViewId="0">
      <selection activeCell="G5" sqref="G5"/>
    </sheetView>
  </sheetViews>
  <sheetFormatPr defaultColWidth="14.42578125" defaultRowHeight="15" customHeight="1"/>
  <cols>
    <col min="1" max="1" width="6.140625" customWidth="1"/>
    <col min="2" max="2" width="19" customWidth="1"/>
    <col min="3" max="3" width="35.7109375" customWidth="1"/>
    <col min="4" max="5" width="8" customWidth="1"/>
    <col min="6" max="6" width="16.85546875" customWidth="1"/>
    <col min="7" max="7" width="6.5703125" customWidth="1"/>
    <col min="8" max="8" width="10.42578125" customWidth="1"/>
    <col min="9" max="9" width="8.42578125" customWidth="1"/>
    <col min="10" max="10" width="22" customWidth="1"/>
    <col min="11" max="15" width="9.140625" customWidth="1"/>
    <col min="16" max="31" width="9.140625" hidden="1" customWidth="1"/>
    <col min="32" max="34" width="3" hidden="1" customWidth="1"/>
    <col min="35" max="36" width="9.140625" hidden="1" customWidth="1"/>
  </cols>
  <sheetData>
    <row r="1" spans="1:36" ht="52.5" customHeight="1">
      <c r="A1" s="211"/>
      <c r="B1" s="212"/>
      <c r="C1" s="212"/>
      <c r="D1" s="212"/>
      <c r="E1" s="212"/>
      <c r="F1" s="212"/>
      <c r="G1" s="212"/>
      <c r="H1" s="213"/>
      <c r="K1" s="1" t="s">
        <v>0</v>
      </c>
      <c r="L1" s="1" t="s">
        <v>1</v>
      </c>
    </row>
    <row r="2" spans="1:36" ht="30">
      <c r="A2" s="214" t="s">
        <v>2</v>
      </c>
      <c r="B2" s="212"/>
      <c r="C2" s="212"/>
      <c r="D2" s="212"/>
      <c r="E2" s="212"/>
      <c r="F2" s="212"/>
      <c r="G2" s="212"/>
      <c r="H2" s="213"/>
      <c r="J2" s="2" t="s">
        <v>3</v>
      </c>
      <c r="K2" s="3">
        <f t="shared" ref="K2:L2" si="0">COUNTA($A$6:$A$546)</f>
        <v>66</v>
      </c>
      <c r="L2" s="3">
        <f t="shared" si="0"/>
        <v>66</v>
      </c>
      <c r="M2" s="4"/>
    </row>
    <row r="3" spans="1:36" ht="30">
      <c r="A3" s="215" t="s">
        <v>4</v>
      </c>
      <c r="B3" s="213"/>
      <c r="C3" s="216" t="s">
        <v>5</v>
      </c>
      <c r="D3" s="212"/>
      <c r="E3" s="212"/>
      <c r="F3" s="212"/>
      <c r="G3" s="212"/>
      <c r="H3" s="213"/>
      <c r="J3" s="5" t="s">
        <v>6</v>
      </c>
      <c r="K3" s="3">
        <f t="shared" ref="K3:L3" si="1">(K2- COUNTIF(D6:D389,"=AB"))</f>
        <v>66</v>
      </c>
      <c r="L3" s="3">
        <f t="shared" si="1"/>
        <v>66</v>
      </c>
      <c r="M3" s="4"/>
    </row>
    <row r="4" spans="1:36" ht="30">
      <c r="A4" s="217" t="s">
        <v>7</v>
      </c>
      <c r="B4" s="218"/>
      <c r="C4" s="219" t="s">
        <v>8</v>
      </c>
      <c r="D4" s="212"/>
      <c r="E4" s="212"/>
      <c r="F4" s="212"/>
      <c r="G4" s="212"/>
      <c r="H4" s="213"/>
      <c r="J4" s="5" t="s">
        <v>9</v>
      </c>
      <c r="K4" s="3">
        <f t="shared" ref="K4:L4" si="2">K2-K3</f>
        <v>0</v>
      </c>
      <c r="L4" s="3">
        <f t="shared" si="2"/>
        <v>0</v>
      </c>
      <c r="M4" s="4"/>
    </row>
    <row r="5" spans="1:36" ht="33" customHeight="1">
      <c r="A5" s="6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8" t="s">
        <v>16</v>
      </c>
      <c r="H5" s="9" t="s">
        <v>17</v>
      </c>
      <c r="J5" s="10" t="s">
        <v>18</v>
      </c>
      <c r="K5" s="3">
        <f t="shared" ref="K5:L5" si="3">COUNTIF(D6:D546,"&gt;=25")</f>
        <v>55</v>
      </c>
      <c r="L5" s="3">
        <f t="shared" si="3"/>
        <v>53</v>
      </c>
      <c r="M5" s="4"/>
    </row>
    <row r="6" spans="1:36">
      <c r="A6" s="11">
        <v>1</v>
      </c>
      <c r="B6" s="12" t="s">
        <v>19</v>
      </c>
      <c r="C6" s="13" t="s">
        <v>20</v>
      </c>
      <c r="D6" s="14">
        <v>33</v>
      </c>
      <c r="E6" s="15">
        <v>35</v>
      </c>
      <c r="F6" s="16"/>
      <c r="G6" s="17">
        <v>15</v>
      </c>
      <c r="H6" s="18">
        <v>35</v>
      </c>
      <c r="J6" s="19" t="s">
        <v>21</v>
      </c>
      <c r="K6" s="3">
        <f t="shared" ref="K6:L6" si="4">ROUND(K5/K2*100,2)</f>
        <v>83.33</v>
      </c>
      <c r="L6" s="3">
        <f t="shared" si="4"/>
        <v>80.3</v>
      </c>
      <c r="M6" s="4"/>
      <c r="AF6" s="20">
        <f t="shared" ref="AF6:AH6" si="5">IF(D6&lt;&gt;"",IF(D6="A",0,D6),"")</f>
        <v>33</v>
      </c>
      <c r="AG6" s="20">
        <f t="shared" si="5"/>
        <v>35</v>
      </c>
      <c r="AH6" s="20" t="str">
        <f t="shared" si="5"/>
        <v/>
      </c>
      <c r="AJ6" s="20">
        <f t="shared" ref="AJ6:AJ31" si="6">IF(G6&lt;&gt;"",IF(G6="A",0,G6),"")</f>
        <v>15</v>
      </c>
    </row>
    <row r="7" spans="1:36" ht="15.75">
      <c r="A7" s="11">
        <v>2</v>
      </c>
      <c r="B7" s="21" t="s">
        <v>22</v>
      </c>
      <c r="C7" s="22" t="s">
        <v>23</v>
      </c>
      <c r="D7" s="11">
        <v>33</v>
      </c>
      <c r="E7" s="16">
        <v>34</v>
      </c>
      <c r="F7" s="16"/>
      <c r="G7" s="23">
        <v>15</v>
      </c>
      <c r="H7" s="24">
        <v>35</v>
      </c>
      <c r="J7" s="25" t="s">
        <v>24</v>
      </c>
      <c r="K7" s="3">
        <f t="shared" ref="K7:L7" si="7">COUNTIFS(D6:D546,"&gt;=0",D6:D546,"&lt;=10")</f>
        <v>0</v>
      </c>
      <c r="L7" s="3">
        <f t="shared" si="7"/>
        <v>1</v>
      </c>
      <c r="M7" s="4"/>
      <c r="AF7" s="20">
        <f t="shared" ref="AF7:AH7" si="8">IF(D7&lt;&gt;"",IF(D7="A",0,D7),"")</f>
        <v>33</v>
      </c>
      <c r="AG7" s="20">
        <f t="shared" si="8"/>
        <v>34</v>
      </c>
      <c r="AH7" s="20" t="str">
        <f t="shared" si="8"/>
        <v/>
      </c>
      <c r="AJ7" s="20">
        <f t="shared" si="6"/>
        <v>15</v>
      </c>
    </row>
    <row r="8" spans="1:36" ht="15.75">
      <c r="A8" s="11">
        <v>3</v>
      </c>
      <c r="B8" s="21" t="s">
        <v>25</v>
      </c>
      <c r="C8" s="22" t="s">
        <v>26</v>
      </c>
      <c r="D8" s="11">
        <v>18</v>
      </c>
      <c r="E8" s="16">
        <v>23</v>
      </c>
      <c r="F8" s="16"/>
      <c r="G8" s="23">
        <v>9</v>
      </c>
      <c r="H8" s="24">
        <v>20</v>
      </c>
      <c r="J8" s="25" t="s">
        <v>27</v>
      </c>
      <c r="K8" s="3">
        <f t="shared" ref="K8:L8" si="9">COUNTIFS(D6:D546,"&gt;10",D6:D546,"&lt;=25")</f>
        <v>12</v>
      </c>
      <c r="L8" s="3">
        <f t="shared" si="9"/>
        <v>12</v>
      </c>
      <c r="M8" s="4"/>
      <c r="AF8" s="20">
        <f t="shared" ref="AF8:AH8" si="10">IF(D8&lt;&gt;"",IF(D8="A",0,D8),"")</f>
        <v>18</v>
      </c>
      <c r="AG8" s="20">
        <f t="shared" si="10"/>
        <v>23</v>
      </c>
      <c r="AH8" s="20" t="str">
        <f t="shared" si="10"/>
        <v/>
      </c>
      <c r="AJ8" s="20">
        <f t="shared" si="6"/>
        <v>9</v>
      </c>
    </row>
    <row r="9" spans="1:36" ht="15.75">
      <c r="A9" s="11">
        <v>4</v>
      </c>
      <c r="B9" s="21" t="s">
        <v>28</v>
      </c>
      <c r="C9" s="22" t="s">
        <v>29</v>
      </c>
      <c r="D9" s="11">
        <v>34</v>
      </c>
      <c r="E9" s="16">
        <v>33</v>
      </c>
      <c r="F9" s="16"/>
      <c r="G9" s="23">
        <v>15</v>
      </c>
      <c r="H9" s="24">
        <v>35</v>
      </c>
      <c r="J9" s="25" t="s">
        <v>30</v>
      </c>
      <c r="K9" s="3">
        <f t="shared" ref="K9:L9" si="11">COUNTIFS(D6:D546,"&gt;25",D6:D546,"&lt;=40")</f>
        <v>54</v>
      </c>
      <c r="L9" s="3">
        <f t="shared" si="11"/>
        <v>53</v>
      </c>
      <c r="M9" s="4"/>
      <c r="AF9" s="20">
        <f t="shared" ref="AF9:AH9" si="12">IF(D9&lt;&gt;"",IF(D9="A",0,D9),"")</f>
        <v>34</v>
      </c>
      <c r="AG9" s="20">
        <f t="shared" si="12"/>
        <v>33</v>
      </c>
      <c r="AH9" s="20" t="str">
        <f t="shared" si="12"/>
        <v/>
      </c>
      <c r="AJ9" s="20">
        <f t="shared" si="6"/>
        <v>15</v>
      </c>
    </row>
    <row r="10" spans="1:36" ht="15.75">
      <c r="A10" s="11">
        <v>5</v>
      </c>
      <c r="B10" s="21" t="s">
        <v>31</v>
      </c>
      <c r="C10" s="22" t="s">
        <v>32</v>
      </c>
      <c r="D10" s="11">
        <v>32</v>
      </c>
      <c r="E10" s="16">
        <v>32</v>
      </c>
      <c r="F10" s="16"/>
      <c r="G10" s="23">
        <v>14</v>
      </c>
      <c r="H10" s="24">
        <v>32</v>
      </c>
      <c r="J10" s="25" t="s">
        <v>33</v>
      </c>
      <c r="K10" s="3">
        <f t="shared" ref="K10:L10" si="13">COUNTIFS(D6:D546,"&gt;40",D6:D546,"&lt;=50")</f>
        <v>0</v>
      </c>
      <c r="L10" s="3">
        <f t="shared" si="13"/>
        <v>0</v>
      </c>
      <c r="M10" s="4"/>
      <c r="AF10" s="20">
        <f t="shared" ref="AF10:AH10" si="14">IF(D10&lt;&gt;"",IF(D10="A",0,D10),"")</f>
        <v>32</v>
      </c>
      <c r="AG10" s="20">
        <f t="shared" si="14"/>
        <v>32</v>
      </c>
      <c r="AH10" s="20" t="str">
        <f t="shared" si="14"/>
        <v/>
      </c>
      <c r="AJ10" s="20">
        <f t="shared" si="6"/>
        <v>14</v>
      </c>
    </row>
    <row r="11" spans="1:36">
      <c r="A11" s="11">
        <v>6</v>
      </c>
      <c r="B11" s="21" t="s">
        <v>34</v>
      </c>
      <c r="C11" s="22" t="s">
        <v>35</v>
      </c>
      <c r="D11" s="11">
        <v>34</v>
      </c>
      <c r="E11" s="16">
        <v>34</v>
      </c>
      <c r="F11" s="16"/>
      <c r="G11" s="23">
        <v>16</v>
      </c>
      <c r="H11" s="24">
        <v>35</v>
      </c>
      <c r="J11" s="26" t="s">
        <v>36</v>
      </c>
      <c r="K11" s="3">
        <f>'Final Attainment'!E7</f>
        <v>58</v>
      </c>
      <c r="AF11" s="20">
        <f t="shared" ref="AF11:AH11" si="15">IF(D11&lt;&gt;"",IF(D11="A",0,D11),"")</f>
        <v>34</v>
      </c>
      <c r="AG11" s="20">
        <f t="shared" si="15"/>
        <v>34</v>
      </c>
      <c r="AH11" s="20" t="str">
        <f t="shared" si="15"/>
        <v/>
      </c>
      <c r="AJ11" s="20">
        <f t="shared" si="6"/>
        <v>16</v>
      </c>
    </row>
    <row r="12" spans="1:36">
      <c r="A12" s="11">
        <v>7</v>
      </c>
      <c r="B12" s="21" t="s">
        <v>37</v>
      </c>
      <c r="C12" s="22" t="s">
        <v>38</v>
      </c>
      <c r="D12" s="11">
        <v>34</v>
      </c>
      <c r="E12" s="16">
        <v>32</v>
      </c>
      <c r="F12" s="16"/>
      <c r="G12" s="23">
        <v>16</v>
      </c>
      <c r="H12" s="24">
        <v>35</v>
      </c>
      <c r="J12" s="26" t="s">
        <v>39</v>
      </c>
      <c r="K12" s="3">
        <f ca="1">'Final Attainment'!M21</f>
        <v>2</v>
      </c>
      <c r="L12" s="3">
        <f ca="1">'Final Attainment'!N21</f>
        <v>2</v>
      </c>
      <c r="M12" s="3">
        <f ca="1">'Final Attainment'!O21</f>
        <v>3</v>
      </c>
      <c r="N12" s="3"/>
      <c r="O12" s="3"/>
      <c r="AF12" s="20">
        <f t="shared" ref="AF12:AH12" si="16">IF(D12&lt;&gt;"",IF(D12="A",0,D12),"")</f>
        <v>34</v>
      </c>
      <c r="AG12" s="20">
        <f t="shared" si="16"/>
        <v>32</v>
      </c>
      <c r="AH12" s="20" t="str">
        <f t="shared" si="16"/>
        <v/>
      </c>
      <c r="AJ12" s="20">
        <f t="shared" si="6"/>
        <v>16</v>
      </c>
    </row>
    <row r="13" spans="1:36">
      <c r="A13" s="11">
        <v>8</v>
      </c>
      <c r="B13" s="21" t="s">
        <v>40</v>
      </c>
      <c r="C13" s="22" t="s">
        <v>41</v>
      </c>
      <c r="D13" s="11">
        <v>33</v>
      </c>
      <c r="E13" s="16">
        <v>32</v>
      </c>
      <c r="F13" s="16"/>
      <c r="G13" s="23">
        <v>15</v>
      </c>
      <c r="H13" s="24">
        <v>34</v>
      </c>
      <c r="J13" s="26" t="s">
        <v>42</v>
      </c>
      <c r="K13" s="27"/>
      <c r="M13" s="3">
        <f ca="1">'Final Attainment'!O22</f>
        <v>3</v>
      </c>
      <c r="N13" s="3">
        <f ca="1">'Final Attainment'!P22</f>
        <v>2</v>
      </c>
      <c r="O13" s="3">
        <f ca="1">'Final Attainment'!Q22</f>
        <v>2</v>
      </c>
      <c r="AF13" s="20">
        <f t="shared" ref="AF13:AH13" si="17">IF(D13&lt;&gt;"",IF(D13="A",0,D13),"")</f>
        <v>33</v>
      </c>
      <c r="AG13" s="20">
        <f t="shared" si="17"/>
        <v>32</v>
      </c>
      <c r="AH13" s="20" t="str">
        <f t="shared" si="17"/>
        <v/>
      </c>
      <c r="AJ13" s="20">
        <f t="shared" si="6"/>
        <v>15</v>
      </c>
    </row>
    <row r="14" spans="1:36">
      <c r="A14" s="11">
        <v>9</v>
      </c>
      <c r="B14" s="21" t="s">
        <v>43</v>
      </c>
      <c r="C14" s="22" t="s">
        <v>44</v>
      </c>
      <c r="D14" s="11">
        <v>36</v>
      </c>
      <c r="E14" s="16">
        <v>37</v>
      </c>
      <c r="F14" s="16"/>
      <c r="G14" s="23">
        <v>16</v>
      </c>
      <c r="H14" s="24">
        <v>37</v>
      </c>
      <c r="J14" s="26" t="s">
        <v>45</v>
      </c>
      <c r="K14" s="3">
        <f ca="1">'Final Attainment'!M29</f>
        <v>3</v>
      </c>
      <c r="L14" s="3">
        <f ca="1">'Final Attainment'!N29</f>
        <v>2</v>
      </c>
      <c r="M14" s="3">
        <f ca="1">'Final Attainment'!O29</f>
        <v>3</v>
      </c>
      <c r="N14" s="3">
        <f ca="1">'Final Attainment'!P29</f>
        <v>0</v>
      </c>
      <c r="O14" s="3">
        <f ca="1">'Final Attainment'!Q29</f>
        <v>3</v>
      </c>
      <c r="AF14" s="20">
        <f t="shared" ref="AF14:AH14" si="18">IF(D14&lt;&gt;"",IF(D14="A",0,D14),"")</f>
        <v>36</v>
      </c>
      <c r="AG14" s="20">
        <f t="shared" si="18"/>
        <v>37</v>
      </c>
      <c r="AH14" s="20" t="str">
        <f t="shared" si="18"/>
        <v/>
      </c>
      <c r="AJ14" s="20">
        <f t="shared" si="6"/>
        <v>16</v>
      </c>
    </row>
    <row r="15" spans="1:36">
      <c r="A15" s="11">
        <v>10</v>
      </c>
      <c r="B15" s="21" t="s">
        <v>46</v>
      </c>
      <c r="C15" s="22" t="s">
        <v>47</v>
      </c>
      <c r="D15" s="11">
        <v>14</v>
      </c>
      <c r="E15" s="16">
        <v>12</v>
      </c>
      <c r="F15" s="16"/>
      <c r="G15" s="23">
        <v>3</v>
      </c>
      <c r="H15" s="24">
        <v>10</v>
      </c>
      <c r="AF15" s="20">
        <f t="shared" ref="AF15:AH15" si="19">IF(D15&lt;&gt;"",IF(D15="A",0,D15),"")</f>
        <v>14</v>
      </c>
      <c r="AG15" s="20">
        <f t="shared" si="19"/>
        <v>12</v>
      </c>
      <c r="AH15" s="20" t="str">
        <f t="shared" si="19"/>
        <v/>
      </c>
      <c r="AJ15" s="20">
        <f t="shared" si="6"/>
        <v>3</v>
      </c>
    </row>
    <row r="16" spans="1:36">
      <c r="A16" s="11">
        <v>11</v>
      </c>
      <c r="B16" s="21" t="s">
        <v>48</v>
      </c>
      <c r="C16" s="22" t="s">
        <v>49</v>
      </c>
      <c r="D16" s="11">
        <v>32</v>
      </c>
      <c r="E16" s="16">
        <v>28</v>
      </c>
      <c r="F16" s="16"/>
      <c r="G16" s="23">
        <v>13</v>
      </c>
      <c r="H16" s="24">
        <v>30</v>
      </c>
      <c r="AF16" s="20">
        <f t="shared" ref="AF16:AH16" si="20">IF(D16&lt;&gt;"",IF(D16="A",0,D16),"")</f>
        <v>32</v>
      </c>
      <c r="AG16" s="20">
        <f t="shared" si="20"/>
        <v>28</v>
      </c>
      <c r="AH16" s="20" t="str">
        <f t="shared" si="20"/>
        <v/>
      </c>
      <c r="AJ16" s="20">
        <f t="shared" si="6"/>
        <v>13</v>
      </c>
    </row>
    <row r="17" spans="1:36" ht="15.75">
      <c r="A17" s="11">
        <v>12</v>
      </c>
      <c r="B17" s="21" t="s">
        <v>50</v>
      </c>
      <c r="C17" s="22" t="s">
        <v>51</v>
      </c>
      <c r="D17" s="11">
        <v>30</v>
      </c>
      <c r="E17" s="16">
        <v>34</v>
      </c>
      <c r="F17" s="16"/>
      <c r="G17" s="23">
        <v>15</v>
      </c>
      <c r="H17" s="24">
        <v>34</v>
      </c>
      <c r="J17" s="28" t="s">
        <v>52</v>
      </c>
      <c r="K17" s="29">
        <f ca="1">'Final Attainment'!F52</f>
        <v>2.3391999999999999</v>
      </c>
      <c r="AF17" s="20">
        <f t="shared" ref="AF17:AH17" si="21">IF(D17&lt;&gt;"",IF(D17="A",0,D17),"")</f>
        <v>30</v>
      </c>
      <c r="AG17" s="20">
        <f t="shared" si="21"/>
        <v>34</v>
      </c>
      <c r="AH17" s="20" t="str">
        <f t="shared" si="21"/>
        <v/>
      </c>
      <c r="AJ17" s="20">
        <f t="shared" si="6"/>
        <v>15</v>
      </c>
    </row>
    <row r="18" spans="1:36" ht="15.75">
      <c r="A18" s="11">
        <v>13</v>
      </c>
      <c r="B18" s="21" t="s">
        <v>53</v>
      </c>
      <c r="C18" s="22" t="s">
        <v>54</v>
      </c>
      <c r="D18" s="11">
        <v>30</v>
      </c>
      <c r="E18" s="16">
        <v>22</v>
      </c>
      <c r="F18" s="16"/>
      <c r="G18" s="23">
        <v>11</v>
      </c>
      <c r="H18" s="24">
        <v>26</v>
      </c>
      <c r="J18" s="28" t="s">
        <v>55</v>
      </c>
      <c r="K18" s="29">
        <f ca="1">'Final Attainment'!G52</f>
        <v>2.3626666666666667</v>
      </c>
      <c r="AF18" s="20">
        <f t="shared" ref="AF18:AH18" si="22">IF(D18&lt;&gt;"",IF(D18="A",0,D18),"")</f>
        <v>30</v>
      </c>
      <c r="AG18" s="20">
        <f t="shared" si="22"/>
        <v>22</v>
      </c>
      <c r="AH18" s="20" t="str">
        <f t="shared" si="22"/>
        <v/>
      </c>
      <c r="AJ18" s="20">
        <f t="shared" si="6"/>
        <v>11</v>
      </c>
    </row>
    <row r="19" spans="1:36" ht="15.75">
      <c r="A19" s="11">
        <v>14</v>
      </c>
      <c r="B19" s="21" t="s">
        <v>56</v>
      </c>
      <c r="C19" s="22" t="s">
        <v>57</v>
      </c>
      <c r="D19" s="11">
        <v>20</v>
      </c>
      <c r="E19" s="16">
        <v>10</v>
      </c>
      <c r="F19" s="16"/>
      <c r="G19" s="23">
        <v>9</v>
      </c>
      <c r="H19" s="24">
        <v>17</v>
      </c>
      <c r="J19" s="28" t="s">
        <v>58</v>
      </c>
      <c r="K19" s="29">
        <f ca="1">'Final Attainment'!H52</f>
        <v>2.3323076923076922</v>
      </c>
      <c r="AF19" s="20">
        <f t="shared" ref="AF19:AH19" si="23">IF(D19&lt;&gt;"",IF(D19="A",0,D19),"")</f>
        <v>20</v>
      </c>
      <c r="AG19" s="20">
        <f t="shared" si="23"/>
        <v>10</v>
      </c>
      <c r="AH19" s="20" t="str">
        <f t="shared" si="23"/>
        <v/>
      </c>
      <c r="AJ19" s="20">
        <f t="shared" si="6"/>
        <v>9</v>
      </c>
    </row>
    <row r="20" spans="1:36" ht="15.75" customHeight="1">
      <c r="A20" s="11">
        <v>15</v>
      </c>
      <c r="B20" s="21" t="s">
        <v>59</v>
      </c>
      <c r="C20" s="22" t="s">
        <v>60</v>
      </c>
      <c r="D20" s="11">
        <v>28</v>
      </c>
      <c r="E20" s="16">
        <v>24</v>
      </c>
      <c r="F20" s="16"/>
      <c r="G20" s="23">
        <v>12</v>
      </c>
      <c r="H20" s="24">
        <v>27</v>
      </c>
      <c r="J20" s="28" t="s">
        <v>61</v>
      </c>
      <c r="K20" s="29">
        <f ca="1">'Final Attainment'!I52</f>
        <v>2.2509090909090905</v>
      </c>
      <c r="L20" s="30"/>
      <c r="AF20" s="20">
        <f t="shared" ref="AF20:AH20" si="24">IF(D20&lt;&gt;"",IF(D20="A",0,D20),"")</f>
        <v>28</v>
      </c>
      <c r="AG20" s="20">
        <f t="shared" si="24"/>
        <v>24</v>
      </c>
      <c r="AH20" s="20" t="str">
        <f t="shared" si="24"/>
        <v/>
      </c>
      <c r="AJ20" s="20">
        <f t="shared" si="6"/>
        <v>12</v>
      </c>
    </row>
    <row r="21" spans="1:36" ht="15.75" customHeight="1">
      <c r="A21" s="11">
        <v>16</v>
      </c>
      <c r="B21" s="21" t="s">
        <v>62</v>
      </c>
      <c r="C21" s="22" t="s">
        <v>63</v>
      </c>
      <c r="D21" s="11">
        <v>22</v>
      </c>
      <c r="E21" s="16">
        <v>33</v>
      </c>
      <c r="F21" s="16"/>
      <c r="G21" s="23">
        <v>15</v>
      </c>
      <c r="H21" s="24">
        <v>31</v>
      </c>
      <c r="J21" s="28" t="s">
        <v>64</v>
      </c>
      <c r="K21" s="29">
        <f ca="1">'Final Attainment'!J52</f>
        <v>1.3680000000000001</v>
      </c>
      <c r="AF21" s="20">
        <f t="shared" ref="AF21:AH21" si="25">IF(D21&lt;&gt;"",IF(D21="A",0,D21),"")</f>
        <v>22</v>
      </c>
      <c r="AG21" s="20">
        <f t="shared" si="25"/>
        <v>33</v>
      </c>
      <c r="AH21" s="20" t="str">
        <f t="shared" si="25"/>
        <v/>
      </c>
      <c r="AJ21" s="20">
        <f t="shared" si="6"/>
        <v>15</v>
      </c>
    </row>
    <row r="22" spans="1:36" ht="15.75" customHeight="1">
      <c r="A22" s="11">
        <v>17</v>
      </c>
      <c r="B22" s="21" t="s">
        <v>65</v>
      </c>
      <c r="C22" s="22" t="s">
        <v>66</v>
      </c>
      <c r="D22" s="11">
        <v>30</v>
      </c>
      <c r="E22" s="16">
        <v>31</v>
      </c>
      <c r="F22" s="16"/>
      <c r="G22" s="23">
        <v>14</v>
      </c>
      <c r="H22" s="24">
        <v>32</v>
      </c>
      <c r="J22" s="28" t="s">
        <v>67</v>
      </c>
      <c r="K22" s="29" t="str">
        <f ca="1">'Final Attainment'!K52</f>
        <v/>
      </c>
      <c r="AF22" s="20">
        <f t="shared" ref="AF22:AH22" si="26">IF(D22&lt;&gt;"",IF(D22="A",0,D22),"")</f>
        <v>30</v>
      </c>
      <c r="AG22" s="20">
        <f t="shared" si="26"/>
        <v>31</v>
      </c>
      <c r="AH22" s="20" t="str">
        <f t="shared" si="26"/>
        <v/>
      </c>
      <c r="AJ22" s="20">
        <f t="shared" si="6"/>
        <v>14</v>
      </c>
    </row>
    <row r="23" spans="1:36" ht="15.75" customHeight="1">
      <c r="A23" s="11">
        <v>18</v>
      </c>
      <c r="B23" s="21" t="s">
        <v>68</v>
      </c>
      <c r="C23" s="22" t="s">
        <v>69</v>
      </c>
      <c r="D23" s="11">
        <v>31</v>
      </c>
      <c r="E23" s="16">
        <v>31</v>
      </c>
      <c r="F23" s="16"/>
      <c r="G23" s="23">
        <v>14</v>
      </c>
      <c r="H23" s="24">
        <v>32</v>
      </c>
      <c r="J23" s="28" t="s">
        <v>70</v>
      </c>
      <c r="K23" s="29" t="str">
        <f ca="1">'Final Attainment'!L52</f>
        <v/>
      </c>
      <c r="AF23" s="20">
        <f t="shared" ref="AF23:AH23" si="27">IF(D23&lt;&gt;"",IF(D23="A",0,D23),"")</f>
        <v>31</v>
      </c>
      <c r="AG23" s="20">
        <f t="shared" si="27"/>
        <v>31</v>
      </c>
      <c r="AH23" s="20" t="str">
        <f t="shared" si="27"/>
        <v/>
      </c>
      <c r="AJ23" s="20">
        <f t="shared" si="6"/>
        <v>14</v>
      </c>
    </row>
    <row r="24" spans="1:36" ht="15.75" customHeight="1">
      <c r="A24" s="11">
        <v>19</v>
      </c>
      <c r="B24" s="21" t="s">
        <v>71</v>
      </c>
      <c r="C24" s="22" t="s">
        <v>72</v>
      </c>
      <c r="D24" s="11">
        <v>33</v>
      </c>
      <c r="E24" s="16">
        <v>32</v>
      </c>
      <c r="F24" s="16"/>
      <c r="G24" s="23">
        <v>15</v>
      </c>
      <c r="H24" s="24">
        <v>34</v>
      </c>
      <c r="J24" s="28" t="s">
        <v>73</v>
      </c>
      <c r="K24" s="29" t="str">
        <f ca="1">'Final Attainment'!M52</f>
        <v/>
      </c>
      <c r="AF24" s="20">
        <f t="shared" ref="AF24:AH24" si="28">IF(D24&lt;&gt;"",IF(D24="A",0,D24),"")</f>
        <v>33</v>
      </c>
      <c r="AG24" s="20">
        <f t="shared" si="28"/>
        <v>32</v>
      </c>
      <c r="AH24" s="20" t="str">
        <f t="shared" si="28"/>
        <v/>
      </c>
      <c r="AJ24" s="20">
        <f t="shared" si="6"/>
        <v>15</v>
      </c>
    </row>
    <row r="25" spans="1:36" ht="15.75" customHeight="1">
      <c r="A25" s="11">
        <v>20</v>
      </c>
      <c r="B25" s="21" t="s">
        <v>74</v>
      </c>
      <c r="C25" s="22" t="s">
        <v>75</v>
      </c>
      <c r="D25" s="11">
        <v>33</v>
      </c>
      <c r="E25" s="16">
        <v>36</v>
      </c>
      <c r="F25" s="16"/>
      <c r="G25" s="23">
        <v>16</v>
      </c>
      <c r="H25" s="24">
        <v>36</v>
      </c>
      <c r="J25" s="28" t="s">
        <v>76</v>
      </c>
      <c r="K25" s="29" t="str">
        <f ca="1">'Final Attainment'!N52</f>
        <v/>
      </c>
      <c r="AF25" s="20">
        <f t="shared" ref="AF25:AH25" si="29">IF(D25&lt;&gt;"",IF(D25="A",0,D25),"")</f>
        <v>33</v>
      </c>
      <c r="AG25" s="20">
        <f t="shared" si="29"/>
        <v>36</v>
      </c>
      <c r="AH25" s="20" t="str">
        <f t="shared" si="29"/>
        <v/>
      </c>
      <c r="AJ25" s="20">
        <f t="shared" si="6"/>
        <v>16</v>
      </c>
    </row>
    <row r="26" spans="1:36" ht="15.75" customHeight="1">
      <c r="A26" s="11">
        <v>21</v>
      </c>
      <c r="B26" s="21" t="s">
        <v>77</v>
      </c>
      <c r="C26" s="22" t="s">
        <v>78</v>
      </c>
      <c r="D26" s="11">
        <v>35</v>
      </c>
      <c r="E26" s="16">
        <v>36</v>
      </c>
      <c r="F26" s="16"/>
      <c r="G26" s="23">
        <v>16</v>
      </c>
      <c r="H26" s="24">
        <v>37</v>
      </c>
      <c r="J26" s="28" t="s">
        <v>79</v>
      </c>
      <c r="K26" s="29">
        <f ca="1">'Final Attainment'!O52</f>
        <v>2.3280000000000003</v>
      </c>
      <c r="AF26" s="20">
        <f t="shared" ref="AF26:AH26" si="30">IF(D26&lt;&gt;"",IF(D26="A",0,D26),"")</f>
        <v>35</v>
      </c>
      <c r="AG26" s="20">
        <f t="shared" si="30"/>
        <v>36</v>
      </c>
      <c r="AH26" s="20" t="str">
        <f t="shared" si="30"/>
        <v/>
      </c>
      <c r="AJ26" s="20">
        <f t="shared" si="6"/>
        <v>16</v>
      </c>
    </row>
    <row r="27" spans="1:36" ht="15.75" customHeight="1">
      <c r="A27" s="11">
        <v>22</v>
      </c>
      <c r="B27" s="21" t="s">
        <v>80</v>
      </c>
      <c r="C27" s="22" t="s">
        <v>81</v>
      </c>
      <c r="D27" s="11">
        <v>33</v>
      </c>
      <c r="E27" s="16">
        <v>34</v>
      </c>
      <c r="F27" s="16"/>
      <c r="G27" s="23">
        <v>16</v>
      </c>
      <c r="H27" s="24">
        <v>35</v>
      </c>
      <c r="J27" s="28" t="s">
        <v>82</v>
      </c>
      <c r="K27" s="29" t="str">
        <f ca="1">'Final Attainment'!P52</f>
        <v/>
      </c>
      <c r="AF27" s="20">
        <f t="shared" ref="AF27:AH27" si="31">IF(D27&lt;&gt;"",IF(D27="A",0,D27),"")</f>
        <v>33</v>
      </c>
      <c r="AG27" s="20">
        <f t="shared" si="31"/>
        <v>34</v>
      </c>
      <c r="AH27" s="20" t="str">
        <f t="shared" si="31"/>
        <v/>
      </c>
      <c r="AJ27" s="20">
        <f t="shared" si="6"/>
        <v>16</v>
      </c>
    </row>
    <row r="28" spans="1:36" ht="15.75" customHeight="1">
      <c r="A28" s="11">
        <v>23</v>
      </c>
      <c r="B28" s="21" t="s">
        <v>83</v>
      </c>
      <c r="C28" s="22" t="s">
        <v>84</v>
      </c>
      <c r="D28" s="11">
        <v>31</v>
      </c>
      <c r="E28" s="16">
        <v>29</v>
      </c>
      <c r="F28" s="16"/>
      <c r="G28" s="23">
        <v>14</v>
      </c>
      <c r="H28" s="24">
        <v>32</v>
      </c>
      <c r="J28" s="28" t="s">
        <v>85</v>
      </c>
      <c r="K28" s="29" t="str">
        <f ca="1">'Final Attainment'!Q52</f>
        <v/>
      </c>
      <c r="AF28" s="20">
        <f t="shared" ref="AF28:AH28" si="32">IF(D28&lt;&gt;"",IF(D28="A",0,D28),"")</f>
        <v>31</v>
      </c>
      <c r="AG28" s="20">
        <f t="shared" si="32"/>
        <v>29</v>
      </c>
      <c r="AH28" s="20" t="str">
        <f t="shared" si="32"/>
        <v/>
      </c>
      <c r="AJ28" s="20">
        <f t="shared" si="6"/>
        <v>14</v>
      </c>
    </row>
    <row r="29" spans="1:36" ht="15.75" customHeight="1">
      <c r="A29" s="11">
        <v>24</v>
      </c>
      <c r="B29" s="21" t="s">
        <v>86</v>
      </c>
      <c r="C29" s="22" t="s">
        <v>87</v>
      </c>
      <c r="D29" s="11">
        <v>32</v>
      </c>
      <c r="E29" s="16">
        <v>35</v>
      </c>
      <c r="F29" s="16"/>
      <c r="G29" s="23">
        <v>15</v>
      </c>
      <c r="H29" s="24">
        <v>34</v>
      </c>
      <c r="J29" s="28" t="s">
        <v>88</v>
      </c>
      <c r="K29" s="29">
        <f ca="1">'Final Attainment'!R52</f>
        <v>2.3391999999999999</v>
      </c>
      <c r="AF29" s="20">
        <f t="shared" ref="AF29:AH29" si="33">IF(D29&lt;&gt;"",IF(D29="A",0,D29),"")</f>
        <v>32</v>
      </c>
      <c r="AG29" s="20">
        <f t="shared" si="33"/>
        <v>35</v>
      </c>
      <c r="AH29" s="20" t="str">
        <f t="shared" si="33"/>
        <v/>
      </c>
      <c r="AJ29" s="20">
        <f t="shared" si="6"/>
        <v>15</v>
      </c>
    </row>
    <row r="30" spans="1:36" ht="15.75" customHeight="1">
      <c r="A30" s="11">
        <v>25</v>
      </c>
      <c r="B30" s="21" t="s">
        <v>89</v>
      </c>
      <c r="C30" s="22" t="s">
        <v>90</v>
      </c>
      <c r="D30" s="11">
        <v>34</v>
      </c>
      <c r="E30" s="16">
        <v>34</v>
      </c>
      <c r="F30" s="16"/>
      <c r="G30" s="23">
        <v>15</v>
      </c>
      <c r="H30" s="24">
        <v>35</v>
      </c>
      <c r="J30" s="28" t="s">
        <v>91</v>
      </c>
      <c r="K30" s="29">
        <f ca="1">'Final Attainment'!S52</f>
        <v>2.3323076923076922</v>
      </c>
      <c r="AF30" s="20">
        <f t="shared" ref="AF30:AH30" si="34">IF(D30&lt;&gt;"",IF(D30="A",0,D30),"")</f>
        <v>34</v>
      </c>
      <c r="AG30" s="20">
        <f t="shared" si="34"/>
        <v>34</v>
      </c>
      <c r="AH30" s="20" t="str">
        <f t="shared" si="34"/>
        <v/>
      </c>
      <c r="AJ30" s="20">
        <f t="shared" si="6"/>
        <v>15</v>
      </c>
    </row>
    <row r="31" spans="1:36" ht="15.75" customHeight="1">
      <c r="A31" s="11">
        <v>26</v>
      </c>
      <c r="B31" s="21" t="s">
        <v>92</v>
      </c>
      <c r="C31" s="22" t="s">
        <v>93</v>
      </c>
      <c r="D31" s="11">
        <v>29</v>
      </c>
      <c r="E31" s="16">
        <v>33</v>
      </c>
      <c r="F31" s="16"/>
      <c r="G31" s="23">
        <v>14</v>
      </c>
      <c r="H31" s="24">
        <v>32</v>
      </c>
      <c r="J31" s="28" t="s">
        <v>94</v>
      </c>
      <c r="K31" s="29" t="str">
        <f ca="1">'Final Attainment'!T52</f>
        <v/>
      </c>
      <c r="AF31" s="20">
        <f t="shared" ref="AF31:AH31" si="35">IF(D31&lt;&gt;"",IF(D31="A",0,D31),"")</f>
        <v>29</v>
      </c>
      <c r="AG31" s="20">
        <f t="shared" si="35"/>
        <v>33</v>
      </c>
      <c r="AH31" s="20" t="str">
        <f t="shared" si="35"/>
        <v/>
      </c>
      <c r="AJ31" s="20">
        <f t="shared" si="6"/>
        <v>14</v>
      </c>
    </row>
    <row r="32" spans="1:36" ht="15.75" customHeight="1">
      <c r="A32" s="11">
        <v>27</v>
      </c>
      <c r="B32" s="21" t="s">
        <v>95</v>
      </c>
      <c r="C32" s="22" t="s">
        <v>96</v>
      </c>
      <c r="D32" s="11">
        <v>20</v>
      </c>
      <c r="E32" s="16">
        <v>31</v>
      </c>
      <c r="F32" s="16"/>
      <c r="G32" s="23">
        <v>10</v>
      </c>
      <c r="H32" s="24">
        <v>25</v>
      </c>
    </row>
    <row r="33" spans="1:12" ht="15.75" customHeight="1">
      <c r="A33" s="11">
        <v>28</v>
      </c>
      <c r="B33" s="21" t="s">
        <v>97</v>
      </c>
      <c r="C33" s="22" t="s">
        <v>98</v>
      </c>
      <c r="D33" s="11">
        <v>29</v>
      </c>
      <c r="E33" s="16">
        <v>34</v>
      </c>
      <c r="F33" s="16"/>
      <c r="G33" s="23">
        <v>14</v>
      </c>
      <c r="H33" s="24">
        <v>32</v>
      </c>
    </row>
    <row r="34" spans="1:12" ht="15.75" customHeight="1">
      <c r="A34" s="11">
        <v>29</v>
      </c>
      <c r="B34" s="21" t="s">
        <v>99</v>
      </c>
      <c r="C34" s="22" t="s">
        <v>100</v>
      </c>
      <c r="D34" s="11">
        <v>31</v>
      </c>
      <c r="E34" s="16">
        <v>33</v>
      </c>
      <c r="F34" s="16"/>
      <c r="G34" s="23">
        <v>14</v>
      </c>
      <c r="H34" s="24">
        <v>33</v>
      </c>
    </row>
    <row r="35" spans="1:12" ht="15.75" customHeight="1">
      <c r="A35" s="11">
        <v>30</v>
      </c>
      <c r="B35" s="21" t="s">
        <v>101</v>
      </c>
      <c r="C35" s="22" t="s">
        <v>102</v>
      </c>
      <c r="D35" s="11">
        <v>19</v>
      </c>
      <c r="E35" s="16">
        <v>32</v>
      </c>
      <c r="F35" s="16"/>
      <c r="G35" s="23">
        <v>14</v>
      </c>
      <c r="H35" s="24">
        <v>29</v>
      </c>
      <c r="J35" s="31"/>
      <c r="K35" s="32" t="s">
        <v>0</v>
      </c>
      <c r="L35" s="32" t="s">
        <v>1</v>
      </c>
    </row>
    <row r="36" spans="1:12" ht="15.75" customHeight="1">
      <c r="A36" s="11">
        <v>31</v>
      </c>
      <c r="B36" s="21" t="s">
        <v>103</v>
      </c>
      <c r="C36" s="22" t="s">
        <v>104</v>
      </c>
      <c r="D36" s="11">
        <v>34</v>
      </c>
      <c r="E36" s="16">
        <v>34</v>
      </c>
      <c r="F36" s="16"/>
      <c r="G36" s="23">
        <v>16</v>
      </c>
      <c r="H36" s="24">
        <v>36</v>
      </c>
      <c r="J36" s="31" t="s">
        <v>105</v>
      </c>
      <c r="K36" s="33">
        <f t="shared" ref="K36:L36" si="36">MIN(D6:D197)</f>
        <v>14</v>
      </c>
      <c r="L36" s="33">
        <f t="shared" si="36"/>
        <v>10</v>
      </c>
    </row>
    <row r="37" spans="1:12" ht="15.75" customHeight="1">
      <c r="A37" s="11">
        <v>32</v>
      </c>
      <c r="B37" s="21" t="s">
        <v>106</v>
      </c>
      <c r="C37" s="22" t="s">
        <v>107</v>
      </c>
      <c r="D37" s="11">
        <v>28</v>
      </c>
      <c r="E37" s="16">
        <v>28</v>
      </c>
      <c r="F37" s="16"/>
      <c r="G37" s="23">
        <v>12</v>
      </c>
      <c r="H37" s="24">
        <v>28</v>
      </c>
      <c r="J37" s="31" t="s">
        <v>108</v>
      </c>
      <c r="K37" s="33">
        <f t="shared" ref="K37:L37" si="37">MAX(D6:D197)</f>
        <v>36</v>
      </c>
      <c r="L37" s="33">
        <f t="shared" si="37"/>
        <v>37</v>
      </c>
    </row>
    <row r="38" spans="1:12" ht="15.75" customHeight="1">
      <c r="A38" s="11">
        <v>33</v>
      </c>
      <c r="B38" s="21" t="s">
        <v>109</v>
      </c>
      <c r="C38" s="22" t="s">
        <v>110</v>
      </c>
      <c r="D38" s="11">
        <v>30</v>
      </c>
      <c r="E38" s="16">
        <v>33</v>
      </c>
      <c r="F38" s="16"/>
      <c r="G38" s="23">
        <v>15</v>
      </c>
      <c r="H38" s="24">
        <v>33</v>
      </c>
      <c r="J38" s="31" t="s">
        <v>111</v>
      </c>
      <c r="K38" s="34">
        <f t="shared" ref="K38:L38" si="38">AVERAGE(D6:D197)</f>
        <v>29.333333333333332</v>
      </c>
      <c r="L38" s="34">
        <f t="shared" si="38"/>
        <v>29.424242424242426</v>
      </c>
    </row>
    <row r="39" spans="1:12" ht="15.75" customHeight="1">
      <c r="A39" s="11">
        <v>34</v>
      </c>
      <c r="B39" s="21" t="s">
        <v>112</v>
      </c>
      <c r="C39" s="22" t="s">
        <v>113</v>
      </c>
      <c r="D39" s="11">
        <v>32</v>
      </c>
      <c r="E39" s="16">
        <v>33</v>
      </c>
      <c r="F39" s="16"/>
      <c r="G39" s="23">
        <v>16</v>
      </c>
      <c r="H39" s="24">
        <v>34</v>
      </c>
      <c r="J39" s="31"/>
      <c r="K39" s="35"/>
      <c r="L39" s="35"/>
    </row>
    <row r="40" spans="1:12" ht="15.75" customHeight="1">
      <c r="A40" s="11">
        <v>35</v>
      </c>
      <c r="B40" s="21" t="s">
        <v>114</v>
      </c>
      <c r="C40" s="22" t="s">
        <v>115</v>
      </c>
      <c r="D40" s="11">
        <v>33</v>
      </c>
      <c r="E40" s="16">
        <v>31</v>
      </c>
      <c r="F40" s="16"/>
      <c r="G40" s="23">
        <v>15</v>
      </c>
      <c r="H40" s="24">
        <v>34</v>
      </c>
      <c r="J40" s="31" t="s">
        <v>116</v>
      </c>
      <c r="K40" s="33">
        <f t="shared" ref="K40:L40" si="39">K36*2</f>
        <v>28</v>
      </c>
      <c r="L40" s="33">
        <f t="shared" si="39"/>
        <v>20</v>
      </c>
    </row>
    <row r="41" spans="1:12" ht="15.75" customHeight="1">
      <c r="A41" s="11">
        <v>36</v>
      </c>
      <c r="B41" s="21" t="s">
        <v>117</v>
      </c>
      <c r="C41" s="22" t="s">
        <v>118</v>
      </c>
      <c r="D41" s="11">
        <v>34</v>
      </c>
      <c r="E41" s="16">
        <v>24</v>
      </c>
      <c r="F41" s="16"/>
      <c r="G41" s="23">
        <v>16</v>
      </c>
      <c r="H41" s="24">
        <v>33</v>
      </c>
      <c r="J41" s="31" t="s">
        <v>119</v>
      </c>
      <c r="K41" s="33">
        <f t="shared" ref="K41:L41" si="40">K37*2</f>
        <v>72</v>
      </c>
      <c r="L41" s="33">
        <f t="shared" si="40"/>
        <v>74</v>
      </c>
    </row>
    <row r="42" spans="1:12" ht="15.75" customHeight="1">
      <c r="A42" s="11">
        <v>37</v>
      </c>
      <c r="B42" s="21" t="s">
        <v>120</v>
      </c>
      <c r="C42" s="22" t="s">
        <v>121</v>
      </c>
      <c r="D42" s="11">
        <v>31</v>
      </c>
      <c r="E42" s="16">
        <v>33</v>
      </c>
      <c r="F42" s="16"/>
      <c r="G42" s="23">
        <v>15</v>
      </c>
      <c r="H42" s="24">
        <v>33</v>
      </c>
      <c r="J42" s="36" t="s">
        <v>122</v>
      </c>
      <c r="K42" s="34">
        <f t="shared" ref="K42:L42" si="41">K38*2</f>
        <v>58.666666666666664</v>
      </c>
      <c r="L42" s="34">
        <f t="shared" si="41"/>
        <v>58.848484848484851</v>
      </c>
    </row>
    <row r="43" spans="1:12" ht="15.75" customHeight="1">
      <c r="A43" s="11">
        <v>38</v>
      </c>
      <c r="B43" s="21" t="s">
        <v>123</v>
      </c>
      <c r="C43" s="22" t="s">
        <v>124</v>
      </c>
      <c r="D43" s="16">
        <v>34</v>
      </c>
      <c r="E43" s="16">
        <v>32</v>
      </c>
      <c r="F43" s="16"/>
      <c r="G43" s="23">
        <v>16</v>
      </c>
      <c r="H43" s="24">
        <v>36</v>
      </c>
      <c r="I43" s="31"/>
      <c r="J43" s="34"/>
      <c r="K43" s="34"/>
    </row>
    <row r="44" spans="1:12" ht="15.75" customHeight="1">
      <c r="A44" s="11">
        <v>39</v>
      </c>
      <c r="B44" s="21" t="s">
        <v>125</v>
      </c>
      <c r="C44" s="22" t="s">
        <v>126</v>
      </c>
      <c r="D44" s="11">
        <v>34</v>
      </c>
      <c r="E44" s="16">
        <v>28</v>
      </c>
      <c r="F44" s="16"/>
      <c r="G44" s="23">
        <v>14</v>
      </c>
      <c r="H44" s="24">
        <v>32</v>
      </c>
    </row>
    <row r="45" spans="1:12" ht="15.75" customHeight="1">
      <c r="A45" s="11">
        <v>40</v>
      </c>
      <c r="B45" s="21" t="s">
        <v>127</v>
      </c>
      <c r="C45" s="22" t="s">
        <v>128</v>
      </c>
      <c r="D45" s="11">
        <v>19</v>
      </c>
      <c r="E45" s="16">
        <v>34</v>
      </c>
      <c r="F45" s="16"/>
      <c r="G45" s="23">
        <v>15</v>
      </c>
      <c r="H45" s="24">
        <v>30</v>
      </c>
    </row>
    <row r="46" spans="1:12" ht="15.75" customHeight="1">
      <c r="A46" s="11">
        <v>41</v>
      </c>
      <c r="B46" s="21" t="s">
        <v>129</v>
      </c>
      <c r="C46" s="22" t="s">
        <v>130</v>
      </c>
      <c r="D46" s="11">
        <v>35</v>
      </c>
      <c r="E46" s="16">
        <v>34</v>
      </c>
      <c r="F46" s="16"/>
      <c r="G46" s="23">
        <v>16</v>
      </c>
      <c r="H46" s="24">
        <v>36</v>
      </c>
    </row>
    <row r="47" spans="1:12" ht="15.75" customHeight="1">
      <c r="A47" s="11">
        <v>42</v>
      </c>
      <c r="B47" s="21" t="s">
        <v>131</v>
      </c>
      <c r="C47" s="22" t="s">
        <v>132</v>
      </c>
      <c r="D47" s="11">
        <v>32</v>
      </c>
      <c r="E47" s="16">
        <v>28</v>
      </c>
      <c r="F47" s="16"/>
      <c r="G47" s="23">
        <v>13</v>
      </c>
      <c r="H47" s="24">
        <v>30</v>
      </c>
    </row>
    <row r="48" spans="1:12" ht="15.75" customHeight="1">
      <c r="A48" s="11">
        <v>43</v>
      </c>
      <c r="B48" s="21" t="s">
        <v>133</v>
      </c>
      <c r="C48" s="22" t="s">
        <v>134</v>
      </c>
      <c r="D48" s="11">
        <v>33</v>
      </c>
      <c r="E48" s="16">
        <v>30</v>
      </c>
      <c r="F48" s="16"/>
      <c r="G48" s="23">
        <v>14</v>
      </c>
      <c r="H48" s="24">
        <v>32</v>
      </c>
    </row>
    <row r="49" spans="1:8" ht="15.75" customHeight="1">
      <c r="A49" s="11">
        <v>44</v>
      </c>
      <c r="B49" s="21" t="s">
        <v>135</v>
      </c>
      <c r="C49" s="22" t="s">
        <v>136</v>
      </c>
      <c r="D49" s="11">
        <v>32</v>
      </c>
      <c r="E49" s="16">
        <v>30</v>
      </c>
      <c r="F49" s="16"/>
      <c r="G49" s="23">
        <v>15</v>
      </c>
      <c r="H49" s="24">
        <v>33</v>
      </c>
    </row>
    <row r="50" spans="1:8" ht="15.75" customHeight="1">
      <c r="A50" s="11">
        <v>45</v>
      </c>
      <c r="B50" s="21" t="s">
        <v>137</v>
      </c>
      <c r="C50" s="22" t="s">
        <v>138</v>
      </c>
      <c r="D50" s="11">
        <v>34</v>
      </c>
      <c r="E50" s="16">
        <v>34</v>
      </c>
      <c r="F50" s="16"/>
      <c r="G50" s="23">
        <v>16</v>
      </c>
      <c r="H50" s="24">
        <v>36</v>
      </c>
    </row>
    <row r="51" spans="1:8" ht="15.75" customHeight="1">
      <c r="A51" s="11">
        <v>46</v>
      </c>
      <c r="B51" s="21" t="s">
        <v>139</v>
      </c>
      <c r="C51" s="22" t="s">
        <v>140</v>
      </c>
      <c r="D51" s="11">
        <v>33</v>
      </c>
      <c r="E51" s="16">
        <v>27</v>
      </c>
      <c r="F51" s="16"/>
      <c r="G51" s="23">
        <v>14</v>
      </c>
      <c r="H51" s="24">
        <v>31</v>
      </c>
    </row>
    <row r="52" spans="1:8" ht="15.75" customHeight="1">
      <c r="A52" s="11">
        <v>47</v>
      </c>
      <c r="B52" s="21" t="s">
        <v>141</v>
      </c>
      <c r="C52" s="22" t="s">
        <v>142</v>
      </c>
      <c r="D52" s="11">
        <v>31</v>
      </c>
      <c r="E52" s="16">
        <v>34</v>
      </c>
      <c r="F52" s="16"/>
      <c r="G52" s="23">
        <v>15</v>
      </c>
      <c r="H52" s="24">
        <v>34</v>
      </c>
    </row>
    <row r="53" spans="1:8" ht="15.75" customHeight="1">
      <c r="A53" s="11">
        <v>48</v>
      </c>
      <c r="B53" s="21" t="s">
        <v>143</v>
      </c>
      <c r="C53" s="22" t="s">
        <v>144</v>
      </c>
      <c r="D53" s="11">
        <v>18</v>
      </c>
      <c r="E53" s="16">
        <v>21</v>
      </c>
      <c r="F53" s="16"/>
      <c r="G53" s="23">
        <v>9</v>
      </c>
      <c r="H53" s="24">
        <v>20</v>
      </c>
    </row>
    <row r="54" spans="1:8" ht="15.75" customHeight="1">
      <c r="A54" s="11">
        <v>49</v>
      </c>
      <c r="B54" s="21" t="s">
        <v>145</v>
      </c>
      <c r="C54" s="22" t="s">
        <v>146</v>
      </c>
      <c r="D54" s="11">
        <v>28</v>
      </c>
      <c r="E54" s="16">
        <v>19</v>
      </c>
      <c r="F54" s="16"/>
      <c r="G54" s="23">
        <v>9</v>
      </c>
      <c r="H54" s="24">
        <v>23</v>
      </c>
    </row>
    <row r="55" spans="1:8" ht="15.75" customHeight="1">
      <c r="A55" s="11">
        <v>50</v>
      </c>
      <c r="B55" s="21" t="s">
        <v>147</v>
      </c>
      <c r="C55" s="22" t="s">
        <v>148</v>
      </c>
      <c r="D55" s="11">
        <v>21</v>
      </c>
      <c r="E55" s="16">
        <v>18</v>
      </c>
      <c r="F55" s="16"/>
      <c r="G55" s="23">
        <v>8</v>
      </c>
      <c r="H55" s="24">
        <v>19</v>
      </c>
    </row>
    <row r="56" spans="1:8" ht="15.75" customHeight="1">
      <c r="A56" s="11">
        <v>51</v>
      </c>
      <c r="B56" s="21" t="s">
        <v>149</v>
      </c>
      <c r="C56" s="22" t="s">
        <v>150</v>
      </c>
      <c r="D56" s="11">
        <v>33</v>
      </c>
      <c r="E56" s="16">
        <v>21</v>
      </c>
      <c r="F56" s="16"/>
      <c r="G56" s="23">
        <v>15</v>
      </c>
      <c r="H56" s="24">
        <v>30</v>
      </c>
    </row>
    <row r="57" spans="1:8" ht="15.75" customHeight="1">
      <c r="A57" s="11">
        <v>52</v>
      </c>
      <c r="B57" s="21" t="s">
        <v>151</v>
      </c>
      <c r="C57" s="22" t="s">
        <v>152</v>
      </c>
      <c r="D57" s="11">
        <v>28</v>
      </c>
      <c r="E57" s="16">
        <v>32</v>
      </c>
      <c r="F57" s="16"/>
      <c r="G57" s="23">
        <v>14</v>
      </c>
      <c r="H57" s="24">
        <v>31</v>
      </c>
    </row>
    <row r="58" spans="1:8" ht="15.75" customHeight="1">
      <c r="A58" s="11">
        <v>53</v>
      </c>
      <c r="B58" s="21" t="s">
        <v>153</v>
      </c>
      <c r="C58" s="22" t="s">
        <v>154</v>
      </c>
      <c r="D58" s="11">
        <v>28</v>
      </c>
      <c r="E58" s="16">
        <v>33</v>
      </c>
      <c r="F58" s="16"/>
      <c r="G58" s="23">
        <v>15</v>
      </c>
      <c r="H58" s="24">
        <v>32</v>
      </c>
    </row>
    <row r="59" spans="1:8" ht="15.75" customHeight="1">
      <c r="A59" s="11">
        <v>54</v>
      </c>
      <c r="B59" s="21" t="s">
        <v>155</v>
      </c>
      <c r="C59" s="22" t="s">
        <v>156</v>
      </c>
      <c r="D59" s="11">
        <v>29</v>
      </c>
      <c r="E59" s="16">
        <v>27</v>
      </c>
      <c r="F59" s="16"/>
      <c r="G59" s="23">
        <v>13</v>
      </c>
      <c r="H59" s="24">
        <v>29</v>
      </c>
    </row>
    <row r="60" spans="1:8" ht="15.75" customHeight="1">
      <c r="A60" s="11">
        <v>55</v>
      </c>
      <c r="B60" s="21" t="s">
        <v>157</v>
      </c>
      <c r="C60" s="22" t="s">
        <v>158</v>
      </c>
      <c r="D60" s="11">
        <v>34</v>
      </c>
      <c r="E60" s="16">
        <v>32</v>
      </c>
      <c r="F60" s="16"/>
      <c r="G60" s="23">
        <v>16</v>
      </c>
      <c r="H60" s="24">
        <v>35</v>
      </c>
    </row>
    <row r="61" spans="1:8" ht="15.75" customHeight="1">
      <c r="A61" s="11">
        <v>56</v>
      </c>
      <c r="B61" s="21" t="s">
        <v>159</v>
      </c>
      <c r="C61" s="22" t="s">
        <v>160</v>
      </c>
      <c r="D61" s="11">
        <v>33</v>
      </c>
      <c r="E61" s="16">
        <v>36</v>
      </c>
      <c r="F61" s="16"/>
      <c r="G61" s="23">
        <v>16</v>
      </c>
      <c r="H61" s="24">
        <v>35</v>
      </c>
    </row>
    <row r="62" spans="1:8" ht="15.75" customHeight="1">
      <c r="A62" s="11">
        <v>57</v>
      </c>
      <c r="B62" s="21" t="s">
        <v>161</v>
      </c>
      <c r="C62" s="22" t="s">
        <v>162</v>
      </c>
      <c r="D62" s="11">
        <v>26</v>
      </c>
      <c r="E62" s="16">
        <v>30</v>
      </c>
      <c r="F62" s="16"/>
      <c r="G62" s="23">
        <v>12</v>
      </c>
      <c r="H62" s="24">
        <v>28</v>
      </c>
    </row>
    <row r="63" spans="1:8" ht="15.75" customHeight="1">
      <c r="A63" s="11">
        <v>58</v>
      </c>
      <c r="B63" s="21" t="s">
        <v>163</v>
      </c>
      <c r="C63" s="22" t="s">
        <v>164</v>
      </c>
      <c r="D63" s="11">
        <v>26</v>
      </c>
      <c r="E63" s="16">
        <v>28</v>
      </c>
      <c r="F63" s="16"/>
      <c r="G63" s="23">
        <v>11</v>
      </c>
      <c r="H63" s="24">
        <v>27</v>
      </c>
    </row>
    <row r="64" spans="1:8" ht="15.75" customHeight="1">
      <c r="A64" s="11">
        <v>59</v>
      </c>
      <c r="B64" s="21" t="s">
        <v>165</v>
      </c>
      <c r="C64" s="22" t="s">
        <v>166</v>
      </c>
      <c r="D64" s="11">
        <v>25</v>
      </c>
      <c r="E64" s="16">
        <v>24</v>
      </c>
      <c r="F64" s="16"/>
      <c r="G64" s="23">
        <v>11</v>
      </c>
      <c r="H64" s="24">
        <v>25</v>
      </c>
    </row>
    <row r="65" spans="1:8" ht="15.75" customHeight="1">
      <c r="A65" s="11">
        <v>60</v>
      </c>
      <c r="B65" s="21" t="s">
        <v>167</v>
      </c>
      <c r="C65" s="22" t="s">
        <v>168</v>
      </c>
      <c r="D65" s="11">
        <v>28</v>
      </c>
      <c r="E65" s="16">
        <v>30</v>
      </c>
      <c r="F65" s="16"/>
      <c r="G65" s="23">
        <v>14</v>
      </c>
      <c r="H65" s="24">
        <v>31</v>
      </c>
    </row>
    <row r="66" spans="1:8" ht="15.75" customHeight="1">
      <c r="A66" s="11">
        <v>61</v>
      </c>
      <c r="B66" s="21" t="s">
        <v>169</v>
      </c>
      <c r="C66" s="22" t="s">
        <v>170</v>
      </c>
      <c r="D66" s="11">
        <v>26</v>
      </c>
      <c r="E66" s="16">
        <v>29</v>
      </c>
      <c r="F66" s="16"/>
      <c r="G66" s="23">
        <v>12</v>
      </c>
      <c r="H66" s="24">
        <v>28</v>
      </c>
    </row>
    <row r="67" spans="1:8" ht="15.75" customHeight="1">
      <c r="A67" s="11">
        <v>62</v>
      </c>
      <c r="B67" s="21" t="s">
        <v>171</v>
      </c>
      <c r="C67" s="22" t="s">
        <v>172</v>
      </c>
      <c r="D67" s="11">
        <v>22</v>
      </c>
      <c r="E67" s="16">
        <v>17</v>
      </c>
      <c r="F67" s="16"/>
      <c r="G67" s="23">
        <v>7</v>
      </c>
      <c r="H67" s="24">
        <v>18</v>
      </c>
    </row>
    <row r="68" spans="1:8" ht="15.75" customHeight="1">
      <c r="A68" s="11">
        <v>63</v>
      </c>
      <c r="B68" s="21" t="s">
        <v>173</v>
      </c>
      <c r="C68" s="22" t="s">
        <v>174</v>
      </c>
      <c r="D68" s="11">
        <v>22</v>
      </c>
      <c r="E68" s="16">
        <v>17</v>
      </c>
      <c r="F68" s="16"/>
      <c r="G68" s="23">
        <v>9</v>
      </c>
      <c r="H68" s="24">
        <v>20</v>
      </c>
    </row>
    <row r="69" spans="1:8" ht="15.75" customHeight="1">
      <c r="A69" s="11">
        <v>64</v>
      </c>
      <c r="B69" s="21" t="s">
        <v>175</v>
      </c>
      <c r="C69" s="22" t="s">
        <v>176</v>
      </c>
      <c r="D69" s="11">
        <v>29</v>
      </c>
      <c r="E69" s="16">
        <v>27</v>
      </c>
      <c r="F69" s="16"/>
      <c r="G69" s="23">
        <v>13</v>
      </c>
      <c r="H69" s="24">
        <v>29</v>
      </c>
    </row>
    <row r="70" spans="1:8" ht="15.75" customHeight="1">
      <c r="A70" s="11">
        <v>65</v>
      </c>
      <c r="B70" s="21" t="s">
        <v>177</v>
      </c>
      <c r="C70" s="22" t="s">
        <v>178</v>
      </c>
      <c r="D70" s="11">
        <v>31</v>
      </c>
      <c r="E70" s="16">
        <v>26</v>
      </c>
      <c r="F70" s="37"/>
      <c r="G70" s="23">
        <v>11</v>
      </c>
      <c r="H70" s="24">
        <v>28</v>
      </c>
    </row>
    <row r="71" spans="1:8" ht="15.75" customHeight="1">
      <c r="A71" s="11">
        <v>66</v>
      </c>
      <c r="B71" s="21" t="s">
        <v>179</v>
      </c>
      <c r="C71" s="22" t="s">
        <v>180</v>
      </c>
      <c r="D71" s="11">
        <v>27</v>
      </c>
      <c r="E71" s="16">
        <v>32</v>
      </c>
      <c r="F71" s="37"/>
      <c r="G71" s="23">
        <v>14</v>
      </c>
      <c r="H71" s="24">
        <v>31</v>
      </c>
    </row>
    <row r="72" spans="1:8" ht="15.75" hidden="1" customHeight="1">
      <c r="A72" s="11"/>
      <c r="B72" s="21"/>
      <c r="C72" s="22"/>
      <c r="D72" s="11"/>
      <c r="E72" s="16"/>
      <c r="F72" s="37"/>
      <c r="G72" s="23"/>
      <c r="H72" s="38"/>
    </row>
    <row r="73" spans="1:8" ht="15.75" hidden="1" customHeight="1">
      <c r="A73" s="11"/>
      <c r="B73" s="21"/>
      <c r="C73" s="22"/>
      <c r="D73" s="11"/>
      <c r="E73" s="16"/>
      <c r="F73" s="37"/>
      <c r="G73" s="23"/>
      <c r="H73" s="38"/>
    </row>
    <row r="74" spans="1:8" ht="15.75" hidden="1" customHeight="1">
      <c r="A74" s="11"/>
      <c r="B74" s="21"/>
      <c r="C74" s="22"/>
      <c r="D74" s="11"/>
      <c r="E74" s="16"/>
      <c r="F74" s="37"/>
      <c r="G74" s="23"/>
      <c r="H74" s="38"/>
    </row>
    <row r="75" spans="1:8" ht="15.75" hidden="1" customHeight="1">
      <c r="A75" s="11"/>
      <c r="B75" s="21"/>
      <c r="C75" s="22"/>
      <c r="D75" s="11"/>
      <c r="E75" s="16"/>
      <c r="F75" s="37"/>
      <c r="G75" s="23"/>
      <c r="H75" s="38"/>
    </row>
    <row r="76" spans="1:8" ht="15.75" hidden="1" customHeight="1">
      <c r="A76" s="11"/>
      <c r="B76" s="21"/>
      <c r="C76" s="22"/>
      <c r="D76" s="11"/>
      <c r="E76" s="16"/>
      <c r="F76" s="37"/>
      <c r="G76" s="23"/>
      <c r="H76" s="38"/>
    </row>
    <row r="77" spans="1:8" ht="15.75" hidden="1" customHeight="1">
      <c r="A77" s="11"/>
      <c r="B77" s="21"/>
      <c r="C77" s="22"/>
      <c r="D77" s="11"/>
      <c r="E77" s="16"/>
      <c r="F77" s="37"/>
      <c r="G77" s="23"/>
      <c r="H77" s="38"/>
    </row>
    <row r="78" spans="1:8" ht="15.75" hidden="1" customHeight="1">
      <c r="A78" s="11"/>
      <c r="B78" s="21"/>
      <c r="C78" s="22"/>
      <c r="D78" s="11"/>
      <c r="E78" s="16"/>
      <c r="F78" s="37"/>
      <c r="G78" s="23"/>
      <c r="H78" s="38"/>
    </row>
    <row r="79" spans="1:8" ht="15.75" hidden="1" customHeight="1">
      <c r="A79" s="11"/>
      <c r="B79" s="21"/>
      <c r="C79" s="22"/>
      <c r="D79" s="11"/>
      <c r="E79" s="16"/>
      <c r="F79" s="37"/>
      <c r="G79" s="23"/>
      <c r="H79" s="38"/>
    </row>
    <row r="80" spans="1:8" ht="15.75" hidden="1" customHeight="1">
      <c r="A80" s="11"/>
      <c r="B80" s="21"/>
      <c r="C80" s="22"/>
      <c r="D80" s="11"/>
      <c r="E80" s="16"/>
      <c r="F80" s="37"/>
      <c r="G80" s="23"/>
      <c r="H80" s="38"/>
    </row>
    <row r="81" spans="1:8" ht="15.75" hidden="1" customHeight="1">
      <c r="A81" s="11"/>
      <c r="B81" s="21"/>
      <c r="C81" s="22"/>
      <c r="D81" s="11"/>
      <c r="E81" s="16"/>
      <c r="F81" s="37"/>
      <c r="G81" s="23"/>
      <c r="H81" s="38"/>
    </row>
    <row r="82" spans="1:8" ht="15.75" hidden="1" customHeight="1">
      <c r="A82" s="11"/>
      <c r="B82" s="21"/>
      <c r="C82" s="22"/>
      <c r="D82" s="11"/>
      <c r="E82" s="16"/>
      <c r="F82" s="37"/>
      <c r="G82" s="23"/>
      <c r="H82" s="38"/>
    </row>
    <row r="83" spans="1:8" ht="15.75" hidden="1" customHeight="1">
      <c r="A83" s="11"/>
      <c r="B83" s="21"/>
      <c r="C83" s="22"/>
      <c r="D83" s="11"/>
      <c r="E83" s="16"/>
      <c r="F83" s="37"/>
      <c r="G83" s="23"/>
      <c r="H83" s="38"/>
    </row>
    <row r="84" spans="1:8" ht="15.75" hidden="1" customHeight="1">
      <c r="A84" s="11"/>
      <c r="B84" s="21"/>
      <c r="C84" s="22"/>
      <c r="D84" s="11"/>
      <c r="E84" s="16"/>
      <c r="F84" s="37"/>
      <c r="G84" s="23"/>
      <c r="H84" s="38"/>
    </row>
    <row r="85" spans="1:8" ht="15.75" hidden="1" customHeight="1">
      <c r="A85" s="11"/>
      <c r="B85" s="21"/>
      <c r="C85" s="22"/>
      <c r="D85" s="11"/>
      <c r="E85" s="16"/>
      <c r="F85" s="37"/>
      <c r="G85" s="23"/>
      <c r="H85" s="38"/>
    </row>
    <row r="86" spans="1:8" ht="15.75" hidden="1" customHeight="1">
      <c r="A86" s="11"/>
      <c r="B86" s="21"/>
      <c r="C86" s="22"/>
      <c r="D86" s="11"/>
      <c r="E86" s="16"/>
      <c r="F86" s="37"/>
      <c r="G86" s="23"/>
      <c r="H86" s="38"/>
    </row>
    <row r="87" spans="1:8" ht="15.75" hidden="1" customHeight="1">
      <c r="A87" s="11"/>
      <c r="B87" s="21"/>
      <c r="C87" s="22"/>
      <c r="D87" s="11"/>
      <c r="E87" s="16"/>
      <c r="F87" s="37"/>
      <c r="G87" s="23"/>
      <c r="H87" s="38"/>
    </row>
    <row r="88" spans="1:8" ht="15.75" hidden="1" customHeight="1">
      <c r="A88" s="11"/>
      <c r="B88" s="21"/>
      <c r="C88" s="22"/>
      <c r="D88" s="11"/>
      <c r="E88" s="16"/>
      <c r="F88" s="37"/>
      <c r="G88" s="23"/>
      <c r="H88" s="38"/>
    </row>
    <row r="89" spans="1:8" ht="15.75" hidden="1" customHeight="1">
      <c r="A89" s="11"/>
      <c r="B89" s="21"/>
      <c r="C89" s="22"/>
      <c r="D89" s="11"/>
      <c r="E89" s="16"/>
      <c r="F89" s="37"/>
      <c r="G89" s="23"/>
      <c r="H89" s="38"/>
    </row>
    <row r="90" spans="1:8" ht="15.75" hidden="1" customHeight="1">
      <c r="A90" s="11"/>
      <c r="B90" s="21"/>
      <c r="C90" s="22"/>
      <c r="D90" s="11"/>
      <c r="E90" s="16"/>
      <c r="F90" s="37"/>
      <c r="G90" s="23"/>
      <c r="H90" s="38"/>
    </row>
    <row r="91" spans="1:8" ht="15.75" hidden="1" customHeight="1">
      <c r="A91" s="11"/>
      <c r="B91" s="21"/>
      <c r="C91" s="22"/>
      <c r="D91" s="11"/>
      <c r="E91" s="16"/>
      <c r="F91" s="37"/>
      <c r="G91" s="23"/>
      <c r="H91" s="38"/>
    </row>
    <row r="92" spans="1:8" ht="15.75" hidden="1" customHeight="1">
      <c r="A92" s="11"/>
      <c r="B92" s="21"/>
      <c r="C92" s="22"/>
      <c r="D92" s="11"/>
      <c r="E92" s="16"/>
      <c r="F92" s="37"/>
      <c r="G92" s="23"/>
      <c r="H92" s="38"/>
    </row>
    <row r="93" spans="1:8" ht="15.75" hidden="1" customHeight="1">
      <c r="A93" s="11"/>
      <c r="B93" s="21"/>
      <c r="C93" s="22"/>
      <c r="D93" s="11"/>
      <c r="E93" s="16"/>
      <c r="F93" s="37"/>
      <c r="G93" s="23"/>
      <c r="H93" s="38"/>
    </row>
    <row r="94" spans="1:8" ht="15.75" hidden="1" customHeight="1">
      <c r="A94" s="11"/>
      <c r="B94" s="21"/>
      <c r="C94" s="22"/>
      <c r="D94" s="11"/>
      <c r="E94" s="16"/>
      <c r="F94" s="37"/>
      <c r="G94" s="23"/>
      <c r="H94" s="38"/>
    </row>
    <row r="95" spans="1:8" ht="15.75" hidden="1" customHeight="1">
      <c r="A95" s="11"/>
      <c r="B95" s="21"/>
      <c r="C95" s="22"/>
      <c r="D95" s="11"/>
      <c r="E95" s="16"/>
      <c r="F95" s="37"/>
      <c r="G95" s="23"/>
      <c r="H95" s="38"/>
    </row>
    <row r="96" spans="1:8" ht="15.75" hidden="1" customHeight="1">
      <c r="A96" s="11"/>
      <c r="B96" s="21"/>
      <c r="C96" s="22"/>
      <c r="D96" s="11"/>
      <c r="E96" s="16"/>
      <c r="F96" s="37"/>
      <c r="G96" s="23"/>
      <c r="H96" s="38"/>
    </row>
    <row r="97" spans="1:8" ht="15.75" hidden="1" customHeight="1">
      <c r="A97" s="11"/>
      <c r="B97" s="21"/>
      <c r="C97" s="22"/>
      <c r="D97" s="11"/>
      <c r="E97" s="16"/>
      <c r="F97" s="37"/>
      <c r="G97" s="23"/>
      <c r="H97" s="38"/>
    </row>
    <row r="98" spans="1:8" ht="15.75" hidden="1" customHeight="1">
      <c r="A98" s="11"/>
      <c r="B98" s="21"/>
      <c r="C98" s="22"/>
      <c r="D98" s="11"/>
      <c r="E98" s="16"/>
      <c r="F98" s="37"/>
      <c r="G98" s="23"/>
      <c r="H98" s="38"/>
    </row>
    <row r="99" spans="1:8" ht="15.75" hidden="1" customHeight="1">
      <c r="A99" s="11"/>
      <c r="B99" s="21"/>
      <c r="C99" s="22"/>
      <c r="D99" s="11"/>
      <c r="E99" s="16"/>
      <c r="F99" s="37"/>
      <c r="G99" s="23"/>
      <c r="H99" s="38"/>
    </row>
    <row r="100" spans="1:8" ht="15.75" hidden="1" customHeight="1">
      <c r="A100" s="11"/>
      <c r="B100" s="21"/>
      <c r="C100" s="22"/>
      <c r="D100" s="11"/>
      <c r="E100" s="16"/>
      <c r="F100" s="37"/>
      <c r="G100" s="23"/>
      <c r="H100" s="38"/>
    </row>
    <row r="101" spans="1:8" ht="15.75" hidden="1" customHeight="1">
      <c r="A101" s="11"/>
      <c r="B101" s="21"/>
      <c r="C101" s="22"/>
      <c r="D101" s="11"/>
      <c r="E101" s="16"/>
      <c r="F101" s="37"/>
      <c r="G101" s="23"/>
      <c r="H101" s="38"/>
    </row>
    <row r="102" spans="1:8" ht="15.75" hidden="1" customHeight="1">
      <c r="A102" s="11"/>
      <c r="B102" s="21"/>
      <c r="C102" s="22"/>
      <c r="D102" s="11"/>
      <c r="E102" s="16"/>
      <c r="F102" s="37"/>
      <c r="G102" s="23"/>
      <c r="H102" s="38"/>
    </row>
    <row r="103" spans="1:8" ht="15.75" hidden="1" customHeight="1">
      <c r="A103" s="11"/>
      <c r="B103" s="21"/>
      <c r="C103" s="22"/>
      <c r="D103" s="11"/>
      <c r="E103" s="16"/>
      <c r="F103" s="37"/>
      <c r="G103" s="23"/>
      <c r="H103" s="38"/>
    </row>
    <row r="104" spans="1:8" ht="15.75" hidden="1" customHeight="1">
      <c r="A104" s="11"/>
      <c r="B104" s="21"/>
      <c r="C104" s="22"/>
      <c r="D104" s="11"/>
      <c r="E104" s="16"/>
      <c r="F104" s="37"/>
      <c r="G104" s="23"/>
      <c r="H104" s="38"/>
    </row>
    <row r="105" spans="1:8" ht="15.75" hidden="1" customHeight="1">
      <c r="A105" s="11"/>
      <c r="B105" s="21"/>
      <c r="C105" s="22"/>
      <c r="D105" s="11"/>
      <c r="E105" s="16"/>
      <c r="F105" s="37"/>
      <c r="G105" s="23"/>
      <c r="H105" s="38"/>
    </row>
    <row r="106" spans="1:8" ht="15.75" hidden="1" customHeight="1">
      <c r="A106" s="11"/>
      <c r="B106" s="21"/>
      <c r="C106" s="22"/>
      <c r="D106" s="11"/>
      <c r="E106" s="16"/>
      <c r="F106" s="37"/>
      <c r="G106" s="23"/>
      <c r="H106" s="38"/>
    </row>
    <row r="107" spans="1:8" ht="15.75" hidden="1" customHeight="1">
      <c r="A107" s="11"/>
      <c r="B107" s="21"/>
      <c r="C107" s="22"/>
      <c r="D107" s="11"/>
      <c r="E107" s="16"/>
      <c r="F107" s="37"/>
      <c r="G107" s="23"/>
      <c r="H107" s="38"/>
    </row>
    <row r="108" spans="1:8" ht="15.75" hidden="1" customHeight="1">
      <c r="A108" s="11"/>
      <c r="B108" s="21"/>
      <c r="C108" s="22"/>
      <c r="D108" s="11"/>
      <c r="E108" s="16"/>
      <c r="F108" s="37"/>
      <c r="G108" s="23"/>
      <c r="H108" s="38"/>
    </row>
    <row r="109" spans="1:8" ht="15.75" hidden="1" customHeight="1">
      <c r="A109" s="11"/>
      <c r="B109" s="21"/>
      <c r="C109" s="22"/>
      <c r="D109" s="11"/>
      <c r="E109" s="16"/>
      <c r="F109" s="37"/>
      <c r="G109" s="23"/>
      <c r="H109" s="38"/>
    </row>
    <row r="110" spans="1:8" ht="15.75" hidden="1" customHeight="1">
      <c r="A110" s="11"/>
      <c r="B110" s="21"/>
      <c r="C110" s="22"/>
      <c r="D110" s="11"/>
      <c r="E110" s="16"/>
      <c r="F110" s="37"/>
      <c r="G110" s="23"/>
      <c r="H110" s="38"/>
    </row>
    <row r="111" spans="1:8" ht="15.75" hidden="1" customHeight="1">
      <c r="A111" s="11"/>
      <c r="B111" s="21"/>
      <c r="C111" s="22"/>
      <c r="D111" s="11"/>
      <c r="E111" s="16"/>
      <c r="F111" s="37"/>
      <c r="G111" s="23"/>
      <c r="H111" s="38"/>
    </row>
    <row r="112" spans="1:8" ht="15.75" hidden="1" customHeight="1">
      <c r="A112" s="11"/>
      <c r="B112" s="21"/>
      <c r="C112" s="22"/>
      <c r="D112" s="11"/>
      <c r="E112" s="16"/>
      <c r="F112" s="37"/>
      <c r="G112" s="23"/>
      <c r="H112" s="38"/>
    </row>
    <row r="113" spans="1:8" ht="15.75" hidden="1" customHeight="1">
      <c r="A113" s="11"/>
      <c r="B113" s="21"/>
      <c r="C113" s="22"/>
      <c r="D113" s="11"/>
      <c r="E113" s="16"/>
      <c r="F113" s="37"/>
      <c r="G113" s="23"/>
      <c r="H113" s="38"/>
    </row>
    <row r="114" spans="1:8" ht="15.75" hidden="1" customHeight="1">
      <c r="A114" s="11"/>
      <c r="B114" s="21"/>
      <c r="C114" s="22"/>
      <c r="D114" s="11"/>
      <c r="E114" s="16"/>
      <c r="F114" s="37"/>
      <c r="G114" s="23"/>
      <c r="H114" s="38"/>
    </row>
    <row r="115" spans="1:8" ht="15.75" hidden="1" customHeight="1">
      <c r="A115" s="11"/>
      <c r="B115" s="21"/>
      <c r="C115" s="22"/>
      <c r="D115" s="11"/>
      <c r="E115" s="16"/>
      <c r="F115" s="37"/>
      <c r="G115" s="23"/>
      <c r="H115" s="38"/>
    </row>
    <row r="116" spans="1:8" ht="15.75" hidden="1" customHeight="1">
      <c r="A116" s="11"/>
      <c r="B116" s="21"/>
      <c r="C116" s="22"/>
      <c r="D116" s="11"/>
      <c r="E116" s="16"/>
      <c r="F116" s="37"/>
      <c r="G116" s="23"/>
      <c r="H116" s="38"/>
    </row>
    <row r="117" spans="1:8" ht="15.75" hidden="1" customHeight="1">
      <c r="A117" s="11"/>
      <c r="B117" s="21"/>
      <c r="C117" s="22"/>
      <c r="D117" s="11"/>
      <c r="E117" s="16"/>
      <c r="F117" s="37"/>
      <c r="G117" s="23"/>
      <c r="H117" s="38"/>
    </row>
    <row r="118" spans="1:8" ht="15.75" hidden="1" customHeight="1">
      <c r="A118" s="11"/>
      <c r="B118" s="21"/>
      <c r="C118" s="22"/>
      <c r="D118" s="11"/>
      <c r="E118" s="16"/>
      <c r="F118" s="37"/>
      <c r="G118" s="23"/>
      <c r="H118" s="38"/>
    </row>
    <row r="119" spans="1:8" ht="15.75" hidden="1" customHeight="1">
      <c r="A119" s="11"/>
      <c r="B119" s="21"/>
      <c r="C119" s="22"/>
      <c r="D119" s="11"/>
      <c r="E119" s="16"/>
      <c r="F119" s="37"/>
      <c r="G119" s="23"/>
      <c r="H119" s="38"/>
    </row>
    <row r="120" spans="1:8" ht="15.75" hidden="1" customHeight="1">
      <c r="A120" s="11"/>
      <c r="B120" s="21"/>
      <c r="C120" s="22"/>
      <c r="D120" s="11"/>
      <c r="E120" s="16"/>
      <c r="F120" s="37"/>
      <c r="G120" s="23"/>
      <c r="H120" s="38"/>
    </row>
    <row r="121" spans="1:8" ht="15.75" hidden="1" customHeight="1">
      <c r="A121" s="11"/>
      <c r="B121" s="21"/>
      <c r="C121" s="22"/>
      <c r="D121" s="11"/>
      <c r="E121" s="16"/>
      <c r="F121" s="37"/>
      <c r="G121" s="23"/>
      <c r="H121" s="38"/>
    </row>
    <row r="122" spans="1:8" ht="15.75" hidden="1" customHeight="1">
      <c r="A122" s="11"/>
      <c r="B122" s="21"/>
      <c r="C122" s="22"/>
      <c r="D122" s="11"/>
      <c r="E122" s="16"/>
      <c r="F122" s="16"/>
      <c r="G122" s="23"/>
      <c r="H122" s="38"/>
    </row>
    <row r="123" spans="1:8" ht="15.75" hidden="1" customHeight="1">
      <c r="A123" s="11"/>
      <c r="B123" s="21"/>
      <c r="C123" s="22"/>
      <c r="D123" s="11"/>
      <c r="E123" s="16"/>
      <c r="F123" s="37"/>
      <c r="G123" s="23"/>
      <c r="H123" s="38"/>
    </row>
    <row r="124" spans="1:8" ht="15.75" hidden="1" customHeight="1">
      <c r="A124" s="11"/>
      <c r="B124" s="21"/>
      <c r="C124" s="22"/>
      <c r="D124" s="11"/>
      <c r="E124" s="16"/>
      <c r="F124" s="37"/>
      <c r="G124" s="23"/>
      <c r="H124" s="38"/>
    </row>
    <row r="125" spans="1:8" ht="15.75" hidden="1" customHeight="1">
      <c r="A125" s="11"/>
      <c r="B125" s="21"/>
      <c r="C125" s="22"/>
      <c r="D125" s="11"/>
      <c r="E125" s="16"/>
      <c r="F125" s="37"/>
      <c r="G125" s="23"/>
      <c r="H125" s="38"/>
    </row>
    <row r="126" spans="1:8" ht="15.75" hidden="1" customHeight="1">
      <c r="A126" s="11"/>
      <c r="B126" s="21"/>
      <c r="C126" s="22"/>
      <c r="D126" s="11"/>
      <c r="E126" s="16"/>
      <c r="F126" s="37"/>
      <c r="G126" s="23"/>
      <c r="H126" s="38"/>
    </row>
    <row r="127" spans="1:8" ht="15.75" hidden="1" customHeight="1">
      <c r="A127" s="11"/>
      <c r="B127" s="21"/>
      <c r="C127" s="22"/>
      <c r="D127" s="11"/>
      <c r="E127" s="16"/>
      <c r="F127" s="37"/>
      <c r="G127" s="23"/>
      <c r="H127" s="38"/>
    </row>
    <row r="128" spans="1:8" ht="15.75" hidden="1" customHeight="1">
      <c r="A128" s="11"/>
      <c r="B128" s="21"/>
      <c r="C128" s="22"/>
      <c r="D128" s="11"/>
      <c r="E128" s="16"/>
      <c r="F128" s="37"/>
      <c r="G128" s="23"/>
      <c r="H128" s="38"/>
    </row>
    <row r="129" spans="1:8" ht="15.75" hidden="1" customHeight="1">
      <c r="A129" s="11"/>
      <c r="B129" s="21"/>
      <c r="C129" s="22"/>
      <c r="D129" s="11"/>
      <c r="E129" s="16"/>
      <c r="F129" s="37"/>
      <c r="G129" s="23"/>
      <c r="H129" s="38"/>
    </row>
    <row r="130" spans="1:8" ht="15.75" hidden="1" customHeight="1">
      <c r="A130" s="11"/>
      <c r="B130" s="21"/>
      <c r="C130" s="22"/>
      <c r="D130" s="11"/>
      <c r="E130" s="16"/>
      <c r="F130" s="37"/>
      <c r="G130" s="23"/>
      <c r="H130" s="38"/>
    </row>
    <row r="131" spans="1:8" ht="15.75" hidden="1" customHeight="1">
      <c r="A131" s="11"/>
      <c r="B131" s="21"/>
      <c r="C131" s="22"/>
      <c r="D131" s="11"/>
      <c r="E131" s="16"/>
      <c r="F131" s="37"/>
      <c r="G131" s="23"/>
      <c r="H131" s="38"/>
    </row>
    <row r="132" spans="1:8" ht="15.75" hidden="1" customHeight="1">
      <c r="A132" s="11"/>
      <c r="B132" s="21"/>
      <c r="C132" s="22"/>
      <c r="D132" s="11"/>
      <c r="E132" s="16"/>
      <c r="F132" s="37"/>
      <c r="G132" s="23"/>
      <c r="H132" s="38"/>
    </row>
    <row r="133" spans="1:8" ht="15.75" hidden="1" customHeight="1">
      <c r="A133" s="11"/>
      <c r="B133" s="21"/>
      <c r="C133" s="22"/>
      <c r="D133" s="11"/>
      <c r="E133" s="16"/>
      <c r="F133" s="37"/>
      <c r="G133" s="23"/>
      <c r="H133" s="38"/>
    </row>
    <row r="134" spans="1:8" ht="15.75" hidden="1" customHeight="1">
      <c r="A134" s="11"/>
      <c r="B134" s="21"/>
      <c r="C134" s="22"/>
      <c r="D134" s="11"/>
      <c r="E134" s="16"/>
      <c r="F134" s="37"/>
      <c r="G134" s="23"/>
      <c r="H134" s="38"/>
    </row>
    <row r="135" spans="1:8" ht="15.75" hidden="1" customHeight="1">
      <c r="A135" s="11"/>
      <c r="B135" s="21"/>
      <c r="C135" s="22"/>
      <c r="D135" s="11"/>
      <c r="E135" s="16"/>
      <c r="F135" s="37"/>
      <c r="G135" s="23"/>
      <c r="H135" s="38"/>
    </row>
    <row r="136" spans="1:8" ht="15.75" hidden="1" customHeight="1">
      <c r="A136" s="11"/>
      <c r="B136" s="21"/>
      <c r="C136" s="22"/>
      <c r="D136" s="11"/>
      <c r="E136" s="16"/>
      <c r="F136" s="37"/>
      <c r="G136" s="23"/>
      <c r="H136" s="38"/>
    </row>
    <row r="137" spans="1:8" ht="15.75" hidden="1" customHeight="1">
      <c r="A137" s="11"/>
      <c r="B137" s="21"/>
      <c r="C137" s="22"/>
      <c r="D137" s="11"/>
      <c r="E137" s="16"/>
      <c r="F137" s="37"/>
      <c r="G137" s="23"/>
      <c r="H137" s="38"/>
    </row>
    <row r="138" spans="1:8" ht="15.75" hidden="1" customHeight="1">
      <c r="A138" s="11"/>
      <c r="B138" s="21"/>
      <c r="C138" s="22"/>
      <c r="D138" s="11"/>
      <c r="E138" s="16"/>
      <c r="F138" s="37"/>
      <c r="G138" s="23"/>
      <c r="H138" s="38"/>
    </row>
    <row r="139" spans="1:8" ht="15.75" hidden="1" customHeight="1">
      <c r="A139" s="11"/>
      <c r="B139" s="21"/>
      <c r="C139" s="22"/>
      <c r="D139" s="11"/>
      <c r="E139" s="16"/>
      <c r="F139" s="37"/>
      <c r="G139" s="23"/>
      <c r="H139" s="38"/>
    </row>
    <row r="140" spans="1:8" ht="15.75" hidden="1" customHeight="1">
      <c r="A140" s="11"/>
      <c r="B140" s="21"/>
      <c r="C140" s="22"/>
      <c r="D140" s="11"/>
      <c r="E140" s="16"/>
      <c r="F140" s="37"/>
      <c r="G140" s="23"/>
      <c r="H140" s="38"/>
    </row>
    <row r="141" spans="1:8" ht="15.75" hidden="1" customHeight="1">
      <c r="A141" s="11"/>
      <c r="B141" s="21"/>
      <c r="C141" s="22"/>
      <c r="D141" s="11"/>
      <c r="E141" s="16"/>
      <c r="F141" s="37"/>
      <c r="G141" s="23"/>
      <c r="H141" s="38"/>
    </row>
    <row r="142" spans="1:8" ht="15.75" hidden="1" customHeight="1">
      <c r="A142" s="11"/>
      <c r="B142" s="21"/>
      <c r="C142" s="22"/>
      <c r="D142" s="11"/>
      <c r="E142" s="16"/>
      <c r="F142" s="37"/>
      <c r="G142" s="23"/>
      <c r="H142" s="38"/>
    </row>
    <row r="143" spans="1:8" ht="15.75" hidden="1" customHeight="1">
      <c r="A143" s="11"/>
      <c r="B143" s="21"/>
      <c r="C143" s="22"/>
      <c r="D143" s="11"/>
      <c r="E143" s="16"/>
      <c r="F143" s="37"/>
      <c r="G143" s="23"/>
      <c r="H143" s="38"/>
    </row>
    <row r="144" spans="1:8" ht="15.75" hidden="1" customHeight="1">
      <c r="A144" s="11"/>
      <c r="B144" s="21"/>
      <c r="C144" s="22"/>
      <c r="D144" s="11"/>
      <c r="E144" s="16"/>
      <c r="F144" s="37"/>
      <c r="G144" s="23"/>
      <c r="H144" s="38"/>
    </row>
    <row r="145" spans="1:8" ht="15.75" hidden="1" customHeight="1">
      <c r="A145" s="11"/>
      <c r="B145" s="21"/>
      <c r="C145" s="22"/>
      <c r="D145" s="11"/>
      <c r="E145" s="16"/>
      <c r="F145" s="16"/>
      <c r="G145" s="23"/>
      <c r="H145" s="38"/>
    </row>
    <row r="146" spans="1:8" ht="15.75" hidden="1" customHeight="1">
      <c r="A146" s="11"/>
      <c r="B146" s="21"/>
      <c r="C146" s="22"/>
      <c r="D146" s="11"/>
      <c r="E146" s="16"/>
      <c r="F146" s="37"/>
      <c r="G146" s="23"/>
      <c r="H146" s="38"/>
    </row>
    <row r="147" spans="1:8" ht="15.75" hidden="1" customHeight="1">
      <c r="A147" s="11"/>
      <c r="B147" s="21"/>
      <c r="C147" s="22"/>
      <c r="D147" s="11"/>
      <c r="E147" s="16"/>
      <c r="F147" s="37"/>
      <c r="G147" s="23"/>
      <c r="H147" s="38"/>
    </row>
    <row r="148" spans="1:8" ht="15.75" hidden="1" customHeight="1">
      <c r="A148" s="11"/>
      <c r="B148" s="21"/>
      <c r="C148" s="22"/>
      <c r="D148" s="11"/>
      <c r="E148" s="16"/>
      <c r="F148" s="37"/>
      <c r="G148" s="23"/>
      <c r="H148" s="38"/>
    </row>
    <row r="149" spans="1:8" ht="15.75" hidden="1" customHeight="1">
      <c r="A149" s="11"/>
      <c r="B149" s="21"/>
      <c r="C149" s="22"/>
      <c r="D149" s="11"/>
      <c r="E149" s="16"/>
      <c r="F149" s="37"/>
      <c r="G149" s="23"/>
      <c r="H149" s="38"/>
    </row>
    <row r="150" spans="1:8" ht="15.75" hidden="1" customHeight="1">
      <c r="A150" s="11"/>
      <c r="B150" s="21"/>
      <c r="C150" s="22"/>
      <c r="D150" s="11"/>
      <c r="E150" s="16"/>
      <c r="F150" s="37"/>
      <c r="G150" s="23"/>
      <c r="H150" s="38"/>
    </row>
    <row r="151" spans="1:8" ht="15.75" hidden="1" customHeight="1">
      <c r="A151" s="11"/>
      <c r="B151" s="21"/>
      <c r="C151" s="22"/>
      <c r="D151" s="11"/>
      <c r="E151" s="16"/>
      <c r="F151" s="37"/>
      <c r="G151" s="23"/>
      <c r="H151" s="38"/>
    </row>
    <row r="152" spans="1:8" ht="15.75" hidden="1" customHeight="1">
      <c r="A152" s="11"/>
      <c r="B152" s="21"/>
      <c r="C152" s="22"/>
      <c r="D152" s="11"/>
      <c r="E152" s="16"/>
      <c r="F152" s="37"/>
      <c r="G152" s="23"/>
      <c r="H152" s="38"/>
    </row>
    <row r="153" spans="1:8" ht="15.75" hidden="1" customHeight="1">
      <c r="A153" s="11"/>
      <c r="B153" s="21"/>
      <c r="C153" s="22"/>
      <c r="D153" s="11"/>
      <c r="E153" s="16"/>
      <c r="F153" s="37"/>
      <c r="G153" s="23"/>
      <c r="H153" s="38"/>
    </row>
    <row r="154" spans="1:8" ht="15.75" hidden="1" customHeight="1">
      <c r="A154" s="11"/>
      <c r="B154" s="21"/>
      <c r="C154" s="22"/>
      <c r="D154" s="11"/>
      <c r="E154" s="16"/>
      <c r="F154" s="37"/>
      <c r="G154" s="23"/>
      <c r="H154" s="38"/>
    </row>
    <row r="155" spans="1:8" ht="15.75" hidden="1" customHeight="1">
      <c r="A155" s="11"/>
      <c r="B155" s="21"/>
      <c r="C155" s="22"/>
      <c r="D155" s="11"/>
      <c r="E155" s="16"/>
      <c r="F155" s="37"/>
      <c r="G155" s="23"/>
      <c r="H155" s="38"/>
    </row>
    <row r="156" spans="1:8" ht="15.75" hidden="1" customHeight="1">
      <c r="A156" s="11"/>
      <c r="B156" s="21"/>
      <c r="C156" s="22"/>
      <c r="D156" s="11"/>
      <c r="E156" s="16"/>
      <c r="F156" s="37"/>
      <c r="G156" s="23"/>
      <c r="H156" s="38"/>
    </row>
    <row r="157" spans="1:8" ht="15.75" hidden="1" customHeight="1">
      <c r="A157" s="11"/>
      <c r="B157" s="21"/>
      <c r="C157" s="22"/>
      <c r="D157" s="11"/>
      <c r="E157" s="16"/>
      <c r="F157" s="37"/>
      <c r="G157" s="23"/>
      <c r="H157" s="38"/>
    </row>
    <row r="158" spans="1:8" ht="15.75" hidden="1" customHeight="1">
      <c r="A158" s="11"/>
      <c r="B158" s="21"/>
      <c r="C158" s="22"/>
      <c r="D158" s="11"/>
      <c r="E158" s="16"/>
      <c r="F158" s="37"/>
      <c r="G158" s="23"/>
      <c r="H158" s="38"/>
    </row>
    <row r="159" spans="1:8" ht="15.75" hidden="1" customHeight="1">
      <c r="A159" s="11"/>
      <c r="B159" s="21"/>
      <c r="C159" s="22"/>
      <c r="D159" s="11"/>
      <c r="E159" s="16"/>
      <c r="F159" s="37"/>
      <c r="G159" s="23"/>
      <c r="H159" s="38"/>
    </row>
    <row r="160" spans="1:8" ht="15.75" hidden="1" customHeight="1">
      <c r="A160" s="11"/>
      <c r="B160" s="21"/>
      <c r="C160" s="22"/>
      <c r="D160" s="11"/>
      <c r="E160" s="16"/>
      <c r="F160" s="37"/>
      <c r="G160" s="23"/>
      <c r="H160" s="38"/>
    </row>
    <row r="161" spans="1:8" ht="15.75" hidden="1" customHeight="1">
      <c r="A161" s="11"/>
      <c r="B161" s="21"/>
      <c r="C161" s="22"/>
      <c r="D161" s="11"/>
      <c r="E161" s="16"/>
      <c r="F161" s="37"/>
      <c r="G161" s="23"/>
      <c r="H161" s="38"/>
    </row>
    <row r="162" spans="1:8" ht="15.75" hidden="1" customHeight="1">
      <c r="A162" s="11"/>
      <c r="B162" s="21"/>
      <c r="C162" s="22"/>
      <c r="D162" s="11"/>
      <c r="E162" s="16"/>
      <c r="F162" s="37"/>
      <c r="G162" s="23"/>
      <c r="H162" s="38"/>
    </row>
    <row r="163" spans="1:8" ht="15.75" hidden="1" customHeight="1">
      <c r="A163" s="11"/>
      <c r="B163" s="21"/>
      <c r="C163" s="22"/>
      <c r="D163" s="11"/>
      <c r="E163" s="16"/>
      <c r="F163" s="37"/>
      <c r="G163" s="23"/>
      <c r="H163" s="38"/>
    </row>
    <row r="164" spans="1:8" ht="15.75" hidden="1" customHeight="1">
      <c r="A164" s="11"/>
      <c r="B164" s="21"/>
      <c r="C164" s="22"/>
      <c r="D164" s="11"/>
      <c r="E164" s="16"/>
      <c r="F164" s="37"/>
      <c r="G164" s="23"/>
      <c r="H164" s="38"/>
    </row>
    <row r="165" spans="1:8" ht="15.75" hidden="1" customHeight="1">
      <c r="A165" s="11"/>
      <c r="B165" s="21"/>
      <c r="C165" s="22"/>
      <c r="D165" s="11"/>
      <c r="E165" s="16"/>
      <c r="F165" s="37"/>
      <c r="G165" s="23"/>
      <c r="H165" s="38"/>
    </row>
    <row r="166" spans="1:8" ht="15.75" hidden="1" customHeight="1">
      <c r="A166" s="11"/>
      <c r="B166" s="21"/>
      <c r="C166" s="22"/>
      <c r="D166" s="11"/>
      <c r="E166" s="16"/>
      <c r="F166" s="37"/>
      <c r="G166" s="23"/>
      <c r="H166" s="38"/>
    </row>
    <row r="167" spans="1:8" ht="15.75" hidden="1" customHeight="1">
      <c r="A167" s="11"/>
      <c r="B167" s="21"/>
      <c r="C167" s="22"/>
      <c r="D167" s="11"/>
      <c r="E167" s="16"/>
      <c r="F167" s="37"/>
      <c r="G167" s="23"/>
      <c r="H167" s="38"/>
    </row>
    <row r="168" spans="1:8" ht="15.75" hidden="1" customHeight="1">
      <c r="A168" s="11"/>
      <c r="B168" s="21"/>
      <c r="C168" s="22"/>
      <c r="D168" s="11"/>
      <c r="E168" s="16"/>
      <c r="F168" s="37"/>
      <c r="G168" s="23"/>
      <c r="H168" s="38"/>
    </row>
    <row r="169" spans="1:8" ht="15.75" hidden="1" customHeight="1">
      <c r="A169" s="11"/>
      <c r="B169" s="21"/>
      <c r="C169" s="22"/>
      <c r="D169" s="11"/>
      <c r="E169" s="16"/>
      <c r="F169" s="37"/>
      <c r="G169" s="23"/>
      <c r="H169" s="38"/>
    </row>
    <row r="170" spans="1:8" ht="15.75" hidden="1" customHeight="1">
      <c r="A170" s="11"/>
      <c r="B170" s="21"/>
      <c r="C170" s="22"/>
      <c r="D170" s="11"/>
      <c r="E170" s="16"/>
      <c r="F170" s="37"/>
      <c r="G170" s="23"/>
      <c r="H170" s="38"/>
    </row>
    <row r="171" spans="1:8" ht="15.75" hidden="1" customHeight="1">
      <c r="A171" s="11"/>
      <c r="B171" s="21"/>
      <c r="C171" s="22"/>
      <c r="D171" s="11"/>
      <c r="E171" s="16"/>
      <c r="F171" s="37"/>
      <c r="G171" s="23"/>
      <c r="H171" s="38"/>
    </row>
    <row r="172" spans="1:8" ht="15.75" hidden="1" customHeight="1">
      <c r="A172" s="11"/>
      <c r="B172" s="21"/>
      <c r="C172" s="22"/>
      <c r="D172" s="11"/>
      <c r="E172" s="16"/>
      <c r="F172" s="37"/>
      <c r="G172" s="23"/>
      <c r="H172" s="38"/>
    </row>
    <row r="173" spans="1:8" ht="15.75" hidden="1" customHeight="1">
      <c r="A173" s="11"/>
      <c r="B173" s="21"/>
      <c r="C173" s="22"/>
      <c r="D173" s="11"/>
      <c r="E173" s="16"/>
      <c r="F173" s="37"/>
      <c r="G173" s="23"/>
      <c r="H173" s="38"/>
    </row>
    <row r="174" spans="1:8" ht="15.75" hidden="1" customHeight="1">
      <c r="A174" s="11"/>
      <c r="B174" s="21"/>
      <c r="C174" s="22"/>
      <c r="D174" s="11"/>
      <c r="E174" s="16"/>
      <c r="F174" s="37"/>
      <c r="G174" s="23"/>
      <c r="H174" s="38"/>
    </row>
    <row r="175" spans="1:8" ht="15.75" hidden="1" customHeight="1">
      <c r="A175" s="11"/>
      <c r="B175" s="21"/>
      <c r="C175" s="22"/>
      <c r="D175" s="11"/>
      <c r="E175" s="16"/>
      <c r="F175" s="37"/>
      <c r="G175" s="23"/>
      <c r="H175" s="38"/>
    </row>
    <row r="176" spans="1:8" ht="15.75" hidden="1" customHeight="1">
      <c r="A176" s="11"/>
      <c r="B176" s="21"/>
      <c r="C176" s="22"/>
      <c r="D176" s="11"/>
      <c r="E176" s="16"/>
      <c r="F176" s="37"/>
      <c r="G176" s="23"/>
      <c r="H176" s="38"/>
    </row>
    <row r="177" spans="1:8" ht="15.75" hidden="1" customHeight="1">
      <c r="A177" s="11"/>
      <c r="B177" s="21"/>
      <c r="C177" s="22"/>
      <c r="D177" s="11"/>
      <c r="E177" s="16"/>
      <c r="F177" s="37"/>
      <c r="G177" s="23"/>
      <c r="H177" s="38"/>
    </row>
    <row r="178" spans="1:8" ht="15.75" hidden="1" customHeight="1">
      <c r="A178" s="11"/>
      <c r="B178" s="21"/>
      <c r="C178" s="22"/>
      <c r="D178" s="11"/>
      <c r="E178" s="16"/>
      <c r="F178" s="37"/>
      <c r="G178" s="23"/>
      <c r="H178" s="38"/>
    </row>
    <row r="179" spans="1:8" ht="15.75" hidden="1" customHeight="1">
      <c r="A179" s="11"/>
      <c r="B179" s="21"/>
      <c r="C179" s="22"/>
      <c r="D179" s="11"/>
      <c r="E179" s="16"/>
      <c r="F179" s="37"/>
      <c r="G179" s="23"/>
      <c r="H179" s="38"/>
    </row>
    <row r="180" spans="1:8" ht="15.75" hidden="1" customHeight="1">
      <c r="A180" s="11"/>
      <c r="B180" s="21"/>
      <c r="C180" s="22"/>
      <c r="D180" s="11"/>
      <c r="E180" s="16"/>
      <c r="F180" s="37"/>
      <c r="G180" s="23"/>
      <c r="H180" s="38"/>
    </row>
    <row r="181" spans="1:8" ht="15.75" hidden="1" customHeight="1">
      <c r="A181" s="11"/>
      <c r="B181" s="21"/>
      <c r="C181" s="22"/>
      <c r="D181" s="11"/>
      <c r="E181" s="16"/>
      <c r="F181" s="37"/>
      <c r="G181" s="23"/>
      <c r="H181" s="38"/>
    </row>
    <row r="182" spans="1:8" ht="15.75" hidden="1" customHeight="1">
      <c r="A182" s="11"/>
      <c r="B182" s="21"/>
      <c r="C182" s="22"/>
      <c r="D182" s="11"/>
      <c r="E182" s="16"/>
      <c r="F182" s="37"/>
      <c r="G182" s="23"/>
      <c r="H182" s="38"/>
    </row>
    <row r="183" spans="1:8" ht="15.75" hidden="1" customHeight="1">
      <c r="A183" s="11"/>
      <c r="B183" s="21"/>
      <c r="C183" s="22"/>
      <c r="D183" s="11"/>
      <c r="E183" s="16"/>
      <c r="F183" s="37"/>
      <c r="G183" s="23"/>
      <c r="H183" s="38"/>
    </row>
    <row r="184" spans="1:8" ht="15.75" hidden="1" customHeight="1">
      <c r="A184" s="11"/>
      <c r="B184" s="21"/>
      <c r="C184" s="22"/>
      <c r="D184" s="11"/>
      <c r="E184" s="16"/>
      <c r="F184" s="37"/>
      <c r="G184" s="23"/>
      <c r="H184" s="38"/>
    </row>
    <row r="185" spans="1:8" ht="15.75" hidden="1" customHeight="1">
      <c r="A185" s="11"/>
      <c r="B185" s="21"/>
      <c r="C185" s="22"/>
      <c r="D185" s="11"/>
      <c r="E185" s="16"/>
      <c r="F185" s="37"/>
      <c r="G185" s="23"/>
      <c r="H185" s="38"/>
    </row>
    <row r="186" spans="1:8" ht="15.75" hidden="1" customHeight="1">
      <c r="A186" s="11"/>
      <c r="B186" s="21"/>
      <c r="C186" s="22"/>
      <c r="D186" s="11"/>
      <c r="E186" s="16"/>
      <c r="F186" s="37"/>
      <c r="G186" s="23"/>
      <c r="H186" s="38"/>
    </row>
    <row r="187" spans="1:8" ht="15.75" hidden="1" customHeight="1">
      <c r="A187" s="11"/>
      <c r="B187" s="21"/>
      <c r="C187" s="22"/>
      <c r="D187" s="11"/>
      <c r="E187" s="16"/>
      <c r="F187" s="37"/>
      <c r="G187" s="23"/>
      <c r="H187" s="38"/>
    </row>
    <row r="188" spans="1:8" ht="15.75" hidden="1" customHeight="1">
      <c r="A188" s="11"/>
      <c r="B188" s="21"/>
      <c r="C188" s="22"/>
      <c r="D188" s="11"/>
      <c r="E188" s="16"/>
      <c r="F188" s="37"/>
      <c r="G188" s="23"/>
      <c r="H188" s="38"/>
    </row>
    <row r="189" spans="1:8" ht="15.75" hidden="1" customHeight="1">
      <c r="A189" s="11"/>
      <c r="B189" s="21"/>
      <c r="C189" s="22"/>
      <c r="D189" s="11"/>
      <c r="E189" s="16"/>
      <c r="F189" s="37"/>
      <c r="G189" s="23"/>
      <c r="H189" s="38"/>
    </row>
    <row r="190" spans="1:8" ht="15.75" hidden="1" customHeight="1">
      <c r="A190" s="11"/>
      <c r="B190" s="21"/>
      <c r="C190" s="22"/>
      <c r="D190" s="11"/>
      <c r="E190" s="16"/>
      <c r="F190" s="37"/>
      <c r="G190" s="23"/>
      <c r="H190" s="38"/>
    </row>
    <row r="191" spans="1:8" ht="15.75" hidden="1" customHeight="1">
      <c r="A191" s="11"/>
      <c r="B191" s="21"/>
      <c r="C191" s="22"/>
      <c r="D191" s="11"/>
      <c r="E191" s="16"/>
      <c r="F191" s="37"/>
      <c r="G191" s="23"/>
      <c r="H191" s="38"/>
    </row>
    <row r="192" spans="1:8" ht="15.75" hidden="1" customHeight="1">
      <c r="A192" s="11"/>
      <c r="B192" s="21"/>
      <c r="C192" s="22"/>
      <c r="D192" s="11"/>
      <c r="E192" s="16"/>
      <c r="F192" s="37"/>
      <c r="G192" s="23"/>
      <c r="H192" s="38"/>
    </row>
    <row r="193" spans="1:8" ht="15.75" hidden="1" customHeight="1">
      <c r="A193" s="11"/>
      <c r="B193" s="21"/>
      <c r="C193" s="22"/>
      <c r="D193" s="11"/>
      <c r="E193" s="16"/>
      <c r="F193" s="37"/>
      <c r="G193" s="23"/>
      <c r="H193" s="38"/>
    </row>
    <row r="194" spans="1:8" ht="15.75" hidden="1" customHeight="1">
      <c r="A194" s="11"/>
      <c r="B194" s="21"/>
      <c r="C194" s="22"/>
      <c r="D194" s="11"/>
      <c r="E194" s="16"/>
      <c r="F194" s="37"/>
      <c r="G194" s="23"/>
      <c r="H194" s="38"/>
    </row>
    <row r="195" spans="1:8" ht="15.75" hidden="1" customHeight="1">
      <c r="A195" s="11"/>
      <c r="B195" s="21"/>
      <c r="C195" s="22"/>
      <c r="D195" s="11"/>
      <c r="E195" s="16"/>
      <c r="F195" s="37"/>
      <c r="G195" s="23"/>
      <c r="H195" s="38"/>
    </row>
    <row r="196" spans="1:8" ht="15.75" hidden="1" customHeight="1">
      <c r="A196" s="11"/>
      <c r="B196" s="21"/>
      <c r="C196" s="22"/>
      <c r="D196" s="11"/>
      <c r="E196" s="16"/>
      <c r="F196" s="37"/>
      <c r="G196" s="23"/>
      <c r="H196" s="38"/>
    </row>
    <row r="197" spans="1:8" ht="15.75" hidden="1" customHeight="1">
      <c r="A197" s="11"/>
      <c r="B197" s="21"/>
      <c r="C197" s="22"/>
      <c r="D197" s="11"/>
      <c r="E197" s="16"/>
      <c r="F197" s="37"/>
      <c r="G197" s="23"/>
      <c r="H197" s="38"/>
    </row>
    <row r="198" spans="1:8" ht="15.75" hidden="1" customHeight="1">
      <c r="A198" s="11"/>
      <c r="B198" s="21"/>
      <c r="C198" s="22"/>
      <c r="D198" s="11"/>
      <c r="E198" s="16"/>
      <c r="F198" s="37"/>
      <c r="G198" s="23"/>
      <c r="H198" s="38"/>
    </row>
    <row r="199" spans="1:8" ht="15.75" hidden="1" customHeight="1">
      <c r="A199" s="11"/>
      <c r="B199" s="21"/>
      <c r="C199" s="22"/>
      <c r="D199" s="11"/>
      <c r="E199" s="16"/>
      <c r="F199" s="37"/>
      <c r="G199" s="23"/>
      <c r="H199" s="38"/>
    </row>
    <row r="200" spans="1:8" ht="15.75" hidden="1" customHeight="1">
      <c r="A200" s="11"/>
      <c r="B200" s="21"/>
      <c r="C200" s="22"/>
      <c r="D200" s="11"/>
      <c r="E200" s="16"/>
      <c r="F200" s="37"/>
      <c r="G200" s="23"/>
      <c r="H200" s="38"/>
    </row>
    <row r="201" spans="1:8" ht="15.75" hidden="1" customHeight="1">
      <c r="A201" s="11"/>
      <c r="B201" s="21"/>
      <c r="C201" s="22"/>
      <c r="D201" s="11"/>
      <c r="E201" s="16"/>
      <c r="F201" s="37"/>
      <c r="G201" s="23"/>
      <c r="H201" s="38"/>
    </row>
    <row r="202" spans="1:8" ht="15.75" hidden="1" customHeight="1">
      <c r="A202" s="11"/>
      <c r="B202" s="21"/>
      <c r="C202" s="22"/>
      <c r="D202" s="11"/>
      <c r="E202" s="16"/>
      <c r="F202" s="37"/>
      <c r="G202" s="23"/>
      <c r="H202" s="38"/>
    </row>
    <row r="203" spans="1:8" ht="15.75" hidden="1" customHeight="1">
      <c r="A203" s="11"/>
      <c r="B203" s="21"/>
      <c r="C203" s="22"/>
      <c r="D203" s="11"/>
      <c r="E203" s="16"/>
      <c r="F203" s="37"/>
      <c r="G203" s="23"/>
      <c r="H203" s="38"/>
    </row>
    <row r="204" spans="1:8" ht="15.75" hidden="1" customHeight="1">
      <c r="A204" s="11"/>
      <c r="B204" s="21"/>
      <c r="C204" s="22"/>
      <c r="D204" s="11"/>
      <c r="E204" s="16"/>
      <c r="F204" s="37"/>
      <c r="G204" s="23"/>
      <c r="H204" s="38"/>
    </row>
    <row r="205" spans="1:8" ht="15.75" hidden="1" customHeight="1">
      <c r="A205" s="11"/>
      <c r="B205" s="21"/>
      <c r="C205" s="22"/>
      <c r="D205" s="11"/>
      <c r="E205" s="16"/>
      <c r="F205" s="37"/>
      <c r="G205" s="23"/>
      <c r="H205" s="38"/>
    </row>
    <row r="206" spans="1:8" ht="15.75" hidden="1" customHeight="1">
      <c r="A206" s="11"/>
      <c r="B206" s="21"/>
      <c r="C206" s="22"/>
      <c r="D206" s="11"/>
      <c r="E206" s="16"/>
      <c r="F206" s="37"/>
      <c r="G206" s="23"/>
      <c r="H206" s="38"/>
    </row>
    <row r="207" spans="1:8" ht="15.75" hidden="1" customHeight="1">
      <c r="A207" s="11"/>
      <c r="B207" s="21"/>
      <c r="C207" s="22"/>
      <c r="D207" s="11"/>
      <c r="E207" s="16"/>
      <c r="F207" s="37"/>
      <c r="G207" s="23"/>
      <c r="H207" s="38"/>
    </row>
    <row r="208" spans="1:8" ht="15.75" hidden="1" customHeight="1">
      <c r="A208" s="11"/>
      <c r="B208" s="21"/>
      <c r="C208" s="22"/>
      <c r="D208" s="11"/>
      <c r="E208" s="16"/>
      <c r="F208" s="37"/>
      <c r="G208" s="23"/>
      <c r="H208" s="38"/>
    </row>
    <row r="209" spans="1:8" ht="15.75" hidden="1" customHeight="1">
      <c r="A209" s="11"/>
      <c r="B209" s="21"/>
      <c r="C209" s="22"/>
      <c r="D209" s="11"/>
      <c r="E209" s="16"/>
      <c r="F209" s="37"/>
      <c r="G209" s="23"/>
      <c r="H209" s="38"/>
    </row>
    <row r="210" spans="1:8" ht="15.75" hidden="1" customHeight="1">
      <c r="A210" s="11"/>
      <c r="B210" s="21"/>
      <c r="C210" s="22"/>
      <c r="D210" s="11"/>
      <c r="E210" s="16"/>
      <c r="F210" s="37"/>
      <c r="G210" s="23"/>
      <c r="H210" s="38"/>
    </row>
    <row r="211" spans="1:8" ht="15.75" hidden="1" customHeight="1">
      <c r="A211" s="11"/>
      <c r="B211" s="21"/>
      <c r="C211" s="22"/>
      <c r="D211" s="11"/>
      <c r="E211" s="16"/>
      <c r="F211" s="37"/>
      <c r="G211" s="23"/>
      <c r="H211" s="38"/>
    </row>
    <row r="212" spans="1:8" ht="15.75" hidden="1" customHeight="1">
      <c r="A212" s="11"/>
      <c r="B212" s="21"/>
      <c r="C212" s="22"/>
      <c r="D212" s="11"/>
      <c r="E212" s="16"/>
      <c r="F212" s="37"/>
      <c r="G212" s="23"/>
      <c r="H212" s="38"/>
    </row>
    <row r="213" spans="1:8" ht="15.75" hidden="1" customHeight="1">
      <c r="A213" s="11"/>
      <c r="B213" s="21"/>
      <c r="C213" s="22"/>
      <c r="D213" s="11"/>
      <c r="E213" s="16"/>
      <c r="F213" s="37"/>
      <c r="G213" s="23"/>
      <c r="H213" s="38"/>
    </row>
    <row r="214" spans="1:8" ht="15.75" hidden="1" customHeight="1">
      <c r="A214" s="11"/>
      <c r="B214" s="21"/>
      <c r="C214" s="22"/>
      <c r="D214" s="11"/>
      <c r="E214" s="16"/>
      <c r="F214" s="37"/>
      <c r="G214" s="23"/>
      <c r="H214" s="38"/>
    </row>
    <row r="215" spans="1:8" ht="15.75" hidden="1" customHeight="1">
      <c r="A215" s="11"/>
      <c r="B215" s="21"/>
      <c r="C215" s="22"/>
      <c r="D215" s="11"/>
      <c r="E215" s="16"/>
      <c r="F215" s="37"/>
      <c r="G215" s="23"/>
      <c r="H215" s="38"/>
    </row>
    <row r="216" spans="1:8" ht="15.75" hidden="1" customHeight="1">
      <c r="A216" s="11"/>
      <c r="B216" s="21"/>
      <c r="C216" s="22"/>
      <c r="D216" s="11"/>
      <c r="E216" s="16"/>
      <c r="F216" s="37"/>
      <c r="G216" s="23"/>
      <c r="H216" s="38"/>
    </row>
    <row r="217" spans="1:8" ht="15.75" hidden="1" customHeight="1">
      <c r="A217" s="11"/>
      <c r="B217" s="21"/>
      <c r="C217" s="22"/>
      <c r="D217" s="11"/>
      <c r="E217" s="16"/>
      <c r="F217" s="37"/>
      <c r="G217" s="23"/>
      <c r="H217" s="38"/>
    </row>
    <row r="218" spans="1:8" ht="15.75" hidden="1" customHeight="1">
      <c r="A218" s="11"/>
      <c r="B218" s="21"/>
      <c r="C218" s="22"/>
      <c r="D218" s="11"/>
      <c r="E218" s="16"/>
      <c r="F218" s="37"/>
      <c r="G218" s="23"/>
      <c r="H218" s="38"/>
    </row>
    <row r="219" spans="1:8" ht="15.75" hidden="1" customHeight="1">
      <c r="A219" s="11"/>
      <c r="B219" s="21"/>
      <c r="C219" s="22"/>
      <c r="D219" s="11"/>
      <c r="E219" s="16"/>
      <c r="F219" s="37"/>
      <c r="G219" s="23"/>
      <c r="H219" s="38"/>
    </row>
    <row r="220" spans="1:8" ht="15.75" hidden="1" customHeight="1">
      <c r="A220" s="11"/>
      <c r="B220" s="21"/>
      <c r="C220" s="22"/>
      <c r="D220" s="11"/>
      <c r="E220" s="16"/>
      <c r="F220" s="37"/>
      <c r="G220" s="23"/>
      <c r="H220" s="38"/>
    </row>
    <row r="221" spans="1:8" ht="15.75" hidden="1" customHeight="1">
      <c r="A221" s="11"/>
      <c r="B221" s="21"/>
      <c r="C221" s="22"/>
      <c r="D221" s="11"/>
      <c r="E221" s="16"/>
      <c r="F221" s="37"/>
      <c r="G221" s="23"/>
      <c r="H221" s="38"/>
    </row>
    <row r="222" spans="1:8" ht="15.75" hidden="1" customHeight="1">
      <c r="A222" s="11"/>
      <c r="B222" s="21"/>
      <c r="C222" s="22"/>
      <c r="D222" s="11"/>
      <c r="E222" s="16"/>
      <c r="F222" s="37"/>
      <c r="G222" s="23"/>
      <c r="H222" s="38"/>
    </row>
    <row r="223" spans="1:8" ht="15.75" hidden="1" customHeight="1">
      <c r="A223" s="11"/>
      <c r="B223" s="21"/>
      <c r="C223" s="22"/>
      <c r="D223" s="11"/>
      <c r="E223" s="16"/>
      <c r="F223" s="37"/>
      <c r="G223" s="23"/>
      <c r="H223" s="38"/>
    </row>
    <row r="224" spans="1:8" ht="15.75" hidden="1" customHeight="1">
      <c r="A224" s="11"/>
      <c r="B224" s="21"/>
      <c r="C224" s="22"/>
      <c r="D224" s="11"/>
      <c r="E224" s="16"/>
      <c r="F224" s="37"/>
      <c r="G224" s="23"/>
      <c r="H224" s="38"/>
    </row>
    <row r="225" spans="1:8" ht="15.75" hidden="1" customHeight="1">
      <c r="A225" s="11"/>
      <c r="B225" s="21"/>
      <c r="C225" s="22"/>
      <c r="D225" s="11"/>
      <c r="E225" s="16"/>
      <c r="F225" s="37"/>
      <c r="G225" s="23"/>
      <c r="H225" s="38"/>
    </row>
    <row r="226" spans="1:8" ht="15.75" hidden="1" customHeight="1">
      <c r="A226" s="11"/>
      <c r="B226" s="21"/>
      <c r="C226" s="22"/>
      <c r="D226" s="11"/>
      <c r="E226" s="16"/>
      <c r="F226" s="37"/>
      <c r="G226" s="23"/>
      <c r="H226" s="38"/>
    </row>
    <row r="227" spans="1:8" ht="15.75" hidden="1" customHeight="1">
      <c r="A227" s="11"/>
      <c r="B227" s="21"/>
      <c r="C227" s="22"/>
      <c r="D227" s="11"/>
      <c r="E227" s="16"/>
      <c r="F227" s="37"/>
      <c r="G227" s="23"/>
      <c r="H227" s="38"/>
    </row>
    <row r="228" spans="1:8" ht="15.75" hidden="1" customHeight="1">
      <c r="A228" s="11"/>
      <c r="B228" s="21"/>
      <c r="C228" s="22"/>
      <c r="D228" s="11"/>
      <c r="E228" s="16"/>
      <c r="F228" s="37"/>
      <c r="G228" s="23"/>
      <c r="H228" s="38"/>
    </row>
    <row r="229" spans="1:8" ht="15.75" hidden="1" customHeight="1">
      <c r="A229" s="11"/>
      <c r="B229" s="21"/>
      <c r="C229" s="22"/>
      <c r="D229" s="11"/>
      <c r="E229" s="16"/>
      <c r="F229" s="37"/>
      <c r="G229" s="23"/>
      <c r="H229" s="38"/>
    </row>
    <row r="230" spans="1:8" ht="15.75" hidden="1" customHeight="1">
      <c r="A230" s="11"/>
      <c r="B230" s="21"/>
      <c r="C230" s="22"/>
      <c r="D230" s="11"/>
      <c r="E230" s="16"/>
      <c r="F230" s="37"/>
      <c r="G230" s="23"/>
      <c r="H230" s="38"/>
    </row>
    <row r="231" spans="1:8" ht="15.75" hidden="1" customHeight="1">
      <c r="A231" s="11"/>
      <c r="B231" s="21"/>
      <c r="C231" s="22"/>
      <c r="D231" s="11"/>
      <c r="E231" s="16"/>
      <c r="F231" s="37"/>
      <c r="G231" s="23"/>
      <c r="H231" s="38"/>
    </row>
    <row r="232" spans="1:8" ht="15.75" hidden="1" customHeight="1">
      <c r="A232" s="11"/>
      <c r="B232" s="21"/>
      <c r="C232" s="22"/>
      <c r="D232" s="11"/>
      <c r="E232" s="16"/>
      <c r="F232" s="37"/>
      <c r="G232" s="23"/>
      <c r="H232" s="38"/>
    </row>
    <row r="233" spans="1:8" ht="15.75" hidden="1" customHeight="1">
      <c r="A233" s="11"/>
      <c r="B233" s="21"/>
      <c r="C233" s="22"/>
      <c r="D233" s="11"/>
      <c r="E233" s="16"/>
      <c r="F233" s="37"/>
      <c r="G233" s="23"/>
      <c r="H233" s="38"/>
    </row>
    <row r="234" spans="1:8" ht="15.75" hidden="1" customHeight="1">
      <c r="A234" s="11"/>
      <c r="B234" s="21"/>
      <c r="C234" s="22"/>
      <c r="D234" s="11"/>
      <c r="E234" s="16"/>
      <c r="F234" s="37"/>
      <c r="G234" s="23"/>
      <c r="H234" s="38"/>
    </row>
    <row r="235" spans="1:8" ht="15.75" hidden="1" customHeight="1">
      <c r="A235" s="11"/>
      <c r="B235" s="21"/>
      <c r="C235" s="22"/>
      <c r="D235" s="11"/>
      <c r="E235" s="16"/>
      <c r="F235" s="37"/>
      <c r="G235" s="23"/>
      <c r="H235" s="38"/>
    </row>
    <row r="236" spans="1:8" ht="15.75" hidden="1" customHeight="1">
      <c r="A236" s="11"/>
      <c r="B236" s="21"/>
      <c r="C236" s="22"/>
      <c r="D236" s="11"/>
      <c r="E236" s="16"/>
      <c r="F236" s="37"/>
      <c r="G236" s="23"/>
      <c r="H236" s="38"/>
    </row>
    <row r="237" spans="1:8" ht="15.75" hidden="1" customHeight="1">
      <c r="A237" s="11"/>
      <c r="B237" s="21"/>
      <c r="C237" s="22"/>
      <c r="D237" s="11"/>
      <c r="E237" s="16"/>
      <c r="F237" s="37"/>
      <c r="G237" s="23"/>
      <c r="H237" s="38"/>
    </row>
    <row r="238" spans="1:8" ht="15.75" hidden="1" customHeight="1">
      <c r="A238" s="11"/>
      <c r="B238" s="21"/>
      <c r="C238" s="22"/>
      <c r="D238" s="11"/>
      <c r="E238" s="16"/>
      <c r="F238" s="16"/>
      <c r="G238" s="23"/>
      <c r="H238" s="38"/>
    </row>
    <row r="239" spans="1:8" ht="15.75" hidden="1" customHeight="1">
      <c r="A239" s="11"/>
      <c r="B239" s="21"/>
      <c r="C239" s="22"/>
      <c r="D239" s="11"/>
      <c r="E239" s="16"/>
      <c r="F239" s="37"/>
      <c r="G239" s="23"/>
      <c r="H239" s="38"/>
    </row>
    <row r="240" spans="1:8" ht="15.75" hidden="1" customHeight="1">
      <c r="A240" s="11"/>
      <c r="B240" s="21"/>
      <c r="C240" s="22"/>
      <c r="D240" s="11"/>
      <c r="E240" s="16"/>
      <c r="F240" s="37"/>
      <c r="G240" s="23"/>
      <c r="H240" s="38"/>
    </row>
    <row r="241" spans="1:8" ht="15.75" hidden="1" customHeight="1">
      <c r="A241" s="11"/>
      <c r="B241" s="21"/>
      <c r="C241" s="22"/>
      <c r="D241" s="11"/>
      <c r="E241" s="16"/>
      <c r="F241" s="37"/>
      <c r="G241" s="23"/>
      <c r="H241" s="38"/>
    </row>
    <row r="242" spans="1:8" ht="15.75" hidden="1" customHeight="1">
      <c r="A242" s="11"/>
      <c r="B242" s="21"/>
      <c r="C242" s="22"/>
      <c r="D242" s="11"/>
      <c r="E242" s="16"/>
      <c r="F242" s="37"/>
      <c r="G242" s="23"/>
      <c r="H242" s="38"/>
    </row>
    <row r="243" spans="1:8" ht="15.75" hidden="1" customHeight="1">
      <c r="A243" s="11"/>
      <c r="B243" s="21"/>
      <c r="C243" s="22"/>
      <c r="D243" s="11"/>
      <c r="E243" s="16"/>
      <c r="F243" s="37"/>
      <c r="G243" s="23"/>
      <c r="H243" s="38"/>
    </row>
    <row r="244" spans="1:8" ht="15.75" hidden="1" customHeight="1">
      <c r="A244" s="11"/>
      <c r="B244" s="21"/>
      <c r="C244" s="22"/>
      <c r="D244" s="11"/>
      <c r="E244" s="16"/>
      <c r="F244" s="37"/>
      <c r="G244" s="23"/>
      <c r="H244" s="38"/>
    </row>
    <row r="245" spans="1:8" ht="15.75" hidden="1" customHeight="1">
      <c r="A245" s="11"/>
      <c r="B245" s="21"/>
      <c r="C245" s="22"/>
      <c r="D245" s="11"/>
      <c r="E245" s="16"/>
      <c r="F245" s="37"/>
      <c r="G245" s="23"/>
      <c r="H245" s="38"/>
    </row>
    <row r="246" spans="1:8" ht="15.75" hidden="1" customHeight="1">
      <c r="A246" s="11"/>
      <c r="B246" s="21"/>
      <c r="C246" s="22"/>
      <c r="D246" s="11"/>
      <c r="E246" s="16"/>
      <c r="F246" s="37"/>
      <c r="G246" s="23"/>
      <c r="H246" s="38"/>
    </row>
    <row r="247" spans="1:8" ht="15.75" hidden="1" customHeight="1">
      <c r="A247" s="11"/>
      <c r="B247" s="21"/>
      <c r="C247" s="22"/>
      <c r="D247" s="11"/>
      <c r="E247" s="16"/>
      <c r="F247" s="37"/>
      <c r="G247" s="23"/>
      <c r="H247" s="38"/>
    </row>
    <row r="248" spans="1:8" ht="15.75" hidden="1" customHeight="1">
      <c r="A248" s="11"/>
      <c r="B248" s="21"/>
      <c r="C248" s="22"/>
      <c r="D248" s="11"/>
      <c r="E248" s="16"/>
      <c r="F248" s="37"/>
      <c r="G248" s="23"/>
      <c r="H248" s="38"/>
    </row>
    <row r="249" spans="1:8" ht="15.75" hidden="1" customHeight="1">
      <c r="A249" s="11"/>
      <c r="B249" s="21"/>
      <c r="C249" s="22"/>
      <c r="D249" s="11"/>
      <c r="E249" s="16"/>
      <c r="F249" s="37"/>
      <c r="G249" s="23"/>
      <c r="H249" s="38"/>
    </row>
    <row r="250" spans="1:8" ht="15.75" hidden="1" customHeight="1">
      <c r="A250" s="11"/>
      <c r="B250" s="21"/>
      <c r="C250" s="22"/>
      <c r="D250" s="11"/>
      <c r="E250" s="16"/>
      <c r="F250" s="37"/>
      <c r="G250" s="23"/>
      <c r="H250" s="38"/>
    </row>
    <row r="251" spans="1:8" ht="15.75" hidden="1" customHeight="1">
      <c r="A251" s="11"/>
      <c r="B251" s="21"/>
      <c r="C251" s="22"/>
      <c r="D251" s="11"/>
      <c r="E251" s="16"/>
      <c r="F251" s="37"/>
      <c r="G251" s="23"/>
      <c r="H251" s="38"/>
    </row>
    <row r="252" spans="1:8" ht="15.75" hidden="1" customHeight="1">
      <c r="A252" s="11"/>
      <c r="B252" s="21"/>
      <c r="C252" s="22"/>
      <c r="D252" s="11"/>
      <c r="E252" s="16"/>
      <c r="F252" s="37"/>
      <c r="G252" s="23"/>
      <c r="H252" s="38"/>
    </row>
    <row r="253" spans="1:8" ht="15.75" hidden="1" customHeight="1">
      <c r="A253" s="11"/>
      <c r="B253" s="21"/>
      <c r="C253" s="22"/>
      <c r="D253" s="11"/>
      <c r="E253" s="16"/>
      <c r="F253" s="16"/>
      <c r="G253" s="23"/>
      <c r="H253" s="38"/>
    </row>
    <row r="254" spans="1:8" ht="15.75" hidden="1" customHeight="1">
      <c r="A254" s="11"/>
      <c r="B254" s="21"/>
      <c r="C254" s="22"/>
      <c r="D254" s="11"/>
      <c r="E254" s="16"/>
      <c r="F254" s="37"/>
      <c r="G254" s="23"/>
      <c r="H254" s="38"/>
    </row>
    <row r="255" spans="1:8" ht="15.75" hidden="1" customHeight="1">
      <c r="A255" s="11"/>
      <c r="B255" s="21"/>
      <c r="C255" s="22"/>
      <c r="D255" s="11"/>
      <c r="E255" s="16"/>
      <c r="F255" s="37"/>
      <c r="G255" s="23"/>
      <c r="H255" s="38"/>
    </row>
    <row r="256" spans="1:8" ht="15.75" hidden="1" customHeight="1">
      <c r="A256" s="11"/>
      <c r="B256" s="21"/>
      <c r="C256" s="22"/>
      <c r="D256" s="11"/>
      <c r="E256" s="16"/>
      <c r="F256" s="37"/>
      <c r="G256" s="23"/>
      <c r="H256" s="38"/>
    </row>
    <row r="257" spans="1:8" ht="15.75" hidden="1" customHeight="1">
      <c r="A257" s="11"/>
      <c r="B257" s="21"/>
      <c r="C257" s="22"/>
      <c r="D257" s="11"/>
      <c r="E257" s="16"/>
      <c r="F257" s="37"/>
      <c r="G257" s="23"/>
      <c r="H257" s="38"/>
    </row>
    <row r="258" spans="1:8" ht="15.75" hidden="1" customHeight="1">
      <c r="A258" s="11"/>
      <c r="B258" s="21"/>
      <c r="C258" s="22"/>
      <c r="D258" s="11"/>
      <c r="E258" s="16"/>
      <c r="F258" s="37"/>
      <c r="G258" s="23"/>
      <c r="H258" s="38"/>
    </row>
    <row r="259" spans="1:8" ht="15.75" hidden="1" customHeight="1">
      <c r="A259" s="11"/>
      <c r="B259" s="21"/>
      <c r="C259" s="22"/>
      <c r="D259" s="11"/>
      <c r="E259" s="16"/>
      <c r="F259" s="37"/>
      <c r="G259" s="23"/>
      <c r="H259" s="38"/>
    </row>
    <row r="260" spans="1:8" ht="15.75" hidden="1" customHeight="1">
      <c r="A260" s="11"/>
      <c r="B260" s="21"/>
      <c r="C260" s="22"/>
      <c r="D260" s="11"/>
      <c r="E260" s="16"/>
      <c r="F260" s="37"/>
      <c r="G260" s="23"/>
      <c r="H260" s="38"/>
    </row>
    <row r="261" spans="1:8" ht="15.75" hidden="1" customHeight="1">
      <c r="A261" s="11"/>
      <c r="B261" s="21"/>
      <c r="C261" s="22"/>
      <c r="D261" s="11"/>
      <c r="E261" s="16"/>
      <c r="F261" s="37"/>
      <c r="G261" s="23"/>
      <c r="H261" s="38"/>
    </row>
    <row r="262" spans="1:8" ht="15.75" hidden="1" customHeight="1">
      <c r="A262" s="11"/>
      <c r="B262" s="21"/>
      <c r="C262" s="22"/>
      <c r="D262" s="11"/>
      <c r="E262" s="16"/>
      <c r="F262" s="37"/>
      <c r="G262" s="23"/>
      <c r="H262" s="38"/>
    </row>
    <row r="263" spans="1:8" ht="15.75" hidden="1" customHeight="1">
      <c r="A263" s="11"/>
      <c r="B263" s="21"/>
      <c r="C263" s="22"/>
      <c r="D263" s="11"/>
      <c r="E263" s="16"/>
      <c r="F263" s="37"/>
      <c r="G263" s="23"/>
      <c r="H263" s="38"/>
    </row>
    <row r="264" spans="1:8" ht="15.75" hidden="1" customHeight="1">
      <c r="A264" s="11"/>
      <c r="B264" s="21"/>
      <c r="C264" s="22"/>
      <c r="D264" s="11"/>
      <c r="E264" s="16"/>
      <c r="F264" s="37"/>
      <c r="G264" s="23"/>
      <c r="H264" s="38"/>
    </row>
    <row r="265" spans="1:8" ht="15.75" hidden="1" customHeight="1">
      <c r="A265" s="11"/>
      <c r="B265" s="21"/>
      <c r="C265" s="22"/>
      <c r="D265" s="11"/>
      <c r="E265" s="16"/>
      <c r="F265" s="37"/>
      <c r="G265" s="23"/>
      <c r="H265" s="38"/>
    </row>
    <row r="266" spans="1:8" ht="15.75" hidden="1" customHeight="1">
      <c r="A266" s="11"/>
      <c r="B266" s="21"/>
      <c r="C266" s="22"/>
      <c r="D266" s="11"/>
      <c r="E266" s="16"/>
      <c r="F266" s="37"/>
      <c r="G266" s="23"/>
      <c r="H266" s="38"/>
    </row>
    <row r="267" spans="1:8" ht="15.75" hidden="1" customHeight="1">
      <c r="A267" s="11"/>
      <c r="B267" s="21"/>
      <c r="C267" s="22"/>
      <c r="D267" s="11"/>
      <c r="E267" s="16"/>
      <c r="F267" s="37"/>
      <c r="G267" s="23"/>
      <c r="H267" s="38"/>
    </row>
    <row r="268" spans="1:8" ht="15.75" hidden="1" customHeight="1">
      <c r="A268" s="11"/>
      <c r="B268" s="21"/>
      <c r="C268" s="22"/>
      <c r="D268" s="11"/>
      <c r="E268" s="16"/>
      <c r="F268" s="37"/>
      <c r="G268" s="23"/>
      <c r="H268" s="38"/>
    </row>
    <row r="269" spans="1:8" ht="15.75" hidden="1" customHeight="1">
      <c r="A269" s="11"/>
      <c r="B269" s="21"/>
      <c r="C269" s="22"/>
      <c r="D269" s="11"/>
      <c r="E269" s="16"/>
      <c r="F269" s="37"/>
      <c r="G269" s="23"/>
      <c r="H269" s="38"/>
    </row>
    <row r="270" spans="1:8" ht="15.75" hidden="1" customHeight="1">
      <c r="A270" s="11"/>
      <c r="B270" s="21"/>
      <c r="C270" s="22"/>
      <c r="D270" s="11"/>
      <c r="E270" s="16"/>
      <c r="F270" s="37"/>
      <c r="G270" s="23"/>
      <c r="H270" s="38"/>
    </row>
    <row r="271" spans="1:8" ht="15.75" hidden="1" customHeight="1">
      <c r="A271" s="11"/>
      <c r="B271" s="21"/>
      <c r="C271" s="22"/>
      <c r="D271" s="11"/>
      <c r="E271" s="16"/>
      <c r="F271" s="37"/>
      <c r="G271" s="23"/>
      <c r="H271" s="38"/>
    </row>
    <row r="272" spans="1:8" ht="15.75" hidden="1" customHeight="1">
      <c r="A272" s="11"/>
      <c r="B272" s="21"/>
      <c r="C272" s="22"/>
      <c r="D272" s="11"/>
      <c r="E272" s="16"/>
      <c r="F272" s="37"/>
      <c r="G272" s="23"/>
      <c r="H272" s="38"/>
    </row>
    <row r="273" spans="1:8" ht="15.75" hidden="1" customHeight="1">
      <c r="A273" s="11"/>
      <c r="B273" s="21"/>
      <c r="C273" s="22"/>
      <c r="D273" s="11"/>
      <c r="E273" s="16"/>
      <c r="F273" s="37"/>
      <c r="G273" s="23"/>
      <c r="H273" s="38"/>
    </row>
    <row r="274" spans="1:8" ht="15.75" hidden="1" customHeight="1">
      <c r="A274" s="11"/>
      <c r="B274" s="21"/>
      <c r="C274" s="22"/>
      <c r="D274" s="11"/>
      <c r="E274" s="16"/>
      <c r="F274" s="37"/>
      <c r="G274" s="23"/>
      <c r="H274" s="38"/>
    </row>
    <row r="275" spans="1:8" ht="15.75" hidden="1" customHeight="1">
      <c r="A275" s="11"/>
      <c r="B275" s="21"/>
      <c r="C275" s="22"/>
      <c r="D275" s="11"/>
      <c r="E275" s="16"/>
      <c r="F275" s="37"/>
      <c r="G275" s="23"/>
      <c r="H275" s="38"/>
    </row>
    <row r="276" spans="1:8" ht="15.75" hidden="1" customHeight="1">
      <c r="A276" s="11"/>
      <c r="B276" s="21"/>
      <c r="C276" s="22"/>
      <c r="D276" s="11"/>
      <c r="E276" s="16"/>
      <c r="F276" s="37"/>
      <c r="G276" s="23"/>
      <c r="H276" s="38"/>
    </row>
    <row r="277" spans="1:8" ht="15.75" hidden="1" customHeight="1">
      <c r="A277" s="11"/>
      <c r="B277" s="21"/>
      <c r="C277" s="22"/>
      <c r="D277" s="11"/>
      <c r="E277" s="16"/>
      <c r="F277" s="37"/>
      <c r="G277" s="23"/>
      <c r="H277" s="38"/>
    </row>
    <row r="278" spans="1:8" ht="15.75" hidden="1" customHeight="1">
      <c r="A278" s="11"/>
      <c r="B278" s="21"/>
      <c r="C278" s="22"/>
      <c r="D278" s="11"/>
      <c r="E278" s="16"/>
      <c r="F278" s="37"/>
      <c r="G278" s="23"/>
      <c r="H278" s="38"/>
    </row>
    <row r="279" spans="1:8" ht="15.75" hidden="1" customHeight="1">
      <c r="A279" s="11"/>
      <c r="B279" s="21"/>
      <c r="C279" s="22"/>
      <c r="D279" s="11"/>
      <c r="E279" s="16"/>
      <c r="F279" s="37"/>
      <c r="G279" s="23"/>
      <c r="H279" s="38"/>
    </row>
    <row r="280" spans="1:8" ht="15.75" hidden="1" customHeight="1">
      <c r="A280" s="11"/>
      <c r="B280" s="21"/>
      <c r="C280" s="22"/>
      <c r="D280" s="11"/>
      <c r="E280" s="16"/>
      <c r="F280" s="37"/>
      <c r="G280" s="23"/>
      <c r="H280" s="38"/>
    </row>
    <row r="281" spans="1:8" ht="15.75" hidden="1" customHeight="1">
      <c r="A281" s="11"/>
      <c r="B281" s="21"/>
      <c r="C281" s="22"/>
      <c r="D281" s="11"/>
      <c r="E281" s="16"/>
      <c r="F281" s="37"/>
      <c r="G281" s="23"/>
      <c r="H281" s="38"/>
    </row>
    <row r="282" spans="1:8" ht="15.75" hidden="1" customHeight="1">
      <c r="A282" s="11"/>
      <c r="B282" s="21"/>
      <c r="C282" s="22"/>
      <c r="D282" s="11"/>
      <c r="E282" s="16"/>
      <c r="F282" s="37"/>
      <c r="G282" s="23"/>
      <c r="H282" s="38"/>
    </row>
    <row r="283" spans="1:8" ht="15.75" hidden="1" customHeight="1">
      <c r="A283" s="11"/>
      <c r="B283" s="21"/>
      <c r="C283" s="22"/>
      <c r="D283" s="11"/>
      <c r="E283" s="16"/>
      <c r="F283" s="37"/>
      <c r="G283" s="23"/>
      <c r="H283" s="38"/>
    </row>
    <row r="284" spans="1:8" ht="15.75" hidden="1" customHeight="1">
      <c r="A284" s="11"/>
      <c r="B284" s="21"/>
      <c r="C284" s="22"/>
      <c r="D284" s="11"/>
      <c r="E284" s="16"/>
      <c r="F284" s="37"/>
      <c r="G284" s="23"/>
      <c r="H284" s="38"/>
    </row>
    <row r="285" spans="1:8" ht="15.75" hidden="1" customHeight="1">
      <c r="A285" s="11"/>
      <c r="B285" s="21"/>
      <c r="C285" s="22"/>
      <c r="D285" s="11"/>
      <c r="E285" s="16"/>
      <c r="F285" s="37"/>
      <c r="G285" s="23"/>
      <c r="H285" s="38"/>
    </row>
    <row r="286" spans="1:8" ht="15.75" hidden="1" customHeight="1">
      <c r="A286" s="11"/>
      <c r="B286" s="21"/>
      <c r="C286" s="22"/>
      <c r="D286" s="11"/>
      <c r="E286" s="16"/>
      <c r="F286" s="37"/>
      <c r="G286" s="23"/>
      <c r="H286" s="38"/>
    </row>
    <row r="287" spans="1:8" ht="15.75" hidden="1" customHeight="1">
      <c r="A287" s="11"/>
      <c r="B287" s="21"/>
      <c r="C287" s="22"/>
      <c r="D287" s="11"/>
      <c r="E287" s="16"/>
      <c r="F287" s="37"/>
      <c r="G287" s="23"/>
      <c r="H287" s="38"/>
    </row>
    <row r="288" spans="1:8" ht="15.75" hidden="1" customHeight="1">
      <c r="A288" s="11"/>
      <c r="B288" s="21"/>
      <c r="C288" s="22"/>
      <c r="D288" s="11"/>
      <c r="E288" s="16"/>
      <c r="F288" s="37"/>
      <c r="G288" s="23"/>
      <c r="H288" s="38"/>
    </row>
    <row r="289" spans="1:8" ht="15.75" hidden="1" customHeight="1">
      <c r="A289" s="11"/>
      <c r="B289" s="21"/>
      <c r="C289" s="22"/>
      <c r="D289" s="11"/>
      <c r="E289" s="16"/>
      <c r="F289" s="37"/>
      <c r="G289" s="23"/>
      <c r="H289" s="38"/>
    </row>
    <row r="290" spans="1:8" ht="15.75" hidden="1" customHeight="1">
      <c r="A290" s="11"/>
      <c r="B290" s="21"/>
      <c r="C290" s="22"/>
      <c r="D290" s="11"/>
      <c r="E290" s="16"/>
      <c r="F290" s="37"/>
      <c r="G290" s="23"/>
      <c r="H290" s="38"/>
    </row>
    <row r="291" spans="1:8" ht="15.75" hidden="1" customHeight="1">
      <c r="A291" s="11"/>
      <c r="B291" s="21"/>
      <c r="C291" s="22"/>
      <c r="D291" s="11"/>
      <c r="E291" s="16"/>
      <c r="F291" s="37"/>
      <c r="G291" s="23"/>
      <c r="H291" s="38"/>
    </row>
    <row r="292" spans="1:8" ht="15.75" hidden="1" customHeight="1">
      <c r="A292" s="11"/>
      <c r="B292" s="21"/>
      <c r="C292" s="22"/>
      <c r="D292" s="11"/>
      <c r="E292" s="16"/>
      <c r="F292" s="37"/>
      <c r="G292" s="23"/>
      <c r="H292" s="38"/>
    </row>
    <row r="293" spans="1:8" ht="15.75" hidden="1" customHeight="1">
      <c r="B293" s="39"/>
    </row>
    <row r="294" spans="1:8" ht="15.75" hidden="1" customHeight="1">
      <c r="B294" s="39"/>
    </row>
    <row r="295" spans="1:8" ht="15.75" hidden="1" customHeight="1">
      <c r="B295" s="39"/>
    </row>
    <row r="296" spans="1:8" ht="15.75" hidden="1" customHeight="1">
      <c r="B296" s="39"/>
    </row>
    <row r="297" spans="1:8" ht="15.75" hidden="1" customHeight="1">
      <c r="B297" s="39"/>
    </row>
    <row r="298" spans="1:8" ht="15.75" hidden="1" customHeight="1">
      <c r="B298" s="39"/>
    </row>
    <row r="299" spans="1:8" ht="15.75" hidden="1" customHeight="1">
      <c r="B299" s="39"/>
    </row>
    <row r="300" spans="1:8" ht="15.75" hidden="1" customHeight="1">
      <c r="B300" s="39"/>
    </row>
    <row r="301" spans="1:8" ht="15.75" hidden="1" customHeight="1">
      <c r="B301" s="39"/>
    </row>
    <row r="302" spans="1:8" ht="15.75" hidden="1" customHeight="1">
      <c r="B302" s="39"/>
    </row>
    <row r="303" spans="1:8" ht="15.75" hidden="1" customHeight="1">
      <c r="B303" s="39"/>
    </row>
    <row r="304" spans="1:8" ht="15.75" hidden="1" customHeight="1">
      <c r="B304" s="39"/>
    </row>
    <row r="305" spans="2:2" ht="15.75" hidden="1" customHeight="1">
      <c r="B305" s="39"/>
    </row>
    <row r="306" spans="2:2" ht="15.75" hidden="1" customHeight="1">
      <c r="B306" s="39"/>
    </row>
    <row r="307" spans="2:2" ht="15.75" hidden="1" customHeight="1">
      <c r="B307" s="39"/>
    </row>
    <row r="308" spans="2:2" ht="15.75" hidden="1" customHeight="1">
      <c r="B308" s="39"/>
    </row>
    <row r="309" spans="2:2" ht="15.75" hidden="1" customHeight="1">
      <c r="B309" s="39"/>
    </row>
    <row r="310" spans="2:2" ht="15.75" hidden="1" customHeight="1">
      <c r="B310" s="39"/>
    </row>
    <row r="311" spans="2:2" ht="15.75" hidden="1" customHeight="1">
      <c r="B311" s="39"/>
    </row>
    <row r="312" spans="2:2" ht="15.75" hidden="1" customHeight="1">
      <c r="B312" s="39"/>
    </row>
    <row r="313" spans="2:2" ht="15.75" hidden="1" customHeight="1">
      <c r="B313" s="39"/>
    </row>
    <row r="314" spans="2:2" ht="15.75" hidden="1" customHeight="1">
      <c r="B314" s="39"/>
    </row>
    <row r="315" spans="2:2" ht="15.75" hidden="1" customHeight="1">
      <c r="B315" s="39"/>
    </row>
    <row r="316" spans="2:2" ht="15.75" hidden="1" customHeight="1">
      <c r="B316" s="39"/>
    </row>
    <row r="317" spans="2:2" ht="15.75" hidden="1" customHeight="1">
      <c r="B317" s="39"/>
    </row>
    <row r="318" spans="2:2" ht="15.75" hidden="1" customHeight="1">
      <c r="B318" s="39"/>
    </row>
    <row r="319" spans="2:2" ht="15.75" hidden="1" customHeight="1">
      <c r="B319" s="39"/>
    </row>
    <row r="320" spans="2:2" ht="15.75" hidden="1" customHeight="1">
      <c r="B320" s="39"/>
    </row>
    <row r="321" spans="2:2" ht="15.75" hidden="1" customHeight="1">
      <c r="B321" s="39"/>
    </row>
    <row r="322" spans="2:2" ht="15.75" hidden="1" customHeight="1">
      <c r="B322" s="39"/>
    </row>
    <row r="323" spans="2:2" ht="15.75" hidden="1" customHeight="1">
      <c r="B323" s="39"/>
    </row>
    <row r="324" spans="2:2" ht="15.75" hidden="1" customHeight="1">
      <c r="B324" s="39"/>
    </row>
    <row r="325" spans="2:2" ht="15.75" hidden="1" customHeight="1">
      <c r="B325" s="39"/>
    </row>
    <row r="326" spans="2:2" ht="15.75" hidden="1" customHeight="1">
      <c r="B326" s="39"/>
    </row>
    <row r="327" spans="2:2" ht="15.75" hidden="1" customHeight="1">
      <c r="B327" s="39"/>
    </row>
    <row r="328" spans="2:2" ht="15.75" hidden="1" customHeight="1">
      <c r="B328" s="39"/>
    </row>
    <row r="329" spans="2:2" ht="15.75" hidden="1" customHeight="1">
      <c r="B329" s="39"/>
    </row>
    <row r="330" spans="2:2" ht="15.75" hidden="1" customHeight="1">
      <c r="B330" s="39"/>
    </row>
    <row r="331" spans="2:2" ht="15.75" hidden="1" customHeight="1">
      <c r="B331" s="39"/>
    </row>
    <row r="332" spans="2:2" ht="15.75" hidden="1" customHeight="1">
      <c r="B332" s="39"/>
    </row>
    <row r="333" spans="2:2" ht="15.75" hidden="1" customHeight="1">
      <c r="B333" s="39"/>
    </row>
    <row r="334" spans="2:2" ht="15.75" hidden="1" customHeight="1">
      <c r="B334" s="39"/>
    </row>
    <row r="335" spans="2:2" ht="15.75" hidden="1" customHeight="1">
      <c r="B335" s="39"/>
    </row>
    <row r="336" spans="2:2" ht="15.75" hidden="1" customHeight="1">
      <c r="B336" s="39"/>
    </row>
    <row r="337" spans="2:2" ht="15.75" hidden="1" customHeight="1">
      <c r="B337" s="39"/>
    </row>
    <row r="338" spans="2:2" ht="15.75" hidden="1" customHeight="1">
      <c r="B338" s="39"/>
    </row>
    <row r="339" spans="2:2" ht="15.75" hidden="1" customHeight="1">
      <c r="B339" s="39"/>
    </row>
    <row r="340" spans="2:2" ht="15.75" hidden="1" customHeight="1">
      <c r="B340" s="39"/>
    </row>
    <row r="341" spans="2:2" ht="15.75" hidden="1" customHeight="1">
      <c r="B341" s="39"/>
    </row>
    <row r="342" spans="2:2" ht="15.75" hidden="1" customHeight="1">
      <c r="B342" s="39"/>
    </row>
    <row r="343" spans="2:2" ht="15.75" hidden="1" customHeight="1">
      <c r="B343" s="39"/>
    </row>
    <row r="344" spans="2:2" ht="15.75" hidden="1" customHeight="1">
      <c r="B344" s="39"/>
    </row>
    <row r="345" spans="2:2" ht="15.75" hidden="1" customHeight="1">
      <c r="B345" s="39"/>
    </row>
    <row r="346" spans="2:2" ht="15.75" hidden="1" customHeight="1">
      <c r="B346" s="39"/>
    </row>
    <row r="347" spans="2:2" ht="15.75" hidden="1" customHeight="1">
      <c r="B347" s="39"/>
    </row>
    <row r="348" spans="2:2" ht="15.75" hidden="1" customHeight="1">
      <c r="B348" s="39"/>
    </row>
    <row r="349" spans="2:2" ht="15.75" hidden="1" customHeight="1">
      <c r="B349" s="39"/>
    </row>
    <row r="350" spans="2:2" ht="15.75" hidden="1" customHeight="1">
      <c r="B350" s="39"/>
    </row>
    <row r="351" spans="2:2" ht="15.75" hidden="1" customHeight="1">
      <c r="B351" s="39"/>
    </row>
    <row r="352" spans="2:2" ht="15.75" hidden="1" customHeight="1">
      <c r="B352" s="39"/>
    </row>
    <row r="353" spans="2:2" ht="15.75" hidden="1" customHeight="1">
      <c r="B353" s="39"/>
    </row>
    <row r="354" spans="2:2" ht="15.75" hidden="1" customHeight="1">
      <c r="B354" s="39"/>
    </row>
    <row r="355" spans="2:2" ht="15.75" hidden="1" customHeight="1">
      <c r="B355" s="39"/>
    </row>
    <row r="356" spans="2:2" ht="15.75" hidden="1" customHeight="1">
      <c r="B356" s="39"/>
    </row>
    <row r="357" spans="2:2" ht="15.75" hidden="1" customHeight="1">
      <c r="B357" s="39"/>
    </row>
    <row r="358" spans="2:2" ht="15.75" hidden="1" customHeight="1">
      <c r="B358" s="39"/>
    </row>
    <row r="359" spans="2:2" ht="15.75" hidden="1" customHeight="1">
      <c r="B359" s="39"/>
    </row>
    <row r="360" spans="2:2" ht="15.75" hidden="1" customHeight="1">
      <c r="B360" s="39"/>
    </row>
    <row r="361" spans="2:2" ht="15.75" hidden="1" customHeight="1">
      <c r="B361" s="39"/>
    </row>
    <row r="362" spans="2:2" ht="15.75" hidden="1" customHeight="1">
      <c r="B362" s="39"/>
    </row>
    <row r="363" spans="2:2" ht="15.75" hidden="1" customHeight="1">
      <c r="B363" s="39"/>
    </row>
    <row r="364" spans="2:2" ht="15.75" hidden="1" customHeight="1">
      <c r="B364" s="39"/>
    </row>
    <row r="365" spans="2:2" ht="15.75" hidden="1" customHeight="1">
      <c r="B365" s="39"/>
    </row>
    <row r="366" spans="2:2" ht="15.75" hidden="1" customHeight="1">
      <c r="B366" s="39"/>
    </row>
    <row r="367" spans="2:2" ht="15.75" hidden="1" customHeight="1">
      <c r="B367" s="39"/>
    </row>
    <row r="368" spans="2:2" ht="15.75" hidden="1" customHeight="1">
      <c r="B368" s="39"/>
    </row>
    <row r="369" spans="2:2" ht="15.75" hidden="1" customHeight="1">
      <c r="B369" s="39"/>
    </row>
    <row r="370" spans="2:2" ht="15.75" hidden="1" customHeight="1">
      <c r="B370" s="39"/>
    </row>
    <row r="371" spans="2:2" ht="15.75" hidden="1" customHeight="1">
      <c r="B371" s="39"/>
    </row>
    <row r="372" spans="2:2" ht="15.75" hidden="1" customHeight="1">
      <c r="B372" s="39"/>
    </row>
    <row r="373" spans="2:2" ht="15.75" hidden="1" customHeight="1">
      <c r="B373" s="39"/>
    </row>
    <row r="374" spans="2:2" ht="15.75" hidden="1" customHeight="1">
      <c r="B374" s="39"/>
    </row>
    <row r="375" spans="2:2" ht="15.75" hidden="1" customHeight="1">
      <c r="B375" s="39"/>
    </row>
    <row r="376" spans="2:2" ht="15.75" hidden="1" customHeight="1">
      <c r="B376" s="39"/>
    </row>
    <row r="377" spans="2:2" ht="15.75" hidden="1" customHeight="1">
      <c r="B377" s="39"/>
    </row>
    <row r="378" spans="2:2" ht="15.75" hidden="1" customHeight="1">
      <c r="B378" s="39"/>
    </row>
    <row r="379" spans="2:2" ht="15.75" hidden="1" customHeight="1">
      <c r="B379" s="39"/>
    </row>
    <row r="380" spans="2:2" ht="15.75" hidden="1" customHeight="1">
      <c r="B380" s="39"/>
    </row>
    <row r="381" spans="2:2" ht="15.75" hidden="1" customHeight="1">
      <c r="B381" s="39"/>
    </row>
    <row r="382" spans="2:2" ht="15.75" hidden="1" customHeight="1">
      <c r="B382" s="39"/>
    </row>
    <row r="383" spans="2:2" ht="15.75" hidden="1" customHeight="1">
      <c r="B383" s="39"/>
    </row>
    <row r="384" spans="2:2" ht="15.75" hidden="1" customHeight="1">
      <c r="B384" s="39"/>
    </row>
    <row r="385" spans="2:2" ht="15.75" hidden="1" customHeight="1">
      <c r="B385" s="39"/>
    </row>
    <row r="386" spans="2:2" ht="15.75" hidden="1" customHeight="1">
      <c r="B386" s="39"/>
    </row>
    <row r="387" spans="2:2" ht="15.75" hidden="1" customHeight="1">
      <c r="B387" s="39"/>
    </row>
    <row r="388" spans="2:2" ht="15.75" hidden="1" customHeight="1">
      <c r="B388" s="39"/>
    </row>
    <row r="389" spans="2:2" ht="15.75" hidden="1" customHeight="1">
      <c r="B389" s="39"/>
    </row>
    <row r="390" spans="2:2" ht="15.75" hidden="1" customHeight="1">
      <c r="B390" s="39"/>
    </row>
    <row r="391" spans="2:2" ht="15.75" hidden="1" customHeight="1">
      <c r="B391" s="39"/>
    </row>
    <row r="392" spans="2:2" ht="15.75" hidden="1" customHeight="1">
      <c r="B392" s="39"/>
    </row>
    <row r="393" spans="2:2" ht="15.75" hidden="1" customHeight="1">
      <c r="B393" s="39"/>
    </row>
    <row r="394" spans="2:2" ht="15.75" hidden="1" customHeight="1">
      <c r="B394" s="39"/>
    </row>
    <row r="395" spans="2:2" ht="15.75" hidden="1" customHeight="1">
      <c r="B395" s="39"/>
    </row>
    <row r="396" spans="2:2" ht="15.75" hidden="1" customHeight="1">
      <c r="B396" s="39"/>
    </row>
    <row r="397" spans="2:2" ht="15.75" hidden="1" customHeight="1">
      <c r="B397" s="39"/>
    </row>
    <row r="398" spans="2:2" ht="15.75" hidden="1" customHeight="1">
      <c r="B398" s="39"/>
    </row>
    <row r="399" spans="2:2" ht="15.75" hidden="1" customHeight="1">
      <c r="B399" s="39"/>
    </row>
    <row r="400" spans="2:2" ht="15.75" hidden="1" customHeight="1">
      <c r="B400" s="39"/>
    </row>
    <row r="401" spans="2:2" ht="15.75" hidden="1" customHeight="1">
      <c r="B401" s="39"/>
    </row>
    <row r="402" spans="2:2" ht="15.75" hidden="1" customHeight="1">
      <c r="B402" s="39"/>
    </row>
    <row r="403" spans="2:2" ht="15.75" hidden="1" customHeight="1">
      <c r="B403" s="39"/>
    </row>
    <row r="404" spans="2:2" ht="15.75" hidden="1" customHeight="1">
      <c r="B404" s="39"/>
    </row>
    <row r="405" spans="2:2" ht="15.75" hidden="1" customHeight="1">
      <c r="B405" s="39"/>
    </row>
    <row r="406" spans="2:2" ht="15.75" hidden="1" customHeight="1">
      <c r="B406" s="39"/>
    </row>
    <row r="407" spans="2:2" ht="15.75" hidden="1" customHeight="1">
      <c r="B407" s="39"/>
    </row>
    <row r="408" spans="2:2" ht="15.75" hidden="1" customHeight="1">
      <c r="B408" s="39"/>
    </row>
    <row r="409" spans="2:2" ht="15.75" hidden="1" customHeight="1">
      <c r="B409" s="39"/>
    </row>
    <row r="410" spans="2:2" ht="15.75" hidden="1" customHeight="1">
      <c r="B410" s="39"/>
    </row>
    <row r="411" spans="2:2" ht="15.75" hidden="1" customHeight="1">
      <c r="B411" s="39"/>
    </row>
    <row r="412" spans="2:2" ht="15.75" hidden="1" customHeight="1">
      <c r="B412" s="39"/>
    </row>
    <row r="413" spans="2:2" ht="15.75" hidden="1" customHeight="1">
      <c r="B413" s="39"/>
    </row>
    <row r="414" spans="2:2" ht="15.75" hidden="1" customHeight="1">
      <c r="B414" s="39"/>
    </row>
    <row r="415" spans="2:2" ht="15.75" hidden="1" customHeight="1">
      <c r="B415" s="39"/>
    </row>
    <row r="416" spans="2:2" ht="15.75" hidden="1" customHeight="1">
      <c r="B416" s="39"/>
    </row>
    <row r="417" spans="2:2" ht="15.75" hidden="1" customHeight="1">
      <c r="B417" s="39"/>
    </row>
    <row r="418" spans="2:2" ht="15.75" hidden="1" customHeight="1">
      <c r="B418" s="39"/>
    </row>
    <row r="419" spans="2:2" ht="15.75" hidden="1" customHeight="1">
      <c r="B419" s="39"/>
    </row>
    <row r="420" spans="2:2" ht="15.75" hidden="1" customHeight="1">
      <c r="B420" s="39"/>
    </row>
    <row r="421" spans="2:2" ht="15.75" hidden="1" customHeight="1">
      <c r="B421" s="39"/>
    </row>
    <row r="422" spans="2:2" ht="15.75" hidden="1" customHeight="1">
      <c r="B422" s="39"/>
    </row>
    <row r="423" spans="2:2" ht="15.75" hidden="1" customHeight="1">
      <c r="B423" s="39"/>
    </row>
    <row r="424" spans="2:2" ht="15.75" hidden="1" customHeight="1">
      <c r="B424" s="39"/>
    </row>
    <row r="425" spans="2:2" ht="15.75" hidden="1" customHeight="1">
      <c r="B425" s="39"/>
    </row>
    <row r="426" spans="2:2" ht="15.75" hidden="1" customHeight="1">
      <c r="B426" s="39"/>
    </row>
    <row r="427" spans="2:2" ht="15.75" hidden="1" customHeight="1">
      <c r="B427" s="39"/>
    </row>
    <row r="428" spans="2:2" ht="15.75" hidden="1" customHeight="1">
      <c r="B428" s="39"/>
    </row>
    <row r="429" spans="2:2" ht="15.75" hidden="1" customHeight="1">
      <c r="B429" s="39"/>
    </row>
    <row r="430" spans="2:2" ht="15.75" hidden="1" customHeight="1">
      <c r="B430" s="39"/>
    </row>
    <row r="431" spans="2:2" ht="15.75" hidden="1" customHeight="1">
      <c r="B431" s="39"/>
    </row>
    <row r="432" spans="2:2" ht="15.75" hidden="1" customHeight="1">
      <c r="B432" s="39"/>
    </row>
    <row r="433" spans="2:2" ht="15.75" hidden="1" customHeight="1">
      <c r="B433" s="39"/>
    </row>
    <row r="434" spans="2:2" ht="15.75" hidden="1" customHeight="1">
      <c r="B434" s="39"/>
    </row>
    <row r="435" spans="2:2" ht="15.75" hidden="1" customHeight="1">
      <c r="B435" s="39"/>
    </row>
    <row r="436" spans="2:2" ht="15.75" hidden="1" customHeight="1">
      <c r="B436" s="39"/>
    </row>
    <row r="437" spans="2:2" ht="15.75" hidden="1" customHeight="1">
      <c r="B437" s="39"/>
    </row>
    <row r="438" spans="2:2" ht="15.75" hidden="1" customHeight="1">
      <c r="B438" s="39"/>
    </row>
    <row r="439" spans="2:2" ht="15.75" hidden="1" customHeight="1">
      <c r="B439" s="39"/>
    </row>
    <row r="440" spans="2:2" ht="15.75" hidden="1" customHeight="1">
      <c r="B440" s="39"/>
    </row>
    <row r="441" spans="2:2" ht="15.75" hidden="1" customHeight="1">
      <c r="B441" s="39"/>
    </row>
    <row r="442" spans="2:2" ht="15.75" hidden="1" customHeight="1">
      <c r="B442" s="39"/>
    </row>
    <row r="443" spans="2:2" ht="15.75" hidden="1" customHeight="1">
      <c r="B443" s="39"/>
    </row>
    <row r="444" spans="2:2" ht="15.75" hidden="1" customHeight="1">
      <c r="B444" s="39"/>
    </row>
    <row r="445" spans="2:2" ht="15.75" hidden="1" customHeight="1">
      <c r="B445" s="39"/>
    </row>
    <row r="446" spans="2:2" ht="15.75" hidden="1" customHeight="1">
      <c r="B446" s="39"/>
    </row>
    <row r="447" spans="2:2" ht="15.75" hidden="1" customHeight="1">
      <c r="B447" s="39"/>
    </row>
    <row r="448" spans="2:2" ht="15.75" hidden="1" customHeight="1">
      <c r="B448" s="39"/>
    </row>
    <row r="449" spans="2:2" ht="15.75" hidden="1" customHeight="1">
      <c r="B449" s="39"/>
    </row>
    <row r="450" spans="2:2" ht="15.75" hidden="1" customHeight="1">
      <c r="B450" s="39"/>
    </row>
    <row r="451" spans="2:2" ht="15.75" hidden="1" customHeight="1">
      <c r="B451" s="39"/>
    </row>
    <row r="452" spans="2:2" ht="15.75" hidden="1" customHeight="1">
      <c r="B452" s="39"/>
    </row>
    <row r="453" spans="2:2" ht="15.75" hidden="1" customHeight="1">
      <c r="B453" s="39"/>
    </row>
    <row r="454" spans="2:2" ht="15.75" hidden="1" customHeight="1">
      <c r="B454" s="39"/>
    </row>
    <row r="455" spans="2:2" ht="15.75" hidden="1" customHeight="1">
      <c r="B455" s="39"/>
    </row>
    <row r="456" spans="2:2" ht="15.75" hidden="1" customHeight="1">
      <c r="B456" s="39"/>
    </row>
    <row r="457" spans="2:2" ht="15.75" hidden="1" customHeight="1">
      <c r="B457" s="39"/>
    </row>
    <row r="458" spans="2:2" ht="15.75" hidden="1" customHeight="1">
      <c r="B458" s="39"/>
    </row>
    <row r="459" spans="2:2" ht="15.75" hidden="1" customHeight="1">
      <c r="B459" s="39"/>
    </row>
    <row r="460" spans="2:2" ht="15.75" hidden="1" customHeight="1">
      <c r="B460" s="39"/>
    </row>
    <row r="461" spans="2:2" ht="15.75" hidden="1" customHeight="1">
      <c r="B461" s="39"/>
    </row>
    <row r="462" spans="2:2" ht="15.75" hidden="1" customHeight="1">
      <c r="B462" s="39"/>
    </row>
    <row r="463" spans="2:2" ht="15.75" hidden="1" customHeight="1">
      <c r="B463" s="39"/>
    </row>
    <row r="464" spans="2:2" ht="15.75" hidden="1" customHeight="1">
      <c r="B464" s="39"/>
    </row>
    <row r="465" spans="2:2" ht="15.75" hidden="1" customHeight="1">
      <c r="B465" s="39"/>
    </row>
    <row r="466" spans="2:2" ht="15.75" hidden="1" customHeight="1">
      <c r="B466" s="39"/>
    </row>
    <row r="467" spans="2:2" ht="15.75" hidden="1" customHeight="1">
      <c r="B467" s="39"/>
    </row>
    <row r="468" spans="2:2" ht="15.75" hidden="1" customHeight="1">
      <c r="B468" s="39"/>
    </row>
    <row r="469" spans="2:2" ht="15.75" hidden="1" customHeight="1">
      <c r="B469" s="39"/>
    </row>
    <row r="470" spans="2:2" ht="15.75" hidden="1" customHeight="1">
      <c r="B470" s="39"/>
    </row>
    <row r="471" spans="2:2" ht="15.75" hidden="1" customHeight="1">
      <c r="B471" s="39"/>
    </row>
    <row r="472" spans="2:2" ht="15.75" hidden="1" customHeight="1">
      <c r="B472" s="39"/>
    </row>
    <row r="473" spans="2:2" ht="15.75" hidden="1" customHeight="1">
      <c r="B473" s="39"/>
    </row>
    <row r="474" spans="2:2" ht="15.75" hidden="1" customHeight="1">
      <c r="B474" s="39"/>
    </row>
    <row r="475" spans="2:2" ht="15.75" hidden="1" customHeight="1">
      <c r="B475" s="39"/>
    </row>
    <row r="476" spans="2:2" ht="15.75" hidden="1" customHeight="1">
      <c r="B476" s="39"/>
    </row>
    <row r="477" spans="2:2" ht="15.75" hidden="1" customHeight="1">
      <c r="B477" s="39"/>
    </row>
    <row r="478" spans="2:2" ht="15.75" hidden="1" customHeight="1">
      <c r="B478" s="39"/>
    </row>
    <row r="479" spans="2:2" ht="15.75" hidden="1" customHeight="1">
      <c r="B479" s="39"/>
    </row>
    <row r="480" spans="2:2" ht="15.75" hidden="1" customHeight="1">
      <c r="B480" s="39"/>
    </row>
    <row r="481" spans="2:2" ht="15.75" hidden="1" customHeight="1">
      <c r="B481" s="39"/>
    </row>
    <row r="482" spans="2:2" ht="15.75" hidden="1" customHeight="1">
      <c r="B482" s="39"/>
    </row>
    <row r="483" spans="2:2" ht="15.75" hidden="1" customHeight="1">
      <c r="B483" s="39"/>
    </row>
    <row r="484" spans="2:2" ht="15.75" hidden="1" customHeight="1">
      <c r="B484" s="39"/>
    </row>
    <row r="485" spans="2:2" ht="15.75" hidden="1" customHeight="1">
      <c r="B485" s="39"/>
    </row>
    <row r="486" spans="2:2" ht="15.75" hidden="1" customHeight="1">
      <c r="B486" s="39"/>
    </row>
    <row r="487" spans="2:2" ht="15.75" hidden="1" customHeight="1">
      <c r="B487" s="39"/>
    </row>
    <row r="488" spans="2:2" ht="15.75" hidden="1" customHeight="1">
      <c r="B488" s="39"/>
    </row>
    <row r="489" spans="2:2" ht="15.75" hidden="1" customHeight="1">
      <c r="B489" s="39"/>
    </row>
    <row r="490" spans="2:2" ht="15.75" hidden="1" customHeight="1">
      <c r="B490" s="39"/>
    </row>
    <row r="491" spans="2:2" ht="15.75" hidden="1" customHeight="1">
      <c r="B491" s="39"/>
    </row>
    <row r="492" spans="2:2" ht="15.75" hidden="1" customHeight="1">
      <c r="B492" s="39"/>
    </row>
    <row r="493" spans="2:2" ht="15.75" hidden="1" customHeight="1">
      <c r="B493" s="39"/>
    </row>
    <row r="494" spans="2:2" ht="15.75" hidden="1" customHeight="1">
      <c r="B494" s="39"/>
    </row>
    <row r="495" spans="2:2" ht="15.75" hidden="1" customHeight="1">
      <c r="B495" s="39"/>
    </row>
    <row r="496" spans="2:2" ht="15.75" hidden="1" customHeight="1">
      <c r="B496" s="39"/>
    </row>
    <row r="497" spans="2:2" ht="15.75" hidden="1" customHeight="1">
      <c r="B497" s="39"/>
    </row>
    <row r="498" spans="2:2" ht="15.75" hidden="1" customHeight="1">
      <c r="B498" s="39"/>
    </row>
    <row r="499" spans="2:2" ht="15.75" hidden="1" customHeight="1">
      <c r="B499" s="39"/>
    </row>
    <row r="500" spans="2:2" ht="15.75" hidden="1" customHeight="1">
      <c r="B500" s="39"/>
    </row>
    <row r="501" spans="2:2" ht="15.75" hidden="1" customHeight="1">
      <c r="B501" s="39"/>
    </row>
    <row r="502" spans="2:2" ht="15.75" hidden="1" customHeight="1">
      <c r="B502" s="39"/>
    </row>
    <row r="503" spans="2:2" ht="15.75" hidden="1" customHeight="1">
      <c r="B503" s="39"/>
    </row>
    <row r="504" spans="2:2" ht="15.75" hidden="1" customHeight="1">
      <c r="B504" s="39"/>
    </row>
    <row r="505" spans="2:2" ht="15.75" hidden="1" customHeight="1">
      <c r="B505" s="39"/>
    </row>
    <row r="506" spans="2:2" ht="15.75" hidden="1" customHeight="1">
      <c r="B506" s="39"/>
    </row>
    <row r="507" spans="2:2" ht="15.75" hidden="1" customHeight="1">
      <c r="B507" s="39"/>
    </row>
    <row r="508" spans="2:2" ht="15.75" hidden="1" customHeight="1">
      <c r="B508" s="39"/>
    </row>
    <row r="509" spans="2:2" ht="15.75" hidden="1" customHeight="1">
      <c r="B509" s="39"/>
    </row>
    <row r="510" spans="2:2" ht="15.75" hidden="1" customHeight="1">
      <c r="B510" s="39"/>
    </row>
    <row r="511" spans="2:2" ht="15.75" hidden="1" customHeight="1">
      <c r="B511" s="39"/>
    </row>
    <row r="512" spans="2:2" ht="15.75" hidden="1" customHeight="1">
      <c r="B512" s="39"/>
    </row>
    <row r="513" spans="2:2" ht="15.75" hidden="1" customHeight="1">
      <c r="B513" s="39"/>
    </row>
    <row r="514" spans="2:2" ht="15.75" hidden="1" customHeight="1">
      <c r="B514" s="39"/>
    </row>
    <row r="515" spans="2:2" ht="15.75" hidden="1" customHeight="1">
      <c r="B515" s="39"/>
    </row>
    <row r="516" spans="2:2" ht="15.75" hidden="1" customHeight="1">
      <c r="B516" s="39"/>
    </row>
    <row r="517" spans="2:2" ht="15.75" hidden="1" customHeight="1">
      <c r="B517" s="39"/>
    </row>
    <row r="518" spans="2:2" ht="15.75" hidden="1" customHeight="1">
      <c r="B518" s="39"/>
    </row>
    <row r="519" spans="2:2" ht="15.75" hidden="1" customHeight="1">
      <c r="B519" s="39"/>
    </row>
    <row r="520" spans="2:2" ht="15.75" hidden="1" customHeight="1">
      <c r="B520" s="39"/>
    </row>
    <row r="521" spans="2:2" ht="15.75" hidden="1" customHeight="1">
      <c r="B521" s="39"/>
    </row>
    <row r="522" spans="2:2" ht="15.75" hidden="1" customHeight="1">
      <c r="B522" s="39"/>
    </row>
    <row r="523" spans="2:2" ht="15.75" hidden="1" customHeight="1">
      <c r="B523" s="39"/>
    </row>
    <row r="524" spans="2:2" ht="15.75" hidden="1" customHeight="1">
      <c r="B524" s="39"/>
    </row>
    <row r="525" spans="2:2" ht="15.75" hidden="1" customHeight="1">
      <c r="B525" s="39"/>
    </row>
    <row r="526" spans="2:2" ht="15.75" hidden="1" customHeight="1">
      <c r="B526" s="39"/>
    </row>
    <row r="527" spans="2:2" ht="15.75" hidden="1" customHeight="1">
      <c r="B527" s="39"/>
    </row>
    <row r="528" spans="2:2" ht="15.75" hidden="1" customHeight="1">
      <c r="B528" s="39"/>
    </row>
    <row r="529" spans="2:2" ht="15.75" hidden="1" customHeight="1">
      <c r="B529" s="39"/>
    </row>
    <row r="530" spans="2:2" ht="15.75" hidden="1" customHeight="1">
      <c r="B530" s="39"/>
    </row>
    <row r="531" spans="2:2" ht="15.75" hidden="1" customHeight="1">
      <c r="B531" s="39"/>
    </row>
    <row r="532" spans="2:2" ht="15.75" hidden="1" customHeight="1">
      <c r="B532" s="39"/>
    </row>
    <row r="533" spans="2:2" ht="15.75" hidden="1" customHeight="1">
      <c r="B533" s="39"/>
    </row>
    <row r="534" spans="2:2" ht="15.75" hidden="1" customHeight="1">
      <c r="B534" s="39"/>
    </row>
    <row r="535" spans="2:2" ht="15.75" hidden="1" customHeight="1">
      <c r="B535" s="39"/>
    </row>
    <row r="536" spans="2:2" ht="15.75" hidden="1" customHeight="1">
      <c r="B536" s="39"/>
    </row>
    <row r="537" spans="2:2" ht="15.75" hidden="1" customHeight="1">
      <c r="B537" s="39"/>
    </row>
    <row r="538" spans="2:2" ht="15.75" hidden="1" customHeight="1">
      <c r="B538" s="39"/>
    </row>
    <row r="539" spans="2:2" ht="15.75" hidden="1" customHeight="1">
      <c r="B539" s="39"/>
    </row>
    <row r="540" spans="2:2" ht="15.75" hidden="1" customHeight="1">
      <c r="B540" s="39"/>
    </row>
    <row r="541" spans="2:2" ht="15.75" hidden="1" customHeight="1">
      <c r="B541" s="39"/>
    </row>
    <row r="542" spans="2:2" ht="15.75" hidden="1" customHeight="1">
      <c r="B542" s="39"/>
    </row>
    <row r="543" spans="2:2" ht="15.75" hidden="1" customHeight="1">
      <c r="B543" s="39"/>
    </row>
    <row r="544" spans="2:2" ht="15.75" hidden="1" customHeight="1">
      <c r="B544" s="39"/>
    </row>
    <row r="545" spans="2:2" ht="15.75" hidden="1" customHeight="1">
      <c r="B545" s="39"/>
    </row>
    <row r="546" spans="2:2" ht="15.75" hidden="1" customHeight="1">
      <c r="B546" s="39"/>
    </row>
  </sheetData>
  <mergeCells count="6">
    <mergeCell ref="A1:H1"/>
    <mergeCell ref="A2:H2"/>
    <mergeCell ref="A3:B3"/>
    <mergeCell ref="C3:H3"/>
    <mergeCell ref="A4:B4"/>
    <mergeCell ref="C4:H4"/>
  </mergeCells>
  <dataValidations count="2">
    <dataValidation type="custom" allowBlank="1" showInputMessage="1" showErrorMessage="1" prompt="Enter either 'A' or value of&lt;=50" sqref="D6:F292">
      <formula1>OR(D6="A",D6&lt;51)</formula1>
    </dataValidation>
    <dataValidation type="custom" allowBlank="1" showInputMessage="1" showErrorMessage="1" prompt="Enter either 'A' or value of&lt;=20" sqref="G6">
      <formula1>OR(G6="A",G6&lt;21)</formula1>
    </dataValidation>
  </dataValidations>
  <printOptions horizontalCentered="1"/>
  <pageMargins left="0.19685039370078741" right="0.19685039370078741" top="0" bottom="0.27559055118110237" header="0" footer="0"/>
  <pageSetup paperSize="9" orientation="landscape"/>
  <headerFooter>
    <oddFooter>&amp;C                               Signature of Faculty: ___________________________                                                        Signature of HoD:___________________________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0"/>
  <sheetViews>
    <sheetView workbookViewId="0"/>
  </sheetViews>
  <sheetFormatPr defaultColWidth="14.42578125" defaultRowHeight="15" customHeight="1"/>
  <sheetData>
    <row r="1" spans="1:20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20">
      <c r="A2" s="41"/>
      <c r="B2" s="42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20" ht="24.75" customHeight="1">
      <c r="A3" s="228"/>
      <c r="B3" s="220"/>
      <c r="C3" s="230" t="s">
        <v>3</v>
      </c>
      <c r="D3" s="220" t="s">
        <v>6</v>
      </c>
      <c r="E3" s="230" t="s">
        <v>9</v>
      </c>
      <c r="F3" s="230" t="s">
        <v>181</v>
      </c>
      <c r="G3" s="220" t="s">
        <v>182</v>
      </c>
      <c r="H3" s="222" t="s">
        <v>183</v>
      </c>
      <c r="I3" s="212"/>
      <c r="J3" s="212"/>
      <c r="K3" s="213"/>
      <c r="L3" s="220" t="s">
        <v>105</v>
      </c>
      <c r="M3" s="220" t="s">
        <v>108</v>
      </c>
      <c r="N3" s="220" t="s">
        <v>111</v>
      </c>
      <c r="O3" s="220" t="s">
        <v>184</v>
      </c>
      <c r="P3" s="220" t="s">
        <v>185</v>
      </c>
      <c r="Q3" s="220" t="s">
        <v>186</v>
      </c>
      <c r="R3" s="220" t="s">
        <v>187</v>
      </c>
      <c r="S3" s="220" t="s">
        <v>188</v>
      </c>
      <c r="T3" s="220" t="s">
        <v>189</v>
      </c>
    </row>
    <row r="4" spans="1:20" ht="42" customHeight="1">
      <c r="A4" s="229"/>
      <c r="B4" s="221"/>
      <c r="C4" s="221"/>
      <c r="D4" s="221"/>
      <c r="E4" s="221"/>
      <c r="F4" s="221"/>
      <c r="G4" s="221"/>
      <c r="H4" s="43" t="s">
        <v>24</v>
      </c>
      <c r="I4" s="43" t="s">
        <v>27</v>
      </c>
      <c r="J4" s="43" t="s">
        <v>30</v>
      </c>
      <c r="K4" s="43" t="s">
        <v>33</v>
      </c>
      <c r="L4" s="221"/>
      <c r="M4" s="221"/>
      <c r="N4" s="221"/>
      <c r="O4" s="221"/>
      <c r="P4" s="221"/>
      <c r="Q4" s="221"/>
      <c r="R4" s="221"/>
      <c r="S4" s="221"/>
      <c r="T4" s="221"/>
    </row>
    <row r="5" spans="1:20">
      <c r="A5" s="44"/>
      <c r="B5" s="45" t="s">
        <v>0</v>
      </c>
      <c r="C5" s="46">
        <f>Theory!K2</f>
        <v>66</v>
      </c>
      <c r="D5" s="46">
        <f>Theory!K3</f>
        <v>66</v>
      </c>
      <c r="E5" s="46">
        <f>Theory!K4</f>
        <v>0</v>
      </c>
      <c r="F5" s="46">
        <f>Theory!K5</f>
        <v>55</v>
      </c>
      <c r="G5" s="46">
        <f>Theory!K6</f>
        <v>83.33</v>
      </c>
      <c r="H5" s="46">
        <f>Theory!K7</f>
        <v>0</v>
      </c>
      <c r="I5" s="46">
        <f>Theory!K8</f>
        <v>12</v>
      </c>
      <c r="J5" s="46">
        <f>Theory!K9</f>
        <v>54</v>
      </c>
      <c r="K5" s="46">
        <f>Theory!K10</f>
        <v>0</v>
      </c>
      <c r="L5" s="46">
        <f>Theory!K40</f>
        <v>28</v>
      </c>
      <c r="M5" s="46">
        <f>Theory!K41</f>
        <v>72</v>
      </c>
      <c r="N5" s="47">
        <f>Theory!K42</f>
        <v>58.666666666666664</v>
      </c>
      <c r="O5" s="46">
        <f>Theory!K11</f>
        <v>58</v>
      </c>
      <c r="P5" s="46">
        <f ca="1">Theory!K12</f>
        <v>2</v>
      </c>
      <c r="Q5" s="46">
        <f ca="1">Theory!L12</f>
        <v>2</v>
      </c>
      <c r="R5" s="46">
        <f ca="1">Theory!M12</f>
        <v>3</v>
      </c>
      <c r="S5" s="46"/>
      <c r="T5" s="46"/>
    </row>
    <row r="6" spans="1:20">
      <c r="A6" s="44"/>
      <c r="B6" s="45" t="s">
        <v>1</v>
      </c>
      <c r="C6" s="45">
        <f>Theory!L2</f>
        <v>66</v>
      </c>
      <c r="D6" s="45">
        <f>Theory!L3</f>
        <v>66</v>
      </c>
      <c r="E6" s="45">
        <f>Theory!L4</f>
        <v>0</v>
      </c>
      <c r="F6" s="45">
        <f>Theory!L5</f>
        <v>53</v>
      </c>
      <c r="G6" s="45">
        <f>Theory!L6</f>
        <v>80.3</v>
      </c>
      <c r="H6" s="45">
        <f>Theory!L7</f>
        <v>1</v>
      </c>
      <c r="I6" s="45">
        <f>Theory!L8</f>
        <v>12</v>
      </c>
      <c r="J6" s="45">
        <f>Theory!L9</f>
        <v>53</v>
      </c>
      <c r="K6" s="45">
        <f>Theory!L10</f>
        <v>0</v>
      </c>
      <c r="L6" s="45">
        <f>Theory!L40</f>
        <v>20</v>
      </c>
      <c r="M6" s="45">
        <f>Theory!L41</f>
        <v>74</v>
      </c>
      <c r="N6" s="48">
        <f>Theory!L42</f>
        <v>58.848484848484851</v>
      </c>
      <c r="O6" s="46">
        <f>Theory!K11</f>
        <v>58</v>
      </c>
      <c r="P6" s="45"/>
      <c r="Q6" s="45"/>
      <c r="R6" s="45">
        <f ca="1">Theory!M13</f>
        <v>3</v>
      </c>
      <c r="S6" s="46">
        <f ca="1">Theory!N13</f>
        <v>2</v>
      </c>
      <c r="T6" s="46">
        <f ca="1">Theory!O13</f>
        <v>2</v>
      </c>
    </row>
    <row r="7" spans="1:20">
      <c r="A7" s="41"/>
      <c r="B7" s="42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20">
      <c r="A8" s="41"/>
      <c r="B8" s="42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20">
      <c r="A9" s="41"/>
      <c r="B9" s="42"/>
      <c r="C9" s="40"/>
      <c r="D9" s="40"/>
      <c r="E9" s="40"/>
      <c r="F9" s="40"/>
      <c r="G9" s="40"/>
      <c r="H9" s="40"/>
      <c r="I9" s="40"/>
      <c r="J9" s="40"/>
      <c r="K9" s="40"/>
      <c r="L9" s="40"/>
    </row>
    <row r="10" spans="1:20">
      <c r="A10" s="41"/>
      <c r="B10" s="42"/>
      <c r="C10" s="40"/>
      <c r="D10" s="40"/>
      <c r="E10" s="40"/>
      <c r="F10" s="40"/>
      <c r="G10" s="40"/>
      <c r="H10" s="40"/>
      <c r="I10" s="40"/>
      <c r="J10" s="40"/>
      <c r="K10" s="40"/>
      <c r="L10" s="40"/>
    </row>
    <row r="11" spans="1:20">
      <c r="A11" s="41"/>
      <c r="B11" s="42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20">
      <c r="A12" s="41" t="str">
        <f>Theory!A3</f>
        <v>Course Code - Name</v>
      </c>
      <c r="B12" s="42" t="str">
        <f>Theory!C3</f>
        <v>22EE401 &amp; POWER GENERATION, TRANSMISSION AND DISTRIBUTION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spans="1:20">
      <c r="A13" s="41"/>
      <c r="B13" s="41" t="s">
        <v>190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1:20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5" spans="1:20">
      <c r="A15" s="40"/>
      <c r="B15" s="223" t="s">
        <v>191</v>
      </c>
      <c r="C15" s="224"/>
      <c r="D15" s="224"/>
      <c r="E15" s="224"/>
      <c r="F15" s="224"/>
      <c r="G15" s="224"/>
      <c r="H15" s="40"/>
      <c r="I15" s="49"/>
      <c r="J15" s="49"/>
      <c r="K15" s="49"/>
      <c r="L15" s="40"/>
    </row>
    <row r="16" spans="1:20">
      <c r="A16" s="40"/>
      <c r="B16" s="40"/>
      <c r="C16" s="40"/>
      <c r="D16" s="40"/>
      <c r="E16" s="40"/>
      <c r="F16" s="40"/>
      <c r="G16" s="40"/>
      <c r="H16" s="50"/>
      <c r="I16" s="51" t="s">
        <v>192</v>
      </c>
      <c r="J16" s="51" t="s">
        <v>193</v>
      </c>
      <c r="K16" s="51" t="s">
        <v>194</v>
      </c>
      <c r="L16" s="40"/>
    </row>
    <row r="17" spans="1:12">
      <c r="A17" s="40"/>
      <c r="B17" s="40"/>
      <c r="C17" s="40"/>
      <c r="D17" s="40"/>
      <c r="E17" s="40"/>
      <c r="F17" s="40"/>
      <c r="G17" s="40"/>
      <c r="H17" s="50"/>
      <c r="I17" s="51">
        <f t="shared" ref="I17:K17" si="0">D5</f>
        <v>66</v>
      </c>
      <c r="J17" s="52">
        <f t="shared" si="0"/>
        <v>0</v>
      </c>
      <c r="K17" s="52">
        <f t="shared" si="0"/>
        <v>55</v>
      </c>
      <c r="L17" s="40"/>
    </row>
    <row r="18" spans="1:12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53"/>
      <c r="L18" s="40"/>
    </row>
    <row r="19" spans="1:1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53"/>
      <c r="L19" s="40"/>
    </row>
    <row r="20" spans="1:12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1:1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1:1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1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1:1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1:1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spans="1:12">
      <c r="A31" s="40"/>
      <c r="B31" s="40"/>
      <c r="C31" s="225" t="s">
        <v>195</v>
      </c>
      <c r="D31" s="224"/>
      <c r="E31" s="224"/>
      <c r="F31" s="224"/>
      <c r="G31" s="224"/>
      <c r="H31" s="40"/>
      <c r="I31" s="226" t="s">
        <v>196</v>
      </c>
      <c r="J31" s="227"/>
      <c r="K31" s="227"/>
      <c r="L31" s="227"/>
    </row>
    <row r="32" spans="1:12" ht="15.75">
      <c r="A32" s="40"/>
      <c r="B32" s="40"/>
      <c r="C32" s="40"/>
      <c r="D32" s="40"/>
      <c r="E32" s="40"/>
      <c r="F32" s="40"/>
      <c r="G32" s="40"/>
      <c r="H32" s="50"/>
      <c r="I32" s="54" t="s">
        <v>24</v>
      </c>
      <c r="J32" s="54" t="s">
        <v>27</v>
      </c>
      <c r="K32" s="54" t="s">
        <v>30</v>
      </c>
      <c r="L32" s="54" t="s">
        <v>33</v>
      </c>
    </row>
    <row r="33" spans="1:12">
      <c r="A33" s="40"/>
      <c r="B33" s="40"/>
      <c r="C33" s="40"/>
      <c r="D33" s="40"/>
      <c r="E33" s="40"/>
      <c r="F33" s="40"/>
      <c r="G33" s="40"/>
      <c r="H33" s="50"/>
      <c r="I33" s="51">
        <f t="shared" ref="I33:L33" si="1">ROUND(H5/$D$5*100,2)</f>
        <v>0</v>
      </c>
      <c r="J33" s="51">
        <f t="shared" si="1"/>
        <v>18.18</v>
      </c>
      <c r="K33" s="51">
        <f t="shared" si="1"/>
        <v>81.819999999999993</v>
      </c>
      <c r="L33" s="51">
        <f t="shared" si="1"/>
        <v>0</v>
      </c>
    </row>
    <row r="34" spans="1:1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ht="15.75">
      <c r="A49" s="40"/>
      <c r="B49" s="40"/>
      <c r="C49" s="55" t="s">
        <v>197</v>
      </c>
      <c r="D49" s="40"/>
      <c r="E49" s="40"/>
      <c r="F49" s="40"/>
      <c r="G49" s="40"/>
      <c r="H49" s="40"/>
      <c r="I49" s="49"/>
      <c r="J49" s="49"/>
      <c r="K49" s="49"/>
      <c r="L49" s="40"/>
    </row>
    <row r="50" spans="1:12">
      <c r="A50" s="40"/>
      <c r="B50" s="40"/>
      <c r="C50" s="40"/>
      <c r="D50" s="40"/>
      <c r="E50" s="40"/>
      <c r="F50" s="40"/>
      <c r="G50" s="40"/>
      <c r="H50" s="50"/>
      <c r="I50" s="51" t="s">
        <v>105</v>
      </c>
      <c r="J50" s="51" t="s">
        <v>108</v>
      </c>
      <c r="K50" s="51" t="s">
        <v>111</v>
      </c>
      <c r="L50" s="40"/>
    </row>
    <row r="51" spans="1:12">
      <c r="A51" s="40"/>
      <c r="B51" s="40"/>
      <c r="C51" s="40"/>
      <c r="D51" s="40"/>
      <c r="E51" s="40"/>
      <c r="F51" s="40"/>
      <c r="G51" s="40"/>
      <c r="H51" s="50"/>
      <c r="I51" s="51">
        <f t="shared" ref="I51:K51" si="2">L5</f>
        <v>28</v>
      </c>
      <c r="J51" s="51">
        <f t="shared" si="2"/>
        <v>72</v>
      </c>
      <c r="K51" s="56">
        <f t="shared" si="2"/>
        <v>58.666666666666664</v>
      </c>
      <c r="L51" s="40"/>
    </row>
    <row r="52" spans="1:1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2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2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>
      <c r="A68" s="41" t="str">
        <f>Theory!A3</f>
        <v>Course Code - Name</v>
      </c>
      <c r="B68" s="42" t="str">
        <f>Theory!C3</f>
        <v>22EE401 &amp; POWER GENERATION, TRANSMISSION AND DISTRIBUTION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>
      <c r="A69" s="41"/>
      <c r="B69" s="41" t="s">
        <v>198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>
      <c r="A70" s="40"/>
      <c r="B70" s="40"/>
      <c r="C70" s="40"/>
      <c r="D70" s="40"/>
      <c r="E70" s="40"/>
      <c r="F70" s="40"/>
      <c r="G70" s="40"/>
      <c r="H70" s="40"/>
      <c r="I70" s="49"/>
      <c r="J70" s="49"/>
      <c r="K70" s="49"/>
      <c r="L70" s="40"/>
    </row>
    <row r="71" spans="1:12">
      <c r="A71" s="40"/>
      <c r="B71" s="223" t="s">
        <v>191</v>
      </c>
      <c r="C71" s="224"/>
      <c r="D71" s="224"/>
      <c r="E71" s="224"/>
      <c r="F71" s="224"/>
      <c r="G71" s="224"/>
      <c r="H71" s="50"/>
      <c r="I71" s="51" t="s">
        <v>192</v>
      </c>
      <c r="J71" s="51" t="s">
        <v>193</v>
      </c>
      <c r="K71" s="51" t="s">
        <v>194</v>
      </c>
      <c r="L71" s="40"/>
    </row>
    <row r="72" spans="1:12">
      <c r="A72" s="40"/>
      <c r="B72" s="40"/>
      <c r="C72" s="40"/>
      <c r="D72" s="40"/>
      <c r="E72" s="40"/>
      <c r="F72" s="40"/>
      <c r="G72" s="40"/>
      <c r="H72" s="50"/>
      <c r="I72" s="51">
        <f t="shared" ref="I72:K72" si="3">D6</f>
        <v>66</v>
      </c>
      <c r="J72" s="51">
        <f t="shared" si="3"/>
        <v>0</v>
      </c>
      <c r="K72" s="51">
        <f t="shared" si="3"/>
        <v>53</v>
      </c>
      <c r="L72" s="40"/>
    </row>
    <row r="73" spans="1:12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spans="1:12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2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2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2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2">
      <c r="A81" s="40"/>
      <c r="B81" s="40"/>
      <c r="C81" s="40"/>
      <c r="D81" s="40"/>
      <c r="E81" s="40"/>
      <c r="F81" s="40"/>
      <c r="G81" s="40"/>
      <c r="H81" s="40"/>
      <c r="I81" s="49"/>
      <c r="J81" s="49"/>
      <c r="K81" s="49"/>
      <c r="L81" s="49"/>
    </row>
    <row r="82" spans="1:12" ht="15.75">
      <c r="A82" s="40"/>
      <c r="B82" s="40"/>
      <c r="C82" s="40"/>
      <c r="D82" s="40"/>
      <c r="E82" s="40"/>
      <c r="F82" s="40"/>
      <c r="G82" s="40"/>
      <c r="H82" s="50"/>
      <c r="I82" s="54" t="s">
        <v>24</v>
      </c>
      <c r="J82" s="54" t="s">
        <v>27</v>
      </c>
      <c r="K82" s="54" t="s">
        <v>30</v>
      </c>
      <c r="L82" s="54" t="s">
        <v>33</v>
      </c>
    </row>
    <row r="83" spans="1:12">
      <c r="A83" s="40"/>
      <c r="B83" s="40"/>
      <c r="C83" s="40"/>
      <c r="D83" s="40"/>
      <c r="E83" s="40"/>
      <c r="F83" s="40"/>
      <c r="G83" s="40"/>
      <c r="H83" s="50"/>
      <c r="I83" s="51">
        <f t="shared" ref="I83:L83" si="4">ROUND(H6/$D$6*100,2)</f>
        <v>1.52</v>
      </c>
      <c r="J83" s="51">
        <f t="shared" si="4"/>
        <v>18.18</v>
      </c>
      <c r="K83" s="51">
        <f t="shared" si="4"/>
        <v>80.3</v>
      </c>
      <c r="L83" s="51">
        <f t="shared" si="4"/>
        <v>0</v>
      </c>
    </row>
    <row r="84" spans="1:1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</row>
    <row r="85" spans="1:1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</row>
    <row r="86" spans="1:1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</row>
    <row r="87" spans="1:1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</row>
    <row r="88" spans="1:12">
      <c r="A88" s="40"/>
      <c r="B88" s="225" t="s">
        <v>195</v>
      </c>
      <c r="C88" s="224"/>
      <c r="D88" s="224"/>
      <c r="E88" s="224"/>
      <c r="F88" s="224"/>
      <c r="G88" s="40"/>
      <c r="H88" s="40"/>
      <c r="I88" s="40"/>
      <c r="J88" s="40"/>
      <c r="K88" s="40"/>
      <c r="L88" s="40"/>
    </row>
    <row r="89" spans="1:1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</row>
    <row r="90" spans="1:1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</row>
    <row r="91" spans="1:1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</row>
    <row r="92" spans="1:12">
      <c r="A92" s="40"/>
      <c r="B92" s="40"/>
      <c r="C92" s="40"/>
      <c r="D92" s="40"/>
      <c r="E92" s="40"/>
      <c r="F92" s="40"/>
      <c r="G92" s="40"/>
      <c r="H92" s="40"/>
      <c r="I92" s="49"/>
      <c r="J92" s="49"/>
      <c r="K92" s="49"/>
      <c r="L92" s="40"/>
    </row>
    <row r="93" spans="1:12">
      <c r="A93" s="40"/>
      <c r="B93" s="40"/>
      <c r="C93" s="40"/>
      <c r="D93" s="40"/>
      <c r="E93" s="40"/>
      <c r="F93" s="40"/>
      <c r="G93" s="40"/>
      <c r="H93" s="50"/>
      <c r="I93" s="51" t="s">
        <v>105</v>
      </c>
      <c r="J93" s="51" t="s">
        <v>108</v>
      </c>
      <c r="K93" s="51" t="s">
        <v>111</v>
      </c>
      <c r="L93" s="40"/>
    </row>
    <row r="94" spans="1:12">
      <c r="A94" s="40"/>
      <c r="B94" s="40"/>
      <c r="C94" s="40"/>
      <c r="D94" s="40"/>
      <c r="E94" s="40"/>
      <c r="F94" s="40"/>
      <c r="G94" s="40"/>
      <c r="H94" s="50"/>
      <c r="I94" s="51">
        <f t="shared" ref="I94:K94" si="5">L6</f>
        <v>20</v>
      </c>
      <c r="J94" s="51">
        <f t="shared" si="5"/>
        <v>74</v>
      </c>
      <c r="K94" s="57">
        <f t="shared" si="5"/>
        <v>58.848484848484851</v>
      </c>
      <c r="L94" s="40"/>
    </row>
    <row r="95" spans="1:1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</row>
    <row r="96" spans="1:1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</row>
    <row r="97" spans="1:1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</row>
    <row r="98" spans="1:1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</row>
    <row r="99" spans="1:1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</row>
    <row r="100" spans="1:1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</row>
    <row r="101" spans="1:1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</row>
    <row r="102" spans="1:1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</row>
    <row r="103" spans="1:1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</row>
    <row r="104" spans="1:1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</row>
    <row r="105" spans="1:1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</row>
    <row r="106" spans="1:12" ht="15.75">
      <c r="A106" s="40"/>
      <c r="B106" s="55" t="s">
        <v>197</v>
      </c>
      <c r="C106" s="40"/>
      <c r="D106" s="40"/>
      <c r="E106" s="40"/>
      <c r="F106" s="40"/>
      <c r="G106" s="40"/>
      <c r="H106" s="40"/>
      <c r="I106" s="40"/>
      <c r="J106" s="40"/>
      <c r="K106" s="40"/>
      <c r="L106" s="40"/>
    </row>
    <row r="107" spans="1:1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</row>
    <row r="108" spans="1:1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</row>
    <row r="109" spans="1:1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</row>
    <row r="110" spans="1:1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</row>
    <row r="111" spans="1:1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</row>
    <row r="112" spans="1: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</row>
    <row r="113" spans="1:1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</row>
    <row r="114" spans="1:1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</row>
    <row r="115" spans="1:1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</row>
    <row r="116" spans="1:1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1:1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1:1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1:1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1:1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</row>
    <row r="121" spans="1:1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</row>
    <row r="122" spans="1:1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</row>
    <row r="123" spans="1:1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</row>
    <row r="124" spans="1:1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</row>
    <row r="125" spans="1:1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</row>
    <row r="126" spans="1:1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</row>
    <row r="127" spans="1:1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</row>
    <row r="128" spans="1:1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</row>
    <row r="129" spans="1:1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</row>
    <row r="130" spans="1:1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</row>
  </sheetData>
  <mergeCells count="22">
    <mergeCell ref="F3:F4"/>
    <mergeCell ref="G3:G4"/>
    <mergeCell ref="A3:A4"/>
    <mergeCell ref="B3:B4"/>
    <mergeCell ref="C3:C4"/>
    <mergeCell ref="D3:D4"/>
    <mergeCell ref="E3:E4"/>
    <mergeCell ref="B15:G15"/>
    <mergeCell ref="C31:G31"/>
    <mergeCell ref="I31:L31"/>
    <mergeCell ref="B71:G71"/>
    <mergeCell ref="B88:F88"/>
    <mergeCell ref="R3:R4"/>
    <mergeCell ref="S3:S4"/>
    <mergeCell ref="T3:T4"/>
    <mergeCell ref="H3:K3"/>
    <mergeCell ref="L3:L4"/>
    <mergeCell ref="M3:M4"/>
    <mergeCell ref="N3:N4"/>
    <mergeCell ref="O3:O4"/>
    <mergeCell ref="P3:P4"/>
    <mergeCell ref="Q3:Q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84"/>
  <sheetViews>
    <sheetView workbookViewId="0"/>
  </sheetViews>
  <sheetFormatPr defaultColWidth="14.42578125" defaultRowHeight="15" customHeight="1"/>
  <cols>
    <col min="1" max="1" width="6.140625" customWidth="1"/>
    <col min="2" max="2" width="19.28515625" customWidth="1"/>
    <col min="3" max="3" width="25.7109375" customWidth="1"/>
    <col min="4" max="4" width="12.85546875" customWidth="1"/>
    <col min="5" max="5" width="6.5703125" customWidth="1"/>
    <col min="6" max="6" width="8.42578125" customWidth="1"/>
    <col min="7" max="7" width="7.85546875" customWidth="1"/>
    <col min="8" max="23" width="9.140625" hidden="1" customWidth="1"/>
    <col min="24" max="26" width="3" hidden="1" customWidth="1"/>
    <col min="27" max="28" width="9.140625" hidden="1" customWidth="1"/>
  </cols>
  <sheetData>
    <row r="1" spans="1:28" ht="54.75" customHeight="1">
      <c r="A1" s="211"/>
      <c r="B1" s="212"/>
      <c r="C1" s="212"/>
      <c r="D1" s="212"/>
      <c r="E1" s="212"/>
      <c r="F1" s="213"/>
      <c r="G1" s="58"/>
      <c r="H1" s="59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spans="1:28" ht="15.75">
      <c r="A2" s="214" t="s">
        <v>199</v>
      </c>
      <c r="B2" s="212"/>
      <c r="C2" s="212"/>
      <c r="D2" s="212"/>
      <c r="E2" s="212"/>
      <c r="F2" s="213"/>
      <c r="G2" s="60"/>
    </row>
    <row r="3" spans="1:28" ht="15.75">
      <c r="A3" s="231" t="s">
        <v>4</v>
      </c>
      <c r="B3" s="221"/>
      <c r="C3" s="215" t="str">
        <f>Theory!C3</f>
        <v>22EE401 &amp; POWER GENERATION, TRANSMISSION AND DISTRIBUTION</v>
      </c>
      <c r="D3" s="212"/>
      <c r="E3" s="212"/>
      <c r="F3" s="213"/>
      <c r="G3" s="61"/>
    </row>
    <row r="4" spans="1:28" ht="15.75">
      <c r="A4" s="217" t="s">
        <v>7</v>
      </c>
      <c r="B4" s="218"/>
      <c r="C4" s="215" t="str">
        <f>Theory!C4</f>
        <v>Dr.SIVARAMAN P / EE1329</v>
      </c>
      <c r="D4" s="212"/>
      <c r="E4" s="212"/>
      <c r="F4" s="213"/>
      <c r="G4" s="61"/>
    </row>
    <row r="5" spans="1:28" ht="30.75" customHeight="1">
      <c r="A5" s="62" t="s">
        <v>10</v>
      </c>
      <c r="B5" s="62" t="s">
        <v>11</v>
      </c>
      <c r="C5" s="62" t="s">
        <v>12</v>
      </c>
      <c r="D5" s="63" t="s">
        <v>200</v>
      </c>
      <c r="E5" s="63" t="s">
        <v>201</v>
      </c>
      <c r="F5" s="63" t="s">
        <v>16</v>
      </c>
      <c r="G5" s="64"/>
    </row>
    <row r="6" spans="1:28">
      <c r="A6" s="65">
        <f>Theory!A6</f>
        <v>1</v>
      </c>
      <c r="B6" s="65" t="str">
        <f>Theory!B6</f>
        <v>7376231EE102</v>
      </c>
      <c r="C6" s="66" t="str">
        <f>Theory!C6</f>
        <v>ABINISHA S</v>
      </c>
      <c r="D6" s="67">
        <f t="shared" ref="D6:D71" si="0">ROUND(F6/2,0)</f>
        <v>8</v>
      </c>
      <c r="E6" s="67">
        <f t="shared" ref="E6:E71" si="1">F6-D6</f>
        <v>7</v>
      </c>
      <c r="F6" s="67">
        <f>Theory!G6</f>
        <v>15</v>
      </c>
      <c r="G6" s="64"/>
      <c r="X6" s="20" t="e">
        <f t="shared" ref="X6:Z6" si="2">IF(#REF!&lt;&gt;"",IF(#REF!="A",0,#REF!),"")</f>
        <v>#REF!</v>
      </c>
      <c r="Y6" s="20" t="e">
        <f t="shared" si="2"/>
        <v>#REF!</v>
      </c>
      <c r="Z6" s="20" t="e">
        <f t="shared" si="2"/>
        <v>#REF!</v>
      </c>
      <c r="AB6" s="20">
        <f t="shared" ref="AB6:AB29" si="3">IF(F6&lt;&gt;"",IF(F6="A",0,F6),"")</f>
        <v>15</v>
      </c>
    </row>
    <row r="7" spans="1:28">
      <c r="A7" s="65">
        <f>Theory!A7</f>
        <v>2</v>
      </c>
      <c r="B7" s="65" t="str">
        <f>Theory!B7</f>
        <v>7376231EE103</v>
      </c>
      <c r="C7" s="66" t="str">
        <f>Theory!C7</f>
        <v>ANANTHIKA A</v>
      </c>
      <c r="D7" s="67">
        <f t="shared" si="0"/>
        <v>8</v>
      </c>
      <c r="E7" s="67">
        <f t="shared" si="1"/>
        <v>7</v>
      </c>
      <c r="F7" s="67">
        <f>Theory!G7</f>
        <v>15</v>
      </c>
      <c r="G7" s="64"/>
      <c r="X7" s="20" t="e">
        <f t="shared" ref="X7:Z7" si="4">IF(#REF!&lt;&gt;"",IF(#REF!="A",0,#REF!),"")</f>
        <v>#REF!</v>
      </c>
      <c r="Y7" s="20" t="e">
        <f t="shared" si="4"/>
        <v>#REF!</v>
      </c>
      <c r="Z7" s="20" t="e">
        <f t="shared" si="4"/>
        <v>#REF!</v>
      </c>
      <c r="AB7" s="20">
        <f t="shared" si="3"/>
        <v>15</v>
      </c>
    </row>
    <row r="8" spans="1:28">
      <c r="A8" s="65">
        <f>Theory!A8</f>
        <v>3</v>
      </c>
      <c r="B8" s="65" t="str">
        <f>Theory!B8</f>
        <v>7376231EE104</v>
      </c>
      <c r="C8" s="66" t="str">
        <f>Theory!C8</f>
        <v>ANBARASU G</v>
      </c>
      <c r="D8" s="67">
        <f t="shared" si="0"/>
        <v>5</v>
      </c>
      <c r="E8" s="67">
        <f t="shared" si="1"/>
        <v>4</v>
      </c>
      <c r="F8" s="67">
        <f>Theory!G8</f>
        <v>9</v>
      </c>
      <c r="G8" s="64"/>
      <c r="X8" s="20" t="e">
        <f t="shared" ref="X8:Z8" si="5">IF(#REF!&lt;&gt;"",IF(#REF!="A",0,#REF!),"")</f>
        <v>#REF!</v>
      </c>
      <c r="Y8" s="20" t="e">
        <f t="shared" si="5"/>
        <v>#REF!</v>
      </c>
      <c r="Z8" s="20" t="e">
        <f t="shared" si="5"/>
        <v>#REF!</v>
      </c>
      <c r="AB8" s="20">
        <f t="shared" si="3"/>
        <v>9</v>
      </c>
    </row>
    <row r="9" spans="1:28">
      <c r="A9" s="65">
        <f>Theory!A9</f>
        <v>4</v>
      </c>
      <c r="B9" s="65" t="str">
        <f>Theory!B9</f>
        <v>7376231EE105</v>
      </c>
      <c r="C9" s="66" t="str">
        <f>Theory!C9</f>
        <v>ANUJA N</v>
      </c>
      <c r="D9" s="67">
        <f t="shared" si="0"/>
        <v>8</v>
      </c>
      <c r="E9" s="67">
        <f t="shared" si="1"/>
        <v>7</v>
      </c>
      <c r="F9" s="67">
        <f>Theory!G9</f>
        <v>15</v>
      </c>
      <c r="G9" s="64"/>
      <c r="X9" s="20" t="e">
        <f t="shared" ref="X9:Z9" si="6">IF(#REF!&lt;&gt;"",IF(#REF!="A",0,#REF!),"")</f>
        <v>#REF!</v>
      </c>
      <c r="Y9" s="20" t="e">
        <f t="shared" si="6"/>
        <v>#REF!</v>
      </c>
      <c r="Z9" s="20" t="e">
        <f t="shared" si="6"/>
        <v>#REF!</v>
      </c>
      <c r="AB9" s="20">
        <f t="shared" si="3"/>
        <v>15</v>
      </c>
    </row>
    <row r="10" spans="1:28">
      <c r="A10" s="65">
        <f>Theory!A10</f>
        <v>5</v>
      </c>
      <c r="B10" s="65" t="str">
        <f>Theory!B10</f>
        <v>7376231EE106</v>
      </c>
      <c r="C10" s="66" t="str">
        <f>Theory!C10</f>
        <v>ARUN BHAGAVATH S</v>
      </c>
      <c r="D10" s="67">
        <f t="shared" si="0"/>
        <v>7</v>
      </c>
      <c r="E10" s="67">
        <f t="shared" si="1"/>
        <v>7</v>
      </c>
      <c r="F10" s="67">
        <f>Theory!G10</f>
        <v>14</v>
      </c>
      <c r="G10" s="64"/>
      <c r="X10" s="20" t="e">
        <f t="shared" ref="X10:Z10" si="7">IF(#REF!&lt;&gt;"",IF(#REF!="A",0,#REF!),"")</f>
        <v>#REF!</v>
      </c>
      <c r="Y10" s="20" t="e">
        <f t="shared" si="7"/>
        <v>#REF!</v>
      </c>
      <c r="Z10" s="20" t="e">
        <f t="shared" si="7"/>
        <v>#REF!</v>
      </c>
      <c r="AB10" s="20">
        <f t="shared" si="3"/>
        <v>14</v>
      </c>
    </row>
    <row r="11" spans="1:28">
      <c r="A11" s="65">
        <f>Theory!A11</f>
        <v>6</v>
      </c>
      <c r="B11" s="65" t="str">
        <f>Theory!B11</f>
        <v>7376231EE107</v>
      </c>
      <c r="C11" s="66" t="str">
        <f>Theory!C11</f>
        <v>ARUNIKA T K</v>
      </c>
      <c r="D11" s="67">
        <f t="shared" si="0"/>
        <v>8</v>
      </c>
      <c r="E11" s="67">
        <f t="shared" si="1"/>
        <v>8</v>
      </c>
      <c r="F11" s="67">
        <f>Theory!G11</f>
        <v>16</v>
      </c>
      <c r="G11" s="64"/>
      <c r="X11" s="20" t="e">
        <f t="shared" ref="X11:Z11" si="8">IF(#REF!&lt;&gt;"",IF(#REF!="A",0,#REF!),"")</f>
        <v>#REF!</v>
      </c>
      <c r="Y11" s="20" t="e">
        <f t="shared" si="8"/>
        <v>#REF!</v>
      </c>
      <c r="Z11" s="20" t="e">
        <f t="shared" si="8"/>
        <v>#REF!</v>
      </c>
      <c r="AB11" s="20">
        <f t="shared" si="3"/>
        <v>16</v>
      </c>
    </row>
    <row r="12" spans="1:28">
      <c r="A12" s="65">
        <f>Theory!A12</f>
        <v>7</v>
      </c>
      <c r="B12" s="65" t="str">
        <f>Theory!B12</f>
        <v>7376231EE108</v>
      </c>
      <c r="C12" s="66" t="str">
        <f>Theory!C12</f>
        <v>BALAJI M J</v>
      </c>
      <c r="D12" s="67">
        <f t="shared" si="0"/>
        <v>8</v>
      </c>
      <c r="E12" s="67">
        <f t="shared" si="1"/>
        <v>8</v>
      </c>
      <c r="F12" s="67">
        <f>Theory!G12</f>
        <v>16</v>
      </c>
      <c r="G12" s="64"/>
      <c r="X12" s="20" t="e">
        <f t="shared" ref="X12:Z12" si="9">IF(#REF!&lt;&gt;"",IF(#REF!="A",0,#REF!),"")</f>
        <v>#REF!</v>
      </c>
      <c r="Y12" s="20" t="e">
        <f t="shared" si="9"/>
        <v>#REF!</v>
      </c>
      <c r="Z12" s="20" t="e">
        <f t="shared" si="9"/>
        <v>#REF!</v>
      </c>
      <c r="AB12" s="20">
        <f t="shared" si="3"/>
        <v>16</v>
      </c>
    </row>
    <row r="13" spans="1:28">
      <c r="A13" s="65">
        <f>Theory!A13</f>
        <v>8</v>
      </c>
      <c r="B13" s="65" t="str">
        <f>Theory!B13</f>
        <v>7376231EE109</v>
      </c>
      <c r="C13" s="66" t="str">
        <f>Theory!C13</f>
        <v>BHARANIDHARAN S</v>
      </c>
      <c r="D13" s="67">
        <f t="shared" si="0"/>
        <v>8</v>
      </c>
      <c r="E13" s="67">
        <f t="shared" si="1"/>
        <v>7</v>
      </c>
      <c r="F13" s="67">
        <f>Theory!G13</f>
        <v>15</v>
      </c>
      <c r="G13" s="64"/>
      <c r="X13" s="20" t="e">
        <f t="shared" ref="X13:Z13" si="10">IF(#REF!&lt;&gt;"",IF(#REF!="A",0,#REF!),"")</f>
        <v>#REF!</v>
      </c>
      <c r="Y13" s="20" t="e">
        <f t="shared" si="10"/>
        <v>#REF!</v>
      </c>
      <c r="Z13" s="20" t="e">
        <f t="shared" si="10"/>
        <v>#REF!</v>
      </c>
      <c r="AB13" s="20">
        <f t="shared" si="3"/>
        <v>15</v>
      </c>
    </row>
    <row r="14" spans="1:28">
      <c r="A14" s="65">
        <f>Theory!A14</f>
        <v>9</v>
      </c>
      <c r="B14" s="65" t="str">
        <f>Theory!B14</f>
        <v>7376231EE110</v>
      </c>
      <c r="C14" s="66" t="str">
        <f>Theory!C14</f>
        <v>DEEPTHI A</v>
      </c>
      <c r="D14" s="67">
        <f t="shared" si="0"/>
        <v>8</v>
      </c>
      <c r="E14" s="67">
        <f t="shared" si="1"/>
        <v>8</v>
      </c>
      <c r="F14" s="67">
        <f>Theory!G14</f>
        <v>16</v>
      </c>
      <c r="G14" s="64"/>
      <c r="X14" s="20" t="e">
        <f t="shared" ref="X14:Z14" si="11">IF(#REF!&lt;&gt;"",IF(#REF!="A",0,#REF!),"")</f>
        <v>#REF!</v>
      </c>
      <c r="Y14" s="20" t="e">
        <f t="shared" si="11"/>
        <v>#REF!</v>
      </c>
      <c r="Z14" s="20" t="e">
        <f t="shared" si="11"/>
        <v>#REF!</v>
      </c>
      <c r="AB14" s="20">
        <f t="shared" si="3"/>
        <v>16</v>
      </c>
    </row>
    <row r="15" spans="1:28">
      <c r="A15" s="65">
        <f>Theory!A15</f>
        <v>10</v>
      </c>
      <c r="B15" s="65" t="str">
        <f>Theory!B15</f>
        <v>7376231EE111</v>
      </c>
      <c r="C15" s="66" t="str">
        <f>Theory!C15</f>
        <v>DEPEN T</v>
      </c>
      <c r="D15" s="67">
        <f t="shared" si="0"/>
        <v>2</v>
      </c>
      <c r="E15" s="67">
        <f t="shared" si="1"/>
        <v>1</v>
      </c>
      <c r="F15" s="67">
        <f>Theory!G15</f>
        <v>3</v>
      </c>
      <c r="G15" s="64"/>
      <c r="X15" s="20" t="e">
        <f t="shared" ref="X15:Z15" si="12">IF(#REF!&lt;&gt;"",IF(#REF!="A",0,#REF!),"")</f>
        <v>#REF!</v>
      </c>
      <c r="Y15" s="20" t="e">
        <f t="shared" si="12"/>
        <v>#REF!</v>
      </c>
      <c r="Z15" s="20" t="e">
        <f t="shared" si="12"/>
        <v>#REF!</v>
      </c>
      <c r="AB15" s="20">
        <f t="shared" si="3"/>
        <v>3</v>
      </c>
    </row>
    <row r="16" spans="1:28" ht="30">
      <c r="A16" s="65">
        <f>Theory!A16</f>
        <v>11</v>
      </c>
      <c r="B16" s="65" t="str">
        <f>Theory!B16</f>
        <v>7376231EE112</v>
      </c>
      <c r="C16" s="66" t="str">
        <f>Theory!C16</f>
        <v>DHANUSHA CHITRA PALANISAMY</v>
      </c>
      <c r="D16" s="67">
        <f t="shared" si="0"/>
        <v>7</v>
      </c>
      <c r="E16" s="67">
        <f t="shared" si="1"/>
        <v>6</v>
      </c>
      <c r="F16" s="67">
        <f>Theory!G16</f>
        <v>13</v>
      </c>
      <c r="G16" s="64"/>
      <c r="X16" s="20" t="e">
        <f t="shared" ref="X16:Z16" si="13">IF(#REF!&lt;&gt;"",IF(#REF!="A",0,#REF!),"")</f>
        <v>#REF!</v>
      </c>
      <c r="Y16" s="20" t="e">
        <f t="shared" si="13"/>
        <v>#REF!</v>
      </c>
      <c r="Z16" s="20" t="e">
        <f t="shared" si="13"/>
        <v>#REF!</v>
      </c>
      <c r="AB16" s="20">
        <f t="shared" si="3"/>
        <v>13</v>
      </c>
    </row>
    <row r="17" spans="1:28">
      <c r="A17" s="65">
        <f>Theory!A17</f>
        <v>12</v>
      </c>
      <c r="B17" s="65" t="str">
        <f>Theory!B17</f>
        <v>7376231EE113</v>
      </c>
      <c r="C17" s="66" t="str">
        <f>Theory!C17</f>
        <v>DHARSHINI M</v>
      </c>
      <c r="D17" s="67">
        <f t="shared" si="0"/>
        <v>8</v>
      </c>
      <c r="E17" s="67">
        <f t="shared" si="1"/>
        <v>7</v>
      </c>
      <c r="F17" s="67">
        <f>Theory!G17</f>
        <v>15</v>
      </c>
      <c r="G17" s="64"/>
      <c r="X17" s="20" t="e">
        <f t="shared" ref="X17:Z17" si="14">IF(#REF!&lt;&gt;"",IF(#REF!="A",0,#REF!),"")</f>
        <v>#REF!</v>
      </c>
      <c r="Y17" s="20" t="e">
        <f t="shared" si="14"/>
        <v>#REF!</v>
      </c>
      <c r="Z17" s="20" t="e">
        <f t="shared" si="14"/>
        <v>#REF!</v>
      </c>
      <c r="AB17" s="20">
        <f t="shared" si="3"/>
        <v>15</v>
      </c>
    </row>
    <row r="18" spans="1:28">
      <c r="A18" s="65">
        <f>Theory!A18</f>
        <v>13</v>
      </c>
      <c r="B18" s="65" t="str">
        <f>Theory!B18</f>
        <v>7376231EE114</v>
      </c>
      <c r="C18" s="66" t="str">
        <f>Theory!C18</f>
        <v>DHILIP M V</v>
      </c>
      <c r="D18" s="67">
        <f t="shared" si="0"/>
        <v>6</v>
      </c>
      <c r="E18" s="67">
        <f t="shared" si="1"/>
        <v>5</v>
      </c>
      <c r="F18" s="67">
        <f>Theory!G18</f>
        <v>11</v>
      </c>
      <c r="G18" s="64"/>
      <c r="X18" s="20" t="e">
        <f t="shared" ref="X18:Z18" si="15">IF(#REF!&lt;&gt;"",IF(#REF!="A",0,#REF!),"")</f>
        <v>#REF!</v>
      </c>
      <c r="Y18" s="20" t="e">
        <f t="shared" si="15"/>
        <v>#REF!</v>
      </c>
      <c r="Z18" s="20" t="e">
        <f t="shared" si="15"/>
        <v>#REF!</v>
      </c>
      <c r="AB18" s="20">
        <f t="shared" si="3"/>
        <v>11</v>
      </c>
    </row>
    <row r="19" spans="1:28">
      <c r="A19" s="65">
        <f>Theory!A19</f>
        <v>14</v>
      </c>
      <c r="B19" s="65" t="str">
        <f>Theory!B19</f>
        <v>7376231EE115</v>
      </c>
      <c r="C19" s="66" t="str">
        <f>Theory!C19</f>
        <v>DHIVA R</v>
      </c>
      <c r="D19" s="67">
        <f t="shared" si="0"/>
        <v>5</v>
      </c>
      <c r="E19" s="67">
        <f t="shared" si="1"/>
        <v>4</v>
      </c>
      <c r="F19" s="67">
        <f>Theory!G19</f>
        <v>9</v>
      </c>
      <c r="G19" s="64"/>
      <c r="X19" s="20" t="e">
        <f t="shared" ref="X19:Z19" si="16">IF(#REF!&lt;&gt;"",IF(#REF!="A",0,#REF!),"")</f>
        <v>#REF!</v>
      </c>
      <c r="Y19" s="20" t="e">
        <f t="shared" si="16"/>
        <v>#REF!</v>
      </c>
      <c r="Z19" s="20" t="e">
        <f t="shared" si="16"/>
        <v>#REF!</v>
      </c>
      <c r="AB19" s="20">
        <f t="shared" si="3"/>
        <v>9</v>
      </c>
    </row>
    <row r="20" spans="1:28">
      <c r="A20" s="65">
        <f>Theory!A20</f>
        <v>15</v>
      </c>
      <c r="B20" s="65" t="str">
        <f>Theory!B20</f>
        <v>7376231EE116</v>
      </c>
      <c r="C20" s="66" t="str">
        <f>Theory!C20</f>
        <v>GOWTHAM M</v>
      </c>
      <c r="D20" s="67">
        <f t="shared" si="0"/>
        <v>6</v>
      </c>
      <c r="E20" s="67">
        <f t="shared" si="1"/>
        <v>6</v>
      </c>
      <c r="F20" s="67">
        <f>Theory!G20</f>
        <v>12</v>
      </c>
      <c r="G20" s="64"/>
      <c r="X20" s="20" t="e">
        <f t="shared" ref="X20:Z20" si="17">IF(#REF!&lt;&gt;"",IF(#REF!="A",0,#REF!),"")</f>
        <v>#REF!</v>
      </c>
      <c r="Y20" s="20" t="e">
        <f t="shared" si="17"/>
        <v>#REF!</v>
      </c>
      <c r="Z20" s="20" t="e">
        <f t="shared" si="17"/>
        <v>#REF!</v>
      </c>
      <c r="AB20" s="20">
        <f t="shared" si="3"/>
        <v>12</v>
      </c>
    </row>
    <row r="21" spans="1:28" ht="15.75" customHeight="1">
      <c r="A21" s="65">
        <f>Theory!A21</f>
        <v>16</v>
      </c>
      <c r="B21" s="65" t="str">
        <f>Theory!B21</f>
        <v>7376231EE117</v>
      </c>
      <c r="C21" s="66" t="str">
        <f>Theory!C21</f>
        <v>GOWTHAM T</v>
      </c>
      <c r="D21" s="67">
        <f t="shared" si="0"/>
        <v>8</v>
      </c>
      <c r="E21" s="67">
        <f t="shared" si="1"/>
        <v>7</v>
      </c>
      <c r="F21" s="67">
        <f>Theory!G21</f>
        <v>15</v>
      </c>
      <c r="G21" s="64"/>
      <c r="X21" s="20" t="e">
        <f t="shared" ref="X21:Z21" si="18">IF(#REF!&lt;&gt;"",IF(#REF!="A",0,#REF!),"")</f>
        <v>#REF!</v>
      </c>
      <c r="Y21" s="20" t="e">
        <f t="shared" si="18"/>
        <v>#REF!</v>
      </c>
      <c r="Z21" s="20" t="e">
        <f t="shared" si="18"/>
        <v>#REF!</v>
      </c>
      <c r="AB21" s="20">
        <f t="shared" si="3"/>
        <v>15</v>
      </c>
    </row>
    <row r="22" spans="1:28" ht="15.75" customHeight="1">
      <c r="A22" s="65">
        <f>Theory!A22</f>
        <v>17</v>
      </c>
      <c r="B22" s="65" t="str">
        <f>Theory!B22</f>
        <v>7376231EE118</v>
      </c>
      <c r="C22" s="66" t="str">
        <f>Theory!C22</f>
        <v>HARIKRISHNA N</v>
      </c>
      <c r="D22" s="67">
        <f t="shared" si="0"/>
        <v>7</v>
      </c>
      <c r="E22" s="67">
        <f t="shared" si="1"/>
        <v>7</v>
      </c>
      <c r="F22" s="67">
        <f>Theory!G22</f>
        <v>14</v>
      </c>
      <c r="G22" s="64"/>
      <c r="X22" s="20" t="e">
        <f t="shared" ref="X22:Z22" si="19">IF(#REF!&lt;&gt;"",IF(#REF!="A",0,#REF!),"")</f>
        <v>#REF!</v>
      </c>
      <c r="Y22" s="20" t="e">
        <f t="shared" si="19"/>
        <v>#REF!</v>
      </c>
      <c r="Z22" s="20" t="e">
        <f t="shared" si="19"/>
        <v>#REF!</v>
      </c>
      <c r="AB22" s="20">
        <f t="shared" si="3"/>
        <v>14</v>
      </c>
    </row>
    <row r="23" spans="1:28" ht="15.75" customHeight="1">
      <c r="A23" s="65">
        <f>Theory!A23</f>
        <v>18</v>
      </c>
      <c r="B23" s="65" t="str">
        <f>Theory!B23</f>
        <v>7376231EE119</v>
      </c>
      <c r="C23" s="66" t="str">
        <f>Theory!C23</f>
        <v>HARINI K S</v>
      </c>
      <c r="D23" s="67">
        <f t="shared" si="0"/>
        <v>7</v>
      </c>
      <c r="E23" s="67">
        <f t="shared" si="1"/>
        <v>7</v>
      </c>
      <c r="F23" s="67">
        <f>Theory!G23</f>
        <v>14</v>
      </c>
      <c r="G23" s="64"/>
      <c r="X23" s="20" t="e">
        <f t="shared" ref="X23:Z23" si="20">IF(#REF!&lt;&gt;"",IF(#REF!="A",0,#REF!),"")</f>
        <v>#REF!</v>
      </c>
      <c r="Y23" s="20" t="e">
        <f t="shared" si="20"/>
        <v>#REF!</v>
      </c>
      <c r="Z23" s="20" t="e">
        <f t="shared" si="20"/>
        <v>#REF!</v>
      </c>
      <c r="AB23" s="20">
        <f t="shared" si="3"/>
        <v>14</v>
      </c>
    </row>
    <row r="24" spans="1:28" ht="15.75" customHeight="1">
      <c r="A24" s="65">
        <f>Theory!A24</f>
        <v>19</v>
      </c>
      <c r="B24" s="65" t="str">
        <f>Theory!B24</f>
        <v>7376231EE120</v>
      </c>
      <c r="C24" s="66" t="str">
        <f>Theory!C24</f>
        <v>JANANI N</v>
      </c>
      <c r="D24" s="67">
        <f t="shared" si="0"/>
        <v>8</v>
      </c>
      <c r="E24" s="67">
        <f t="shared" si="1"/>
        <v>7</v>
      </c>
      <c r="F24" s="67">
        <f>Theory!G24</f>
        <v>15</v>
      </c>
      <c r="G24" s="64"/>
      <c r="X24" s="20" t="e">
        <f t="shared" ref="X24:Z24" si="21">IF(#REF!&lt;&gt;"",IF(#REF!="A",0,#REF!),"")</f>
        <v>#REF!</v>
      </c>
      <c r="Y24" s="20" t="e">
        <f t="shared" si="21"/>
        <v>#REF!</v>
      </c>
      <c r="Z24" s="20" t="e">
        <f t="shared" si="21"/>
        <v>#REF!</v>
      </c>
      <c r="AB24" s="20">
        <f t="shared" si="3"/>
        <v>15</v>
      </c>
    </row>
    <row r="25" spans="1:28" ht="15.75" customHeight="1">
      <c r="A25" s="65">
        <f>Theory!A25</f>
        <v>20</v>
      </c>
      <c r="B25" s="65" t="str">
        <f>Theory!B25</f>
        <v>7376231EE121</v>
      </c>
      <c r="C25" s="66" t="str">
        <f>Theory!C25</f>
        <v>JEBASTIN JOSEPH PAUL J</v>
      </c>
      <c r="D25" s="67">
        <f t="shared" si="0"/>
        <v>8</v>
      </c>
      <c r="E25" s="67">
        <f t="shared" si="1"/>
        <v>8</v>
      </c>
      <c r="F25" s="67">
        <f>Theory!G25</f>
        <v>16</v>
      </c>
      <c r="G25" s="64"/>
      <c r="X25" s="20" t="e">
        <f t="shared" ref="X25:Z25" si="22">IF(#REF!&lt;&gt;"",IF(#REF!="A",0,#REF!),"")</f>
        <v>#REF!</v>
      </c>
      <c r="Y25" s="20" t="e">
        <f t="shared" si="22"/>
        <v>#REF!</v>
      </c>
      <c r="Z25" s="20" t="e">
        <f t="shared" si="22"/>
        <v>#REF!</v>
      </c>
      <c r="AB25" s="20">
        <f t="shared" si="3"/>
        <v>16</v>
      </c>
    </row>
    <row r="26" spans="1:28" ht="15.75" customHeight="1">
      <c r="A26" s="65">
        <f>Theory!A26</f>
        <v>21</v>
      </c>
      <c r="B26" s="65" t="str">
        <f>Theory!B26</f>
        <v>7376231EE122</v>
      </c>
      <c r="C26" s="66" t="str">
        <f>Theory!C26</f>
        <v>JEEVITHA S</v>
      </c>
      <c r="D26" s="67">
        <f t="shared" si="0"/>
        <v>8</v>
      </c>
      <c r="E26" s="67">
        <f t="shared" si="1"/>
        <v>8</v>
      </c>
      <c r="F26" s="67">
        <f>Theory!G26</f>
        <v>16</v>
      </c>
      <c r="G26" s="64"/>
      <c r="X26" s="20" t="e">
        <f t="shared" ref="X26:Z26" si="23">IF(#REF!&lt;&gt;"",IF(#REF!="A",0,#REF!),"")</f>
        <v>#REF!</v>
      </c>
      <c r="Y26" s="20" t="e">
        <f t="shared" si="23"/>
        <v>#REF!</v>
      </c>
      <c r="Z26" s="20" t="e">
        <f t="shared" si="23"/>
        <v>#REF!</v>
      </c>
      <c r="AB26" s="20">
        <f t="shared" si="3"/>
        <v>16</v>
      </c>
    </row>
    <row r="27" spans="1:28" ht="15.75" customHeight="1">
      <c r="A27" s="65">
        <f>Theory!A27</f>
        <v>22</v>
      </c>
      <c r="B27" s="65" t="str">
        <f>Theory!B27</f>
        <v>7376231EE123</v>
      </c>
      <c r="C27" s="66" t="str">
        <f>Theory!C27</f>
        <v>KAMALESH A P</v>
      </c>
      <c r="D27" s="67">
        <f t="shared" si="0"/>
        <v>8</v>
      </c>
      <c r="E27" s="67">
        <f t="shared" si="1"/>
        <v>8</v>
      </c>
      <c r="F27" s="67">
        <f>Theory!G27</f>
        <v>16</v>
      </c>
      <c r="G27" s="64"/>
      <c r="X27" s="20" t="e">
        <f t="shared" ref="X27:Z27" si="24">IF(#REF!&lt;&gt;"",IF(#REF!="A",0,#REF!),"")</f>
        <v>#REF!</v>
      </c>
      <c r="Y27" s="20" t="e">
        <f t="shared" si="24"/>
        <v>#REF!</v>
      </c>
      <c r="Z27" s="20" t="e">
        <f t="shared" si="24"/>
        <v>#REF!</v>
      </c>
      <c r="AB27" s="20">
        <f t="shared" si="3"/>
        <v>16</v>
      </c>
    </row>
    <row r="28" spans="1:28" ht="15.75" customHeight="1">
      <c r="A28" s="65">
        <f>Theory!A28</f>
        <v>23</v>
      </c>
      <c r="B28" s="65" t="str">
        <f>Theory!B28</f>
        <v>7376231EE124</v>
      </c>
      <c r="C28" s="66" t="str">
        <f>Theory!C28</f>
        <v>KAMALESH VARMA V G</v>
      </c>
      <c r="D28" s="67">
        <f t="shared" si="0"/>
        <v>7</v>
      </c>
      <c r="E28" s="67">
        <f t="shared" si="1"/>
        <v>7</v>
      </c>
      <c r="F28" s="67">
        <f>Theory!G28</f>
        <v>14</v>
      </c>
      <c r="G28" s="64"/>
      <c r="X28" s="20" t="e">
        <f t="shared" ref="X28:Z28" si="25">IF(#REF!&lt;&gt;"",IF(#REF!="A",0,#REF!),"")</f>
        <v>#REF!</v>
      </c>
      <c r="Y28" s="20" t="e">
        <f t="shared" si="25"/>
        <v>#REF!</v>
      </c>
      <c r="Z28" s="20" t="e">
        <f t="shared" si="25"/>
        <v>#REF!</v>
      </c>
      <c r="AB28" s="20">
        <f t="shared" si="3"/>
        <v>14</v>
      </c>
    </row>
    <row r="29" spans="1:28" ht="15.75" customHeight="1">
      <c r="A29" s="65">
        <f>Theory!A29</f>
        <v>24</v>
      </c>
      <c r="B29" s="65" t="str">
        <f>Theory!B29</f>
        <v>7376231EE125</v>
      </c>
      <c r="C29" s="66" t="str">
        <f>Theory!C29</f>
        <v>KATHIR NITHESH R</v>
      </c>
      <c r="D29" s="67">
        <f t="shared" si="0"/>
        <v>8</v>
      </c>
      <c r="E29" s="67">
        <f t="shared" si="1"/>
        <v>7</v>
      </c>
      <c r="F29" s="67">
        <f>Theory!G29</f>
        <v>15</v>
      </c>
      <c r="G29" s="64"/>
      <c r="X29" s="20" t="e">
        <f t="shared" ref="X29:Z29" si="26">IF(#REF!&lt;&gt;"",IF(#REF!="A",0,#REF!),"")</f>
        <v>#REF!</v>
      </c>
      <c r="Y29" s="20" t="e">
        <f t="shared" si="26"/>
        <v>#REF!</v>
      </c>
      <c r="Z29" s="20" t="e">
        <f t="shared" si="26"/>
        <v>#REF!</v>
      </c>
      <c r="AB29" s="20">
        <f t="shared" si="3"/>
        <v>15</v>
      </c>
    </row>
    <row r="30" spans="1:28" ht="15.75" customHeight="1">
      <c r="A30" s="65">
        <f>Theory!A30</f>
        <v>25</v>
      </c>
      <c r="B30" s="65" t="str">
        <f>Theory!B30</f>
        <v>7376231EE126</v>
      </c>
      <c r="C30" s="66" t="str">
        <f>Theory!C30</f>
        <v>KAVITHA M</v>
      </c>
      <c r="D30" s="67">
        <f t="shared" si="0"/>
        <v>8</v>
      </c>
      <c r="E30" s="67">
        <f t="shared" si="1"/>
        <v>7</v>
      </c>
      <c r="F30" s="67">
        <f>Theory!G30</f>
        <v>15</v>
      </c>
    </row>
    <row r="31" spans="1:28" ht="15.75" customHeight="1">
      <c r="A31" s="65">
        <f>Theory!A31</f>
        <v>26</v>
      </c>
      <c r="B31" s="65" t="str">
        <f>Theory!B31</f>
        <v>7376231EE127</v>
      </c>
      <c r="C31" s="66" t="str">
        <f>Theory!C31</f>
        <v>KAVIYARASU V K</v>
      </c>
      <c r="D31" s="67">
        <f t="shared" si="0"/>
        <v>7</v>
      </c>
      <c r="E31" s="67">
        <f t="shared" si="1"/>
        <v>7</v>
      </c>
      <c r="F31" s="67">
        <f>Theory!G31</f>
        <v>14</v>
      </c>
    </row>
    <row r="32" spans="1:28" ht="15.75" customHeight="1">
      <c r="A32" s="65">
        <f>Theory!A32</f>
        <v>27</v>
      </c>
      <c r="B32" s="65" t="str">
        <f>Theory!B32</f>
        <v>7376231EE128</v>
      </c>
      <c r="C32" s="66" t="str">
        <f>Theory!C32</f>
        <v>KEERTHISANKAR S</v>
      </c>
      <c r="D32" s="67">
        <f t="shared" si="0"/>
        <v>5</v>
      </c>
      <c r="E32" s="67">
        <f t="shared" si="1"/>
        <v>5</v>
      </c>
      <c r="F32" s="67">
        <f>Theory!G32</f>
        <v>10</v>
      </c>
    </row>
    <row r="33" spans="1:6" ht="15.75" customHeight="1">
      <c r="A33" s="65">
        <f>Theory!A33</f>
        <v>28</v>
      </c>
      <c r="B33" s="65" t="str">
        <f>Theory!B33</f>
        <v>7376231EE129</v>
      </c>
      <c r="C33" s="66" t="str">
        <f>Theory!C33</f>
        <v>KEERTHIVASAN S</v>
      </c>
      <c r="D33" s="67">
        <f t="shared" si="0"/>
        <v>7</v>
      </c>
      <c r="E33" s="67">
        <f t="shared" si="1"/>
        <v>7</v>
      </c>
      <c r="F33" s="67">
        <f>Theory!G33</f>
        <v>14</v>
      </c>
    </row>
    <row r="34" spans="1:6" ht="15.75" customHeight="1">
      <c r="A34" s="65">
        <f>Theory!A34</f>
        <v>29</v>
      </c>
      <c r="B34" s="65" t="str">
        <f>Theory!B34</f>
        <v>7376231EE130</v>
      </c>
      <c r="C34" s="66" t="str">
        <f>Theory!C34</f>
        <v>KHAJA PARVEZ T</v>
      </c>
      <c r="D34" s="67">
        <f t="shared" si="0"/>
        <v>7</v>
      </c>
      <c r="E34" s="67">
        <f t="shared" si="1"/>
        <v>7</v>
      </c>
      <c r="F34" s="67">
        <f>Theory!G34</f>
        <v>14</v>
      </c>
    </row>
    <row r="35" spans="1:6" ht="15.75" customHeight="1">
      <c r="A35" s="65">
        <f>Theory!A35</f>
        <v>30</v>
      </c>
      <c r="B35" s="65" t="str">
        <f>Theory!B35</f>
        <v>7376231EE131</v>
      </c>
      <c r="C35" s="66" t="str">
        <f>Theory!C35</f>
        <v>KIRUBA O C</v>
      </c>
      <c r="D35" s="67">
        <f t="shared" si="0"/>
        <v>7</v>
      </c>
      <c r="E35" s="67">
        <f t="shared" si="1"/>
        <v>7</v>
      </c>
      <c r="F35" s="67">
        <f>Theory!G35</f>
        <v>14</v>
      </c>
    </row>
    <row r="36" spans="1:6" ht="15.75" customHeight="1">
      <c r="A36" s="65">
        <f>Theory!A36</f>
        <v>31</v>
      </c>
      <c r="B36" s="65" t="str">
        <f>Theory!B36</f>
        <v>7376231EE132</v>
      </c>
      <c r="C36" s="66" t="str">
        <f>Theory!C36</f>
        <v>KOWSHIK ARAVIND K S P</v>
      </c>
      <c r="D36" s="67">
        <f t="shared" si="0"/>
        <v>8</v>
      </c>
      <c r="E36" s="67">
        <f t="shared" si="1"/>
        <v>8</v>
      </c>
      <c r="F36" s="67">
        <f>Theory!G36</f>
        <v>16</v>
      </c>
    </row>
    <row r="37" spans="1:6" ht="15.75" customHeight="1">
      <c r="A37" s="65">
        <f>Theory!A37</f>
        <v>32</v>
      </c>
      <c r="B37" s="65" t="str">
        <f>Theory!B37</f>
        <v>7376231EE133</v>
      </c>
      <c r="C37" s="66" t="str">
        <f>Theory!C37</f>
        <v>MANEESH D</v>
      </c>
      <c r="D37" s="67">
        <f t="shared" si="0"/>
        <v>6</v>
      </c>
      <c r="E37" s="67">
        <f t="shared" si="1"/>
        <v>6</v>
      </c>
      <c r="F37" s="67">
        <f>Theory!G37</f>
        <v>12</v>
      </c>
    </row>
    <row r="38" spans="1:6" ht="15.75" customHeight="1">
      <c r="A38" s="65">
        <f>Theory!A38</f>
        <v>33</v>
      </c>
      <c r="B38" s="65" t="str">
        <f>Theory!B38</f>
        <v>7376231EE134</v>
      </c>
      <c r="C38" s="66" t="str">
        <f>Theory!C38</f>
        <v>MATHIYARASI K</v>
      </c>
      <c r="D38" s="67">
        <f t="shared" si="0"/>
        <v>8</v>
      </c>
      <c r="E38" s="67">
        <f t="shared" si="1"/>
        <v>7</v>
      </c>
      <c r="F38" s="67">
        <f>Theory!G38</f>
        <v>15</v>
      </c>
    </row>
    <row r="39" spans="1:6" ht="15.75" customHeight="1">
      <c r="A39" s="65">
        <f>Theory!A39</f>
        <v>34</v>
      </c>
      <c r="B39" s="65" t="str">
        <f>Theory!B39</f>
        <v>7376231EE135</v>
      </c>
      <c r="C39" s="66" t="str">
        <f>Theory!C39</f>
        <v>MAURYA A S</v>
      </c>
      <c r="D39" s="67">
        <f t="shared" si="0"/>
        <v>8</v>
      </c>
      <c r="E39" s="67">
        <f t="shared" si="1"/>
        <v>8</v>
      </c>
      <c r="F39" s="67">
        <f>Theory!G39</f>
        <v>16</v>
      </c>
    </row>
    <row r="40" spans="1:6" ht="15.75" customHeight="1">
      <c r="A40" s="65">
        <f>Theory!A40</f>
        <v>35</v>
      </c>
      <c r="B40" s="65" t="str">
        <f>Theory!B40</f>
        <v>7376231EE136</v>
      </c>
      <c r="C40" s="66" t="str">
        <f>Theory!C40</f>
        <v>MITHUN P P</v>
      </c>
      <c r="D40" s="67">
        <f t="shared" si="0"/>
        <v>8</v>
      </c>
      <c r="E40" s="67">
        <f t="shared" si="1"/>
        <v>7</v>
      </c>
      <c r="F40" s="67">
        <f>Theory!G40</f>
        <v>15</v>
      </c>
    </row>
    <row r="41" spans="1:6" ht="15.75" customHeight="1">
      <c r="A41" s="65">
        <f>Theory!A41</f>
        <v>36</v>
      </c>
      <c r="B41" s="65" t="str">
        <f>Theory!B41</f>
        <v>7376231EE137</v>
      </c>
      <c r="C41" s="66" t="str">
        <f>Theory!C41</f>
        <v>MOHAN PRASANTH N</v>
      </c>
      <c r="D41" s="67">
        <f t="shared" si="0"/>
        <v>8</v>
      </c>
      <c r="E41" s="67">
        <f t="shared" si="1"/>
        <v>8</v>
      </c>
      <c r="F41" s="67">
        <f>Theory!G41</f>
        <v>16</v>
      </c>
    </row>
    <row r="42" spans="1:6" ht="15.75" customHeight="1">
      <c r="A42" s="65">
        <f>Theory!A42</f>
        <v>37</v>
      </c>
      <c r="B42" s="65" t="str">
        <f>Theory!B42</f>
        <v>7376231EE138</v>
      </c>
      <c r="C42" s="66" t="str">
        <f>Theory!C42</f>
        <v>MONIKA S</v>
      </c>
      <c r="D42" s="67">
        <f t="shared" si="0"/>
        <v>8</v>
      </c>
      <c r="E42" s="67">
        <f t="shared" si="1"/>
        <v>7</v>
      </c>
      <c r="F42" s="67">
        <f>Theory!G42</f>
        <v>15</v>
      </c>
    </row>
    <row r="43" spans="1:6" ht="15.75" customHeight="1">
      <c r="A43" s="65">
        <f>Theory!A43</f>
        <v>38</v>
      </c>
      <c r="B43" s="65" t="str">
        <f>Theory!B43</f>
        <v>7376231EE139</v>
      </c>
      <c r="C43" s="66" t="str">
        <f>Theory!C43</f>
        <v>MONISHWARAN R</v>
      </c>
      <c r="D43" s="67">
        <f t="shared" si="0"/>
        <v>8</v>
      </c>
      <c r="E43" s="67">
        <f t="shared" si="1"/>
        <v>8</v>
      </c>
      <c r="F43" s="67">
        <f>Theory!G43</f>
        <v>16</v>
      </c>
    </row>
    <row r="44" spans="1:6" ht="15.75" customHeight="1">
      <c r="A44" s="65">
        <f>Theory!A44</f>
        <v>39</v>
      </c>
      <c r="B44" s="65" t="str">
        <f>Theory!B44</f>
        <v>7376231EE140</v>
      </c>
      <c r="C44" s="66" t="str">
        <f>Theory!C44</f>
        <v>NIKILESHKUMAR S</v>
      </c>
      <c r="D44" s="67">
        <f t="shared" si="0"/>
        <v>7</v>
      </c>
      <c r="E44" s="67">
        <f t="shared" si="1"/>
        <v>7</v>
      </c>
      <c r="F44" s="67">
        <f>Theory!G44</f>
        <v>14</v>
      </c>
    </row>
    <row r="45" spans="1:6" ht="15.75" customHeight="1">
      <c r="A45" s="65">
        <f>Theory!A45</f>
        <v>40</v>
      </c>
      <c r="B45" s="65" t="str">
        <f>Theory!B45</f>
        <v>7376231EE141</v>
      </c>
      <c r="C45" s="66" t="str">
        <f>Theory!C45</f>
        <v>NITHYA SHREE K A</v>
      </c>
      <c r="D45" s="67">
        <f t="shared" si="0"/>
        <v>8</v>
      </c>
      <c r="E45" s="67">
        <f t="shared" si="1"/>
        <v>7</v>
      </c>
      <c r="F45" s="67">
        <f>Theory!G45</f>
        <v>15</v>
      </c>
    </row>
    <row r="46" spans="1:6" ht="15.75" customHeight="1">
      <c r="A46" s="65">
        <f>Theory!A46</f>
        <v>41</v>
      </c>
      <c r="B46" s="65" t="str">
        <f>Theory!B46</f>
        <v>7376231EE142</v>
      </c>
      <c r="C46" s="66" t="str">
        <f>Theory!C46</f>
        <v>PRANAV T S S</v>
      </c>
      <c r="D46" s="67">
        <f t="shared" si="0"/>
        <v>8</v>
      </c>
      <c r="E46" s="67">
        <f t="shared" si="1"/>
        <v>8</v>
      </c>
      <c r="F46" s="67">
        <f>Theory!G46</f>
        <v>16</v>
      </c>
    </row>
    <row r="47" spans="1:6" ht="15.75" customHeight="1">
      <c r="A47" s="65">
        <f>Theory!A47</f>
        <v>42</v>
      </c>
      <c r="B47" s="65" t="str">
        <f>Theory!B47</f>
        <v>7376231EE143</v>
      </c>
      <c r="C47" s="66" t="str">
        <f>Theory!C47</f>
        <v>PRAVIN RAJ P</v>
      </c>
      <c r="D47" s="67">
        <f t="shared" si="0"/>
        <v>7</v>
      </c>
      <c r="E47" s="67">
        <f t="shared" si="1"/>
        <v>6</v>
      </c>
      <c r="F47" s="67">
        <f>Theory!G47</f>
        <v>13</v>
      </c>
    </row>
    <row r="48" spans="1:6" ht="15.75" customHeight="1">
      <c r="A48" s="65">
        <f>Theory!A48</f>
        <v>43</v>
      </c>
      <c r="B48" s="65" t="str">
        <f>Theory!B48</f>
        <v>7376231EE144</v>
      </c>
      <c r="C48" s="66" t="str">
        <f>Theory!C48</f>
        <v>PUNITHA S</v>
      </c>
      <c r="D48" s="67">
        <f t="shared" si="0"/>
        <v>7</v>
      </c>
      <c r="E48" s="67">
        <f t="shared" si="1"/>
        <v>7</v>
      </c>
      <c r="F48" s="67">
        <f>Theory!G48</f>
        <v>14</v>
      </c>
    </row>
    <row r="49" spans="1:6" ht="15.75" customHeight="1">
      <c r="A49" s="65">
        <f>Theory!A49</f>
        <v>44</v>
      </c>
      <c r="B49" s="65" t="str">
        <f>Theory!B49</f>
        <v>7376231EE145</v>
      </c>
      <c r="C49" s="66" t="str">
        <f>Theory!C49</f>
        <v>RAGUPATHI M</v>
      </c>
      <c r="D49" s="67">
        <f t="shared" si="0"/>
        <v>8</v>
      </c>
      <c r="E49" s="67">
        <f t="shared" si="1"/>
        <v>7</v>
      </c>
      <c r="F49" s="67">
        <f>Theory!G49</f>
        <v>15</v>
      </c>
    </row>
    <row r="50" spans="1:6" ht="15.75" customHeight="1">
      <c r="A50" s="65">
        <f>Theory!A50</f>
        <v>45</v>
      </c>
      <c r="B50" s="65" t="str">
        <f>Theory!B50</f>
        <v>7376231EE146</v>
      </c>
      <c r="C50" s="66" t="str">
        <f>Theory!C50</f>
        <v>RAJA PRADEEPA R</v>
      </c>
      <c r="D50" s="67">
        <f t="shared" si="0"/>
        <v>8</v>
      </c>
      <c r="E50" s="67">
        <f t="shared" si="1"/>
        <v>8</v>
      </c>
      <c r="F50" s="67">
        <f>Theory!G50</f>
        <v>16</v>
      </c>
    </row>
    <row r="51" spans="1:6" ht="15.75" customHeight="1">
      <c r="A51" s="65">
        <f>Theory!A51</f>
        <v>46</v>
      </c>
      <c r="B51" s="65" t="str">
        <f>Theory!B51</f>
        <v>7376231EE147</v>
      </c>
      <c r="C51" s="66" t="str">
        <f>Theory!C51</f>
        <v>ROHITH M</v>
      </c>
      <c r="D51" s="67">
        <f t="shared" si="0"/>
        <v>7</v>
      </c>
      <c r="E51" s="67">
        <f t="shared" si="1"/>
        <v>7</v>
      </c>
      <c r="F51" s="67">
        <f>Theory!G51</f>
        <v>14</v>
      </c>
    </row>
    <row r="52" spans="1:6" ht="15.75" customHeight="1">
      <c r="A52" s="65">
        <f>Theory!A52</f>
        <v>47</v>
      </c>
      <c r="B52" s="65" t="str">
        <f>Theory!B52</f>
        <v>7376231EE148</v>
      </c>
      <c r="C52" s="66" t="str">
        <f>Theory!C52</f>
        <v>SANTHIYA V</v>
      </c>
      <c r="D52" s="67">
        <f t="shared" si="0"/>
        <v>8</v>
      </c>
      <c r="E52" s="67">
        <f t="shared" si="1"/>
        <v>7</v>
      </c>
      <c r="F52" s="67">
        <f>Theory!G52</f>
        <v>15</v>
      </c>
    </row>
    <row r="53" spans="1:6" ht="15.75" customHeight="1">
      <c r="A53" s="65">
        <f>Theory!A53</f>
        <v>48</v>
      </c>
      <c r="B53" s="65" t="str">
        <f>Theory!B53</f>
        <v>7376231EE149</v>
      </c>
      <c r="C53" s="66" t="str">
        <f>Theory!C53</f>
        <v>SANTHOSH V</v>
      </c>
      <c r="D53" s="67">
        <f t="shared" si="0"/>
        <v>5</v>
      </c>
      <c r="E53" s="67">
        <f t="shared" si="1"/>
        <v>4</v>
      </c>
      <c r="F53" s="67">
        <f>Theory!G53</f>
        <v>9</v>
      </c>
    </row>
    <row r="54" spans="1:6" ht="15.75" customHeight="1">
      <c r="A54" s="65">
        <f>Theory!A54</f>
        <v>49</v>
      </c>
      <c r="B54" s="65" t="str">
        <f>Theory!B54</f>
        <v>7376231EE150</v>
      </c>
      <c r="C54" s="66" t="str">
        <f>Theory!C54</f>
        <v>SARAN R</v>
      </c>
      <c r="D54" s="67">
        <f t="shared" si="0"/>
        <v>5</v>
      </c>
      <c r="E54" s="67">
        <f t="shared" si="1"/>
        <v>4</v>
      </c>
      <c r="F54" s="67">
        <f>Theory!G54</f>
        <v>9</v>
      </c>
    </row>
    <row r="55" spans="1:6" ht="15.75" customHeight="1">
      <c r="A55" s="65">
        <f>Theory!A55</f>
        <v>50</v>
      </c>
      <c r="B55" s="65" t="str">
        <f>Theory!B55</f>
        <v>7376231EE151</v>
      </c>
      <c r="C55" s="66" t="str">
        <f>Theory!C55</f>
        <v>SARVESH K</v>
      </c>
      <c r="D55" s="67">
        <f t="shared" si="0"/>
        <v>4</v>
      </c>
      <c r="E55" s="67">
        <f t="shared" si="1"/>
        <v>4</v>
      </c>
      <c r="F55" s="67">
        <f>Theory!G55</f>
        <v>8</v>
      </c>
    </row>
    <row r="56" spans="1:6" ht="15.75" customHeight="1">
      <c r="A56" s="65">
        <f>Theory!A56</f>
        <v>51</v>
      </c>
      <c r="B56" s="65" t="str">
        <f>Theory!B56</f>
        <v>7376231EE152</v>
      </c>
      <c r="C56" s="66" t="str">
        <f>Theory!C56</f>
        <v>SHREE SUBI G</v>
      </c>
      <c r="D56" s="67">
        <f t="shared" si="0"/>
        <v>8</v>
      </c>
      <c r="E56" s="67">
        <f t="shared" si="1"/>
        <v>7</v>
      </c>
      <c r="F56" s="67">
        <f>Theory!G56</f>
        <v>15</v>
      </c>
    </row>
    <row r="57" spans="1:6" ht="15.75" customHeight="1">
      <c r="A57" s="65">
        <f>Theory!A57</f>
        <v>52</v>
      </c>
      <c r="B57" s="65" t="str">
        <f>Theory!B57</f>
        <v>7376231EE153</v>
      </c>
      <c r="C57" s="66" t="str">
        <f>Theory!C57</f>
        <v>SIVA P</v>
      </c>
      <c r="D57" s="67">
        <f t="shared" si="0"/>
        <v>7</v>
      </c>
      <c r="E57" s="67">
        <f t="shared" si="1"/>
        <v>7</v>
      </c>
      <c r="F57" s="67">
        <f>Theory!G57</f>
        <v>14</v>
      </c>
    </row>
    <row r="58" spans="1:6" ht="15.75" customHeight="1">
      <c r="A58" s="65">
        <f>Theory!A58</f>
        <v>53</v>
      </c>
      <c r="B58" s="65" t="str">
        <f>Theory!B58</f>
        <v>7376231EE154</v>
      </c>
      <c r="C58" s="66" t="str">
        <f>Theory!C58</f>
        <v>SOWKANDHIKA M</v>
      </c>
      <c r="D58" s="67">
        <f t="shared" si="0"/>
        <v>8</v>
      </c>
      <c r="E58" s="67">
        <f t="shared" si="1"/>
        <v>7</v>
      </c>
      <c r="F58" s="67">
        <f>Theory!G58</f>
        <v>15</v>
      </c>
    </row>
    <row r="59" spans="1:6" ht="15.75" customHeight="1">
      <c r="A59" s="65">
        <f>Theory!A59</f>
        <v>54</v>
      </c>
      <c r="B59" s="65" t="str">
        <f>Theory!B59</f>
        <v>7376231EE155</v>
      </c>
      <c r="C59" s="66" t="str">
        <f>Theory!C59</f>
        <v>SRI BALAJI S</v>
      </c>
      <c r="D59" s="67">
        <f t="shared" si="0"/>
        <v>7</v>
      </c>
      <c r="E59" s="67">
        <f t="shared" si="1"/>
        <v>6</v>
      </c>
      <c r="F59" s="67">
        <f>Theory!G59</f>
        <v>13</v>
      </c>
    </row>
    <row r="60" spans="1:6" ht="15.75" customHeight="1">
      <c r="A60" s="65">
        <f>Theory!A60</f>
        <v>55</v>
      </c>
      <c r="B60" s="65" t="str">
        <f>Theory!B60</f>
        <v>7376231EE156</v>
      </c>
      <c r="C60" s="66" t="str">
        <f>Theory!C60</f>
        <v>SUBASRI N</v>
      </c>
      <c r="D60" s="67">
        <f t="shared" si="0"/>
        <v>8</v>
      </c>
      <c r="E60" s="67">
        <f t="shared" si="1"/>
        <v>8</v>
      </c>
      <c r="F60" s="67">
        <f>Theory!G60</f>
        <v>16</v>
      </c>
    </row>
    <row r="61" spans="1:6" ht="15.75" customHeight="1">
      <c r="A61" s="65">
        <f>Theory!A61</f>
        <v>56</v>
      </c>
      <c r="B61" s="65" t="str">
        <f>Theory!B61</f>
        <v>7376231EE157</v>
      </c>
      <c r="C61" s="66" t="str">
        <f>Theory!C61</f>
        <v>THARUNYA S T</v>
      </c>
      <c r="D61" s="67">
        <f t="shared" si="0"/>
        <v>8</v>
      </c>
      <c r="E61" s="67">
        <f t="shared" si="1"/>
        <v>8</v>
      </c>
      <c r="F61" s="67">
        <f>Theory!G61</f>
        <v>16</v>
      </c>
    </row>
    <row r="62" spans="1:6" ht="15.75" customHeight="1">
      <c r="A62" s="65">
        <f>Theory!A62</f>
        <v>57</v>
      </c>
      <c r="B62" s="65" t="str">
        <f>Theory!B62</f>
        <v>7376231EE158</v>
      </c>
      <c r="C62" s="66" t="str">
        <f>Theory!C62</f>
        <v>VEDARISHABAA J</v>
      </c>
      <c r="D62" s="67">
        <f t="shared" si="0"/>
        <v>6</v>
      </c>
      <c r="E62" s="67">
        <f t="shared" si="1"/>
        <v>6</v>
      </c>
      <c r="F62" s="67">
        <f>Theory!G62</f>
        <v>12</v>
      </c>
    </row>
    <row r="63" spans="1:6" ht="15.75" customHeight="1">
      <c r="A63" s="65">
        <f>Theory!A63</f>
        <v>58</v>
      </c>
      <c r="B63" s="65" t="str">
        <f>Theory!B63</f>
        <v>7376231EE159</v>
      </c>
      <c r="C63" s="66" t="str">
        <f>Theory!C63</f>
        <v>VISHNU V</v>
      </c>
      <c r="D63" s="67">
        <f t="shared" si="0"/>
        <v>6</v>
      </c>
      <c r="E63" s="67">
        <f t="shared" si="1"/>
        <v>5</v>
      </c>
      <c r="F63" s="67">
        <f>Theory!G63</f>
        <v>11</v>
      </c>
    </row>
    <row r="64" spans="1:6" ht="15.75" customHeight="1">
      <c r="A64" s="65">
        <f>Theory!A64</f>
        <v>59</v>
      </c>
      <c r="B64" s="65" t="str">
        <f>Theory!B64</f>
        <v>7376231EE160</v>
      </c>
      <c r="C64" s="66" t="str">
        <f>Theory!C64</f>
        <v>VISHNUTHARAN K</v>
      </c>
      <c r="D64" s="67">
        <f t="shared" si="0"/>
        <v>6</v>
      </c>
      <c r="E64" s="67">
        <f t="shared" si="1"/>
        <v>5</v>
      </c>
      <c r="F64" s="67">
        <f>Theory!G64</f>
        <v>11</v>
      </c>
    </row>
    <row r="65" spans="1:6" ht="15.75" customHeight="1">
      <c r="A65" s="65">
        <f>Theory!A65</f>
        <v>60</v>
      </c>
      <c r="B65" s="65" t="str">
        <f>Theory!B65</f>
        <v>7376231EE161</v>
      </c>
      <c r="C65" s="66" t="str">
        <f>Theory!C65</f>
        <v>YUVASHRI J</v>
      </c>
      <c r="D65" s="67">
        <f t="shared" si="0"/>
        <v>7</v>
      </c>
      <c r="E65" s="67">
        <f t="shared" si="1"/>
        <v>7</v>
      </c>
      <c r="F65" s="67">
        <f>Theory!G65</f>
        <v>14</v>
      </c>
    </row>
    <row r="66" spans="1:6" ht="15.75" customHeight="1">
      <c r="A66" s="65">
        <f>Theory!A66</f>
        <v>61</v>
      </c>
      <c r="B66" s="65" t="str">
        <f>Theory!B66</f>
        <v>7376241EE501</v>
      </c>
      <c r="C66" s="66" t="str">
        <f>Theory!C66</f>
        <v>JEEVA PRAKASH S</v>
      </c>
      <c r="D66" s="67">
        <f t="shared" si="0"/>
        <v>6</v>
      </c>
      <c r="E66" s="67">
        <f t="shared" si="1"/>
        <v>6</v>
      </c>
      <c r="F66" s="67">
        <f>Theory!G66</f>
        <v>12</v>
      </c>
    </row>
    <row r="67" spans="1:6" ht="15.75" customHeight="1">
      <c r="A67" s="65">
        <f>Theory!A67</f>
        <v>62</v>
      </c>
      <c r="B67" s="65" t="str">
        <f>Theory!B67</f>
        <v>7376241EE502</v>
      </c>
      <c r="C67" s="66" t="str">
        <f>Theory!C67</f>
        <v>KANISHK S J</v>
      </c>
      <c r="D67" s="67">
        <f t="shared" si="0"/>
        <v>4</v>
      </c>
      <c r="E67" s="67">
        <f t="shared" si="1"/>
        <v>3</v>
      </c>
      <c r="F67" s="67">
        <f>Theory!G67</f>
        <v>7</v>
      </c>
    </row>
    <row r="68" spans="1:6" ht="15.75" customHeight="1">
      <c r="A68" s="65">
        <f>Theory!A68</f>
        <v>63</v>
      </c>
      <c r="B68" s="65" t="str">
        <f>Theory!B68</f>
        <v>7376241EE503</v>
      </c>
      <c r="C68" s="66" t="str">
        <f>Theory!C68</f>
        <v>RANJITH R</v>
      </c>
      <c r="D68" s="67">
        <f t="shared" si="0"/>
        <v>5</v>
      </c>
      <c r="E68" s="67">
        <f t="shared" si="1"/>
        <v>4</v>
      </c>
      <c r="F68" s="67">
        <f>Theory!G68</f>
        <v>9</v>
      </c>
    </row>
    <row r="69" spans="1:6" ht="15.75" customHeight="1">
      <c r="A69" s="65">
        <f>Theory!A69</f>
        <v>64</v>
      </c>
      <c r="B69" s="65" t="str">
        <f>Theory!B69</f>
        <v>7376241EE504</v>
      </c>
      <c r="C69" s="66" t="str">
        <f>Theory!C69</f>
        <v>SELVA LATHISH S</v>
      </c>
      <c r="D69" s="67">
        <f t="shared" si="0"/>
        <v>7</v>
      </c>
      <c r="E69" s="67">
        <f t="shared" si="1"/>
        <v>6</v>
      </c>
      <c r="F69" s="67">
        <f>Theory!G69</f>
        <v>13</v>
      </c>
    </row>
    <row r="70" spans="1:6" ht="15.75" customHeight="1">
      <c r="A70" s="65">
        <f>Theory!A70</f>
        <v>65</v>
      </c>
      <c r="B70" s="65" t="str">
        <f>Theory!B70</f>
        <v>7376241EE505</v>
      </c>
      <c r="C70" s="66" t="str">
        <f>Theory!C70</f>
        <v>VASUKI A S</v>
      </c>
      <c r="D70" s="67">
        <f t="shared" si="0"/>
        <v>6</v>
      </c>
      <c r="E70" s="67">
        <f t="shared" si="1"/>
        <v>5</v>
      </c>
      <c r="F70" s="67">
        <f>Theory!G70</f>
        <v>11</v>
      </c>
    </row>
    <row r="71" spans="1:6" ht="15.75" customHeight="1">
      <c r="A71" s="65">
        <f>Theory!A71</f>
        <v>66</v>
      </c>
      <c r="B71" s="65" t="str">
        <f>Theory!B71</f>
        <v>7376241EE506</v>
      </c>
      <c r="C71" s="66" t="str">
        <f>Theory!C71</f>
        <v>VELU PRABHAKARAN M</v>
      </c>
      <c r="D71" s="67">
        <f t="shared" si="0"/>
        <v>7</v>
      </c>
      <c r="E71" s="67">
        <f t="shared" si="1"/>
        <v>7</v>
      </c>
      <c r="F71" s="67">
        <f>Theory!G71</f>
        <v>14</v>
      </c>
    </row>
    <row r="72" spans="1:6" ht="15.75" hidden="1" customHeight="1">
      <c r="A72" s="65"/>
      <c r="B72" s="65"/>
      <c r="C72" s="66"/>
      <c r="D72" s="67"/>
      <c r="E72" s="67"/>
      <c r="F72" s="67"/>
    </row>
    <row r="73" spans="1:6" ht="15.75" hidden="1" customHeight="1">
      <c r="A73" s="65"/>
      <c r="B73" s="65"/>
      <c r="C73" s="66"/>
      <c r="D73" s="67"/>
      <c r="E73" s="67"/>
      <c r="F73" s="67"/>
    </row>
    <row r="74" spans="1:6" ht="15.75" hidden="1" customHeight="1">
      <c r="A74" s="65"/>
      <c r="B74" s="65"/>
      <c r="C74" s="66"/>
      <c r="D74" s="67"/>
      <c r="E74" s="67"/>
      <c r="F74" s="67"/>
    </row>
    <row r="75" spans="1:6" ht="15.75" hidden="1" customHeight="1">
      <c r="A75" s="65"/>
      <c r="B75" s="65"/>
      <c r="C75" s="66"/>
      <c r="D75" s="67"/>
      <c r="E75" s="67"/>
      <c r="F75" s="67"/>
    </row>
    <row r="76" spans="1:6" ht="15.75" hidden="1" customHeight="1">
      <c r="A76" s="65"/>
      <c r="B76" s="65"/>
      <c r="C76" s="66"/>
      <c r="D76" s="67"/>
      <c r="E76" s="67"/>
      <c r="F76" s="67"/>
    </row>
    <row r="77" spans="1:6" ht="15.75" hidden="1" customHeight="1">
      <c r="A77" s="65"/>
      <c r="B77" s="65"/>
      <c r="C77" s="66"/>
      <c r="D77" s="67"/>
      <c r="E77" s="67"/>
      <c r="F77" s="67"/>
    </row>
    <row r="78" spans="1:6" ht="15.75" hidden="1" customHeight="1">
      <c r="A78" s="65"/>
      <c r="B78" s="65"/>
      <c r="C78" s="66"/>
      <c r="D78" s="67"/>
      <c r="E78" s="67"/>
      <c r="F78" s="67"/>
    </row>
    <row r="79" spans="1:6" ht="15.75" hidden="1" customHeight="1">
      <c r="A79" s="65"/>
      <c r="B79" s="65"/>
      <c r="C79" s="66"/>
      <c r="D79" s="67"/>
      <c r="E79" s="67"/>
      <c r="F79" s="67"/>
    </row>
    <row r="80" spans="1:6" ht="15.75" hidden="1" customHeight="1">
      <c r="A80" s="65"/>
      <c r="B80" s="65"/>
      <c r="C80" s="66"/>
      <c r="D80" s="67"/>
      <c r="E80" s="67"/>
      <c r="F80" s="67"/>
    </row>
    <row r="81" spans="1:6" ht="15.75" hidden="1" customHeight="1">
      <c r="A81" s="65"/>
      <c r="B81" s="65"/>
      <c r="C81" s="66"/>
      <c r="D81" s="67"/>
      <c r="E81" s="67"/>
      <c r="F81" s="67"/>
    </row>
    <row r="82" spans="1:6" ht="15.75" hidden="1" customHeight="1">
      <c r="A82" s="65"/>
      <c r="B82" s="65"/>
      <c r="C82" s="66"/>
      <c r="D82" s="67"/>
      <c r="E82" s="67"/>
      <c r="F82" s="67"/>
    </row>
    <row r="83" spans="1:6" ht="15.75" hidden="1" customHeight="1">
      <c r="A83" s="65"/>
      <c r="B83" s="65"/>
      <c r="C83" s="66"/>
      <c r="D83" s="67"/>
      <c r="E83" s="67"/>
      <c r="F83" s="67"/>
    </row>
    <row r="84" spans="1:6" ht="15.75" hidden="1" customHeight="1">
      <c r="A84" s="65"/>
      <c r="B84" s="65"/>
      <c r="C84" s="66"/>
      <c r="D84" s="67"/>
      <c r="E84" s="67"/>
      <c r="F84" s="67"/>
    </row>
    <row r="85" spans="1:6" ht="15.75" hidden="1" customHeight="1">
      <c r="A85" s="65"/>
      <c r="B85" s="65"/>
      <c r="C85" s="66"/>
      <c r="D85" s="67"/>
      <c r="E85" s="67"/>
      <c r="F85" s="67"/>
    </row>
    <row r="86" spans="1:6" ht="15.75" hidden="1" customHeight="1">
      <c r="A86" s="65"/>
      <c r="B86" s="65"/>
      <c r="C86" s="66"/>
      <c r="D86" s="67"/>
      <c r="E86" s="67"/>
      <c r="F86" s="67"/>
    </row>
    <row r="87" spans="1:6" ht="15.75" hidden="1" customHeight="1">
      <c r="A87" s="65"/>
      <c r="B87" s="65"/>
      <c r="C87" s="66"/>
      <c r="D87" s="67"/>
      <c r="E87" s="67"/>
      <c r="F87" s="67"/>
    </row>
    <row r="88" spans="1:6" ht="15.75" hidden="1" customHeight="1">
      <c r="A88" s="65"/>
      <c r="B88" s="65"/>
      <c r="C88" s="66"/>
      <c r="D88" s="67"/>
      <c r="E88" s="67"/>
      <c r="F88" s="67"/>
    </row>
    <row r="89" spans="1:6" ht="15.75" hidden="1" customHeight="1">
      <c r="A89" s="65"/>
      <c r="B89" s="65"/>
      <c r="C89" s="66"/>
      <c r="D89" s="67"/>
      <c r="E89" s="67"/>
      <c r="F89" s="67"/>
    </row>
    <row r="90" spans="1:6" ht="15.75" hidden="1" customHeight="1">
      <c r="A90" s="65"/>
      <c r="B90" s="65"/>
      <c r="C90" s="66"/>
      <c r="D90" s="67"/>
      <c r="E90" s="67"/>
      <c r="F90" s="67"/>
    </row>
    <row r="91" spans="1:6" ht="15.75" hidden="1" customHeight="1">
      <c r="A91" s="65"/>
      <c r="B91" s="65"/>
      <c r="C91" s="66"/>
      <c r="D91" s="67"/>
      <c r="E91" s="67"/>
      <c r="F91" s="67"/>
    </row>
    <row r="92" spans="1:6" ht="15.75" hidden="1" customHeight="1">
      <c r="A92" s="65"/>
      <c r="B92" s="65"/>
      <c r="C92" s="66"/>
      <c r="D92" s="67"/>
      <c r="E92" s="67"/>
      <c r="F92" s="67"/>
    </row>
    <row r="93" spans="1:6" ht="15.75" hidden="1" customHeight="1">
      <c r="A93" s="65"/>
      <c r="B93" s="65"/>
      <c r="C93" s="66"/>
      <c r="D93" s="67"/>
      <c r="E93" s="67"/>
      <c r="F93" s="67"/>
    </row>
    <row r="94" spans="1:6" ht="15.75" hidden="1" customHeight="1">
      <c r="A94" s="65"/>
      <c r="B94" s="65"/>
      <c r="C94" s="66"/>
      <c r="D94" s="67"/>
      <c r="E94" s="67"/>
      <c r="F94" s="67"/>
    </row>
    <row r="95" spans="1:6" ht="15.75" hidden="1" customHeight="1">
      <c r="A95" s="65"/>
      <c r="B95" s="65"/>
      <c r="C95" s="66"/>
      <c r="D95" s="67"/>
      <c r="E95" s="67"/>
      <c r="F95" s="67"/>
    </row>
    <row r="96" spans="1:6" ht="15.75" hidden="1" customHeight="1">
      <c r="A96" s="65"/>
      <c r="B96" s="65"/>
      <c r="C96" s="66"/>
      <c r="D96" s="67"/>
      <c r="E96" s="67"/>
      <c r="F96" s="67"/>
    </row>
    <row r="97" spans="1:6" ht="15.75" hidden="1" customHeight="1">
      <c r="A97" s="65"/>
      <c r="B97" s="65"/>
      <c r="C97" s="66"/>
      <c r="D97" s="67"/>
      <c r="E97" s="67"/>
      <c r="F97" s="67"/>
    </row>
    <row r="98" spans="1:6" ht="15.75" hidden="1" customHeight="1">
      <c r="A98" s="65"/>
      <c r="B98" s="65"/>
      <c r="C98" s="66"/>
      <c r="D98" s="67"/>
      <c r="E98" s="67"/>
      <c r="F98" s="67"/>
    </row>
    <row r="99" spans="1:6" ht="15.75" hidden="1" customHeight="1">
      <c r="A99" s="65"/>
      <c r="B99" s="65"/>
      <c r="C99" s="66"/>
      <c r="D99" s="67"/>
      <c r="E99" s="67"/>
      <c r="F99" s="67"/>
    </row>
    <row r="100" spans="1:6" ht="15.75" hidden="1" customHeight="1">
      <c r="A100" s="65"/>
      <c r="B100" s="65"/>
      <c r="C100" s="66"/>
      <c r="D100" s="67"/>
      <c r="E100" s="67"/>
      <c r="F100" s="67"/>
    </row>
    <row r="101" spans="1:6" ht="15.75" hidden="1" customHeight="1">
      <c r="A101" s="65"/>
      <c r="B101" s="65"/>
      <c r="C101" s="66"/>
      <c r="D101" s="67"/>
      <c r="E101" s="67"/>
      <c r="F101" s="67"/>
    </row>
    <row r="102" spans="1:6" ht="15.75" hidden="1" customHeight="1">
      <c r="A102" s="65"/>
      <c r="B102" s="65"/>
      <c r="C102" s="66"/>
      <c r="D102" s="67"/>
      <c r="E102" s="67"/>
      <c r="F102" s="67"/>
    </row>
    <row r="103" spans="1:6" ht="15.75" hidden="1" customHeight="1">
      <c r="A103" s="65"/>
      <c r="B103" s="65"/>
      <c r="C103" s="66"/>
      <c r="D103" s="67"/>
      <c r="E103" s="67"/>
      <c r="F103" s="67"/>
    </row>
    <row r="104" spans="1:6" ht="15.75" hidden="1" customHeight="1">
      <c r="A104" s="65"/>
      <c r="B104" s="65"/>
      <c r="C104" s="66"/>
      <c r="D104" s="67"/>
      <c r="E104" s="67"/>
      <c r="F104" s="67"/>
    </row>
    <row r="105" spans="1:6" ht="15.75" hidden="1" customHeight="1">
      <c r="A105" s="65"/>
      <c r="B105" s="65"/>
      <c r="C105" s="66"/>
      <c r="D105" s="67"/>
      <c r="E105" s="67"/>
      <c r="F105" s="67"/>
    </row>
    <row r="106" spans="1:6" ht="15.75" hidden="1" customHeight="1">
      <c r="A106" s="65"/>
      <c r="B106" s="65"/>
      <c r="C106" s="66"/>
      <c r="D106" s="67"/>
      <c r="E106" s="67"/>
      <c r="F106" s="67"/>
    </row>
    <row r="107" spans="1:6" ht="15.75" hidden="1" customHeight="1">
      <c r="A107" s="65"/>
      <c r="B107" s="65"/>
      <c r="C107" s="66"/>
      <c r="D107" s="67"/>
      <c r="E107" s="67"/>
      <c r="F107" s="67"/>
    </row>
    <row r="108" spans="1:6" ht="15.75" hidden="1" customHeight="1">
      <c r="A108" s="65"/>
      <c r="B108" s="65"/>
      <c r="C108" s="66"/>
      <c r="D108" s="67"/>
      <c r="E108" s="67"/>
      <c r="F108" s="67"/>
    </row>
    <row r="109" spans="1:6" ht="15.75" hidden="1" customHeight="1">
      <c r="A109" s="65"/>
      <c r="B109" s="65"/>
      <c r="C109" s="66"/>
      <c r="D109" s="67"/>
      <c r="E109" s="67"/>
      <c r="F109" s="67"/>
    </row>
    <row r="110" spans="1:6" ht="15.75" hidden="1" customHeight="1">
      <c r="A110" s="65"/>
      <c r="B110" s="65"/>
      <c r="C110" s="66"/>
      <c r="D110" s="67"/>
      <c r="E110" s="67"/>
      <c r="F110" s="67"/>
    </row>
    <row r="111" spans="1:6" ht="15.75" hidden="1" customHeight="1">
      <c r="A111" s="65"/>
      <c r="B111" s="65"/>
      <c r="C111" s="66"/>
      <c r="D111" s="67"/>
      <c r="E111" s="67"/>
      <c r="F111" s="67"/>
    </row>
    <row r="112" spans="1:6" ht="15.75" hidden="1" customHeight="1">
      <c r="A112" s="65"/>
      <c r="B112" s="65"/>
      <c r="C112" s="66"/>
      <c r="D112" s="67"/>
      <c r="E112" s="67"/>
      <c r="F112" s="67"/>
    </row>
    <row r="113" spans="1:6" ht="15.75" hidden="1" customHeight="1">
      <c r="A113" s="65"/>
      <c r="B113" s="65"/>
      <c r="C113" s="66"/>
      <c r="D113" s="67"/>
      <c r="E113" s="67"/>
      <c r="F113" s="67"/>
    </row>
    <row r="114" spans="1:6" ht="15.75" hidden="1" customHeight="1">
      <c r="A114" s="65"/>
      <c r="B114" s="65"/>
      <c r="C114" s="66"/>
      <c r="D114" s="67"/>
      <c r="E114" s="67"/>
      <c r="F114" s="67"/>
    </row>
    <row r="115" spans="1:6" ht="15.75" hidden="1" customHeight="1">
      <c r="A115" s="65"/>
      <c r="B115" s="65"/>
      <c r="C115" s="66"/>
      <c r="D115" s="67"/>
      <c r="E115" s="67"/>
      <c r="F115" s="67"/>
    </row>
    <row r="116" spans="1:6" ht="15.75" hidden="1" customHeight="1">
      <c r="A116" s="65"/>
      <c r="B116" s="65"/>
      <c r="C116" s="66"/>
      <c r="D116" s="67"/>
      <c r="E116" s="67"/>
      <c r="F116" s="67"/>
    </row>
    <row r="117" spans="1:6" ht="15.75" hidden="1" customHeight="1">
      <c r="A117" s="65"/>
      <c r="B117" s="65"/>
      <c r="C117" s="66"/>
      <c r="D117" s="67"/>
      <c r="E117" s="67"/>
      <c r="F117" s="67"/>
    </row>
    <row r="118" spans="1:6" ht="15.75" hidden="1" customHeight="1">
      <c r="A118" s="65"/>
      <c r="B118" s="65"/>
      <c r="C118" s="66"/>
      <c r="D118" s="67"/>
      <c r="E118" s="67"/>
      <c r="F118" s="67"/>
    </row>
    <row r="119" spans="1:6" ht="15.75" hidden="1" customHeight="1">
      <c r="A119" s="65"/>
      <c r="B119" s="65"/>
      <c r="C119" s="66"/>
      <c r="D119" s="67"/>
      <c r="E119" s="67"/>
      <c r="F119" s="67"/>
    </row>
    <row r="120" spans="1:6" ht="15.75" hidden="1" customHeight="1">
      <c r="A120" s="65"/>
      <c r="B120" s="65"/>
      <c r="C120" s="66"/>
      <c r="D120" s="67"/>
      <c r="E120" s="67"/>
      <c r="F120" s="67"/>
    </row>
    <row r="121" spans="1:6" ht="15.75" hidden="1" customHeight="1">
      <c r="A121" s="65"/>
      <c r="B121" s="65"/>
      <c r="C121" s="66"/>
      <c r="D121" s="67"/>
      <c r="E121" s="67"/>
      <c r="F121" s="67"/>
    </row>
    <row r="122" spans="1:6" ht="15.75" hidden="1" customHeight="1">
      <c r="A122" s="65"/>
      <c r="B122" s="65"/>
      <c r="C122" s="66"/>
      <c r="D122" s="67"/>
      <c r="E122" s="67"/>
      <c r="F122" s="67"/>
    </row>
    <row r="123" spans="1:6" ht="15.75" hidden="1" customHeight="1">
      <c r="A123" s="65"/>
      <c r="B123" s="65"/>
      <c r="C123" s="66"/>
      <c r="D123" s="67"/>
      <c r="E123" s="67"/>
      <c r="F123" s="67"/>
    </row>
    <row r="124" spans="1:6" ht="15.75" hidden="1" customHeight="1">
      <c r="A124" s="65"/>
      <c r="B124" s="65"/>
      <c r="C124" s="66"/>
      <c r="D124" s="67"/>
      <c r="E124" s="67"/>
      <c r="F124" s="67"/>
    </row>
    <row r="125" spans="1:6" ht="15.75" hidden="1" customHeight="1">
      <c r="A125" s="65"/>
      <c r="B125" s="65"/>
      <c r="C125" s="66"/>
      <c r="D125" s="67"/>
      <c r="E125" s="67"/>
      <c r="F125" s="67"/>
    </row>
    <row r="126" spans="1:6" ht="15.75" hidden="1" customHeight="1">
      <c r="A126" s="65"/>
      <c r="B126" s="65"/>
      <c r="C126" s="66"/>
      <c r="D126" s="67"/>
      <c r="E126" s="67"/>
      <c r="F126" s="67"/>
    </row>
    <row r="127" spans="1:6" ht="15.75" hidden="1" customHeight="1">
      <c r="A127" s="65"/>
      <c r="B127" s="65"/>
      <c r="C127" s="66"/>
      <c r="D127" s="67"/>
      <c r="E127" s="67"/>
      <c r="F127" s="67"/>
    </row>
    <row r="128" spans="1:6" ht="15.75" hidden="1" customHeight="1">
      <c r="A128" s="65"/>
      <c r="B128" s="65"/>
      <c r="C128" s="66"/>
      <c r="D128" s="67"/>
      <c r="E128" s="67"/>
      <c r="F128" s="67"/>
    </row>
    <row r="129" spans="1:6" ht="15.75" hidden="1" customHeight="1">
      <c r="A129" s="65"/>
      <c r="B129" s="65"/>
      <c r="C129" s="66"/>
      <c r="D129" s="67"/>
      <c r="E129" s="67"/>
      <c r="F129" s="67"/>
    </row>
    <row r="130" spans="1:6" ht="15.75" hidden="1" customHeight="1">
      <c r="A130" s="65"/>
      <c r="B130" s="65"/>
      <c r="C130" s="66"/>
      <c r="D130" s="67"/>
      <c r="E130" s="67"/>
      <c r="F130" s="67"/>
    </row>
    <row r="131" spans="1:6" ht="15.75" hidden="1" customHeight="1">
      <c r="A131" s="65"/>
      <c r="B131" s="65"/>
      <c r="C131" s="66"/>
      <c r="D131" s="67"/>
      <c r="E131" s="67"/>
      <c r="F131" s="67"/>
    </row>
    <row r="132" spans="1:6" ht="15.75" hidden="1" customHeight="1">
      <c r="A132" s="65"/>
      <c r="B132" s="65"/>
      <c r="C132" s="66"/>
      <c r="D132" s="67"/>
      <c r="E132" s="67"/>
      <c r="F132" s="67"/>
    </row>
    <row r="133" spans="1:6" ht="15.75" hidden="1" customHeight="1">
      <c r="A133" s="65"/>
      <c r="B133" s="65"/>
      <c r="C133" s="66"/>
      <c r="D133" s="67"/>
      <c r="E133" s="67"/>
      <c r="F133" s="67"/>
    </row>
    <row r="134" spans="1:6" ht="15.75" hidden="1" customHeight="1">
      <c r="A134" s="65"/>
      <c r="B134" s="65"/>
      <c r="C134" s="66"/>
      <c r="D134" s="67"/>
      <c r="E134" s="67"/>
      <c r="F134" s="67"/>
    </row>
    <row r="135" spans="1:6" ht="15.75" hidden="1" customHeight="1">
      <c r="A135" s="65"/>
      <c r="B135" s="65"/>
      <c r="C135" s="66"/>
      <c r="D135" s="67"/>
      <c r="E135" s="67"/>
      <c r="F135" s="67"/>
    </row>
    <row r="136" spans="1:6" ht="15.75" hidden="1" customHeight="1">
      <c r="A136" s="65"/>
      <c r="B136" s="65"/>
      <c r="C136" s="66"/>
      <c r="D136" s="67"/>
      <c r="E136" s="67"/>
      <c r="F136" s="67"/>
    </row>
    <row r="137" spans="1:6" ht="15.75" hidden="1" customHeight="1">
      <c r="A137" s="65"/>
      <c r="B137" s="65"/>
      <c r="C137" s="66"/>
      <c r="D137" s="67"/>
      <c r="E137" s="67"/>
      <c r="F137" s="67"/>
    </row>
    <row r="138" spans="1:6" ht="15.75" hidden="1" customHeight="1">
      <c r="A138" s="65"/>
      <c r="B138" s="65"/>
      <c r="C138" s="66"/>
      <c r="D138" s="67"/>
      <c r="E138" s="67"/>
      <c r="F138" s="67"/>
    </row>
    <row r="139" spans="1:6" ht="15.75" hidden="1" customHeight="1">
      <c r="A139" s="65"/>
      <c r="B139" s="65"/>
      <c r="C139" s="66"/>
      <c r="D139" s="67"/>
      <c r="E139" s="67"/>
      <c r="F139" s="67"/>
    </row>
    <row r="140" spans="1:6" ht="15.75" hidden="1" customHeight="1">
      <c r="A140" s="65"/>
      <c r="B140" s="65"/>
      <c r="C140" s="66"/>
      <c r="D140" s="67"/>
      <c r="E140" s="67"/>
      <c r="F140" s="67"/>
    </row>
    <row r="141" spans="1:6" ht="15.75" hidden="1" customHeight="1">
      <c r="A141" s="65"/>
      <c r="B141" s="65"/>
      <c r="C141" s="66"/>
      <c r="D141" s="67"/>
      <c r="E141" s="67"/>
      <c r="F141" s="67"/>
    </row>
    <row r="142" spans="1:6" ht="15.75" hidden="1" customHeight="1">
      <c r="A142" s="65"/>
      <c r="B142" s="65"/>
      <c r="C142" s="66"/>
      <c r="D142" s="67"/>
      <c r="E142" s="67"/>
      <c r="F142" s="67"/>
    </row>
    <row r="143" spans="1:6" ht="15.75" hidden="1" customHeight="1">
      <c r="A143" s="65"/>
      <c r="B143" s="65"/>
      <c r="C143" s="66"/>
      <c r="D143" s="67"/>
      <c r="E143" s="67"/>
      <c r="F143" s="67"/>
    </row>
    <row r="144" spans="1:6" ht="15.75" hidden="1" customHeight="1">
      <c r="A144" s="65"/>
      <c r="B144" s="65"/>
      <c r="C144" s="66"/>
      <c r="D144" s="67"/>
      <c r="E144" s="67"/>
      <c r="F144" s="67"/>
    </row>
    <row r="145" spans="1:6" ht="15.75" hidden="1" customHeight="1">
      <c r="A145" s="65"/>
      <c r="B145" s="65"/>
      <c r="C145" s="66"/>
      <c r="D145" s="67"/>
      <c r="E145" s="67"/>
      <c r="F145" s="67"/>
    </row>
    <row r="146" spans="1:6" ht="15.75" hidden="1" customHeight="1">
      <c r="A146" s="65"/>
      <c r="B146" s="65"/>
      <c r="C146" s="66"/>
      <c r="D146" s="67"/>
      <c r="E146" s="67"/>
      <c r="F146" s="67"/>
    </row>
    <row r="147" spans="1:6" ht="15.75" hidden="1" customHeight="1">
      <c r="A147" s="65"/>
      <c r="B147" s="65"/>
      <c r="C147" s="66"/>
      <c r="D147" s="67"/>
      <c r="E147" s="67"/>
      <c r="F147" s="67"/>
    </row>
    <row r="148" spans="1:6" ht="15.75" hidden="1" customHeight="1">
      <c r="A148" s="65"/>
      <c r="B148" s="65"/>
      <c r="C148" s="66"/>
      <c r="D148" s="67"/>
      <c r="E148" s="67"/>
      <c r="F148" s="67"/>
    </row>
    <row r="149" spans="1:6" ht="15.75" hidden="1" customHeight="1">
      <c r="A149" s="65"/>
      <c r="B149" s="65"/>
      <c r="C149" s="66"/>
      <c r="D149" s="67"/>
      <c r="E149" s="67"/>
      <c r="F149" s="67"/>
    </row>
    <row r="150" spans="1:6" ht="15.75" hidden="1" customHeight="1">
      <c r="A150" s="65"/>
      <c r="B150" s="65"/>
      <c r="C150" s="66"/>
      <c r="D150" s="67"/>
      <c r="E150" s="67"/>
      <c r="F150" s="67"/>
    </row>
    <row r="151" spans="1:6" ht="15.75" hidden="1" customHeight="1">
      <c r="A151" s="65"/>
      <c r="B151" s="65"/>
      <c r="C151" s="66"/>
      <c r="D151" s="67"/>
      <c r="E151" s="67"/>
      <c r="F151" s="67"/>
    </row>
    <row r="152" spans="1:6" ht="15.75" hidden="1" customHeight="1">
      <c r="A152" s="65"/>
      <c r="B152" s="65"/>
      <c r="C152" s="66"/>
      <c r="D152" s="67"/>
      <c r="E152" s="67"/>
      <c r="F152" s="67"/>
    </row>
    <row r="153" spans="1:6" ht="15.75" hidden="1" customHeight="1">
      <c r="A153" s="65"/>
      <c r="B153" s="65"/>
      <c r="C153" s="66"/>
      <c r="D153" s="67"/>
      <c r="E153" s="67"/>
      <c r="F153" s="67"/>
    </row>
    <row r="154" spans="1:6" ht="15.75" hidden="1" customHeight="1">
      <c r="A154" s="65"/>
      <c r="B154" s="65"/>
      <c r="C154" s="66"/>
      <c r="D154" s="67"/>
      <c r="E154" s="67"/>
      <c r="F154" s="67"/>
    </row>
    <row r="155" spans="1:6" ht="15.75" hidden="1" customHeight="1">
      <c r="A155" s="65"/>
      <c r="B155" s="65"/>
      <c r="C155" s="66"/>
      <c r="D155" s="67"/>
      <c r="E155" s="67"/>
      <c r="F155" s="67"/>
    </row>
    <row r="156" spans="1:6" ht="15.75" hidden="1" customHeight="1">
      <c r="A156" s="65"/>
      <c r="B156" s="65"/>
      <c r="C156" s="66"/>
      <c r="D156" s="67"/>
      <c r="E156" s="67"/>
      <c r="F156" s="67"/>
    </row>
    <row r="157" spans="1:6" ht="15.75" hidden="1" customHeight="1">
      <c r="A157" s="65"/>
      <c r="B157" s="65"/>
      <c r="C157" s="66"/>
      <c r="D157" s="67"/>
      <c r="E157" s="67"/>
      <c r="F157" s="67"/>
    </row>
    <row r="158" spans="1:6" ht="15.75" hidden="1" customHeight="1">
      <c r="A158" s="65"/>
      <c r="B158" s="65"/>
      <c r="C158" s="66"/>
      <c r="D158" s="67"/>
      <c r="E158" s="67"/>
      <c r="F158" s="67"/>
    </row>
    <row r="159" spans="1:6" ht="15.75" hidden="1" customHeight="1">
      <c r="A159" s="65"/>
      <c r="B159" s="65"/>
      <c r="C159" s="66"/>
      <c r="D159" s="67"/>
      <c r="E159" s="67"/>
      <c r="F159" s="67"/>
    </row>
    <row r="160" spans="1:6" ht="15.75" hidden="1" customHeight="1">
      <c r="A160" s="65"/>
      <c r="B160" s="65"/>
      <c r="C160" s="66"/>
      <c r="D160" s="67"/>
      <c r="E160" s="67"/>
      <c r="F160" s="67"/>
    </row>
    <row r="161" spans="1:6" ht="15.75" hidden="1" customHeight="1">
      <c r="A161" s="65"/>
      <c r="B161" s="65"/>
      <c r="C161" s="66"/>
      <c r="D161" s="67"/>
      <c r="E161" s="67"/>
      <c r="F161" s="67"/>
    </row>
    <row r="162" spans="1:6" ht="15.75" hidden="1" customHeight="1">
      <c r="A162" s="65"/>
      <c r="B162" s="65"/>
      <c r="C162" s="66"/>
      <c r="D162" s="67"/>
      <c r="E162" s="67"/>
      <c r="F162" s="67"/>
    </row>
    <row r="163" spans="1:6" ht="15.75" hidden="1" customHeight="1">
      <c r="A163" s="65"/>
      <c r="B163" s="65"/>
      <c r="C163" s="66"/>
      <c r="D163" s="67"/>
      <c r="E163" s="67"/>
      <c r="F163" s="67"/>
    </row>
    <row r="164" spans="1:6" ht="15.75" hidden="1" customHeight="1">
      <c r="A164" s="65"/>
      <c r="B164" s="65"/>
      <c r="C164" s="66"/>
      <c r="D164" s="67"/>
      <c r="E164" s="67"/>
      <c r="F164" s="67"/>
    </row>
    <row r="165" spans="1:6" ht="15.75" hidden="1" customHeight="1">
      <c r="A165" s="65"/>
      <c r="B165" s="65"/>
      <c r="C165" s="66"/>
      <c r="D165" s="67"/>
      <c r="E165" s="67"/>
      <c r="F165" s="67"/>
    </row>
    <row r="166" spans="1:6" ht="15.75" hidden="1" customHeight="1">
      <c r="A166" s="65"/>
      <c r="B166" s="65"/>
      <c r="C166" s="66"/>
      <c r="D166" s="67"/>
      <c r="E166" s="67"/>
      <c r="F166" s="67"/>
    </row>
    <row r="167" spans="1:6" ht="15.75" hidden="1" customHeight="1">
      <c r="A167" s="65"/>
      <c r="B167" s="65"/>
      <c r="C167" s="66"/>
      <c r="D167" s="67"/>
      <c r="E167" s="67"/>
      <c r="F167" s="67"/>
    </row>
    <row r="168" spans="1:6" ht="15.75" hidden="1" customHeight="1">
      <c r="A168" s="65"/>
      <c r="B168" s="65"/>
      <c r="C168" s="66"/>
      <c r="D168" s="67"/>
      <c r="E168" s="67"/>
      <c r="F168" s="67"/>
    </row>
    <row r="169" spans="1:6" ht="15.75" hidden="1" customHeight="1">
      <c r="A169" s="65"/>
      <c r="B169" s="65"/>
      <c r="C169" s="66"/>
      <c r="D169" s="67"/>
      <c r="E169" s="67"/>
      <c r="F169" s="67"/>
    </row>
    <row r="170" spans="1:6" ht="15.75" hidden="1" customHeight="1">
      <c r="A170" s="65"/>
      <c r="B170" s="65"/>
      <c r="C170" s="66"/>
      <c r="D170" s="67"/>
      <c r="E170" s="67"/>
      <c r="F170" s="67"/>
    </row>
    <row r="171" spans="1:6" ht="15.75" hidden="1" customHeight="1">
      <c r="A171" s="65"/>
      <c r="B171" s="65"/>
      <c r="C171" s="66"/>
      <c r="D171" s="67"/>
      <c r="E171" s="67"/>
      <c r="F171" s="67"/>
    </row>
    <row r="172" spans="1:6" ht="15.75" hidden="1" customHeight="1">
      <c r="A172" s="65"/>
      <c r="B172" s="65"/>
      <c r="C172" s="66"/>
      <c r="D172" s="67"/>
      <c r="E172" s="67"/>
      <c r="F172" s="67"/>
    </row>
    <row r="173" spans="1:6" ht="15.75" hidden="1" customHeight="1">
      <c r="A173" s="65"/>
      <c r="B173" s="65"/>
      <c r="C173" s="66"/>
      <c r="D173" s="67"/>
      <c r="E173" s="67"/>
      <c r="F173" s="67"/>
    </row>
    <row r="174" spans="1:6" ht="15.75" hidden="1" customHeight="1">
      <c r="A174" s="65"/>
      <c r="B174" s="65"/>
      <c r="C174" s="66"/>
      <c r="D174" s="67"/>
      <c r="E174" s="67"/>
      <c r="F174" s="67"/>
    </row>
    <row r="175" spans="1:6" ht="15.75" hidden="1" customHeight="1">
      <c r="A175" s="65"/>
      <c r="B175" s="65"/>
      <c r="C175" s="66"/>
      <c r="D175" s="67"/>
      <c r="E175" s="67"/>
      <c r="F175" s="67"/>
    </row>
    <row r="176" spans="1:6" ht="15.75" hidden="1" customHeight="1">
      <c r="A176" s="65"/>
      <c r="B176" s="65"/>
      <c r="C176" s="66"/>
      <c r="D176" s="67"/>
      <c r="E176" s="67"/>
      <c r="F176" s="67"/>
    </row>
    <row r="177" spans="1:6" ht="15.75" hidden="1" customHeight="1">
      <c r="A177" s="65"/>
      <c r="B177" s="65"/>
      <c r="C177" s="66"/>
      <c r="D177" s="67"/>
      <c r="E177" s="67"/>
      <c r="F177" s="67"/>
    </row>
    <row r="178" spans="1:6" ht="15.75" hidden="1" customHeight="1">
      <c r="A178" s="65"/>
      <c r="B178" s="65"/>
      <c r="C178" s="66"/>
      <c r="D178" s="67"/>
      <c r="E178" s="67"/>
      <c r="F178" s="67"/>
    </row>
    <row r="179" spans="1:6" ht="15.75" hidden="1" customHeight="1">
      <c r="A179" s="65"/>
      <c r="B179" s="65"/>
      <c r="C179" s="66"/>
      <c r="D179" s="67"/>
      <c r="E179" s="67"/>
      <c r="F179" s="67"/>
    </row>
    <row r="180" spans="1:6" ht="15.75" hidden="1" customHeight="1">
      <c r="A180" s="65"/>
      <c r="B180" s="65"/>
      <c r="C180" s="66"/>
      <c r="D180" s="67"/>
      <c r="E180" s="67"/>
      <c r="F180" s="67"/>
    </row>
    <row r="181" spans="1:6" ht="15.75" hidden="1" customHeight="1">
      <c r="A181" s="65"/>
      <c r="B181" s="65"/>
      <c r="C181" s="66"/>
      <c r="D181" s="67"/>
      <c r="E181" s="67"/>
      <c r="F181" s="67"/>
    </row>
    <row r="182" spans="1:6" ht="15.75" hidden="1" customHeight="1">
      <c r="A182" s="65"/>
      <c r="B182" s="65"/>
      <c r="C182" s="66"/>
      <c r="D182" s="67"/>
      <c r="E182" s="67"/>
      <c r="F182" s="67"/>
    </row>
    <row r="183" spans="1:6" ht="15.75" hidden="1" customHeight="1">
      <c r="A183" s="65"/>
      <c r="B183" s="65"/>
      <c r="C183" s="66"/>
      <c r="D183" s="67"/>
      <c r="E183" s="67"/>
      <c r="F183" s="67"/>
    </row>
    <row r="184" spans="1:6" ht="15.75" hidden="1" customHeight="1">
      <c r="A184" s="65"/>
      <c r="B184" s="65"/>
      <c r="C184" s="66"/>
      <c r="D184" s="67"/>
      <c r="E184" s="67"/>
      <c r="F184" s="67"/>
    </row>
    <row r="185" spans="1:6" ht="15.75" hidden="1" customHeight="1">
      <c r="A185" s="65"/>
      <c r="B185" s="65"/>
      <c r="C185" s="66"/>
      <c r="D185" s="67"/>
      <c r="E185" s="67"/>
      <c r="F185" s="67"/>
    </row>
    <row r="186" spans="1:6" ht="15.75" hidden="1" customHeight="1">
      <c r="A186" s="65"/>
      <c r="B186" s="65"/>
      <c r="C186" s="66"/>
      <c r="D186" s="67"/>
      <c r="E186" s="67"/>
      <c r="F186" s="67"/>
    </row>
    <row r="187" spans="1:6" ht="15.75" hidden="1" customHeight="1">
      <c r="A187" s="65"/>
      <c r="B187" s="65"/>
      <c r="C187" s="66"/>
      <c r="D187" s="67"/>
      <c r="E187" s="67"/>
      <c r="F187" s="67"/>
    </row>
    <row r="188" spans="1:6" ht="15.75" hidden="1" customHeight="1">
      <c r="A188" s="65"/>
      <c r="B188" s="65"/>
      <c r="C188" s="66"/>
      <c r="D188" s="67"/>
      <c r="E188" s="67"/>
      <c r="F188" s="67"/>
    </row>
    <row r="189" spans="1:6" ht="15.75" hidden="1" customHeight="1">
      <c r="A189" s="65"/>
      <c r="B189" s="65"/>
      <c r="C189" s="66"/>
      <c r="D189" s="67"/>
      <c r="E189" s="67"/>
      <c r="F189" s="67"/>
    </row>
    <row r="190" spans="1:6" ht="15.75" hidden="1" customHeight="1">
      <c r="A190" s="65"/>
      <c r="B190" s="65"/>
      <c r="C190" s="66"/>
      <c r="D190" s="67"/>
      <c r="E190" s="67"/>
      <c r="F190" s="67"/>
    </row>
    <row r="191" spans="1:6" ht="15.75" hidden="1" customHeight="1">
      <c r="A191" s="65"/>
      <c r="B191" s="65"/>
      <c r="C191" s="66"/>
      <c r="D191" s="67"/>
      <c r="E191" s="67"/>
      <c r="F191" s="67"/>
    </row>
    <row r="192" spans="1:6" ht="15.75" hidden="1" customHeight="1">
      <c r="A192" s="65"/>
      <c r="B192" s="65"/>
      <c r="C192" s="66"/>
      <c r="D192" s="67"/>
      <c r="E192" s="67"/>
      <c r="F192" s="67"/>
    </row>
    <row r="193" spans="1:6" ht="15.75" hidden="1" customHeight="1">
      <c r="A193" s="65"/>
      <c r="B193" s="65"/>
      <c r="C193" s="66"/>
      <c r="D193" s="67"/>
      <c r="E193" s="67"/>
      <c r="F193" s="67"/>
    </row>
    <row r="194" spans="1:6" ht="15.75" hidden="1" customHeight="1">
      <c r="A194" s="65"/>
      <c r="B194" s="65"/>
      <c r="C194" s="66"/>
      <c r="D194" s="67"/>
      <c r="E194" s="67"/>
      <c r="F194" s="67"/>
    </row>
    <row r="195" spans="1:6" ht="15.75" hidden="1" customHeight="1">
      <c r="A195" s="65"/>
      <c r="B195" s="65"/>
      <c r="C195" s="66"/>
      <c r="D195" s="67"/>
      <c r="E195" s="67"/>
      <c r="F195" s="67"/>
    </row>
    <row r="196" spans="1:6" ht="15.75" hidden="1" customHeight="1">
      <c r="A196" s="65"/>
      <c r="B196" s="65"/>
      <c r="C196" s="66"/>
      <c r="D196" s="67"/>
      <c r="E196" s="67"/>
      <c r="F196" s="67"/>
    </row>
    <row r="197" spans="1:6" ht="15.75" hidden="1" customHeight="1">
      <c r="A197" s="65"/>
      <c r="B197" s="65"/>
      <c r="C197" s="66"/>
      <c r="D197" s="67"/>
      <c r="E197" s="67"/>
      <c r="F197" s="67"/>
    </row>
    <row r="198" spans="1:6" ht="15.75" hidden="1" customHeight="1">
      <c r="A198" s="65"/>
      <c r="B198" s="65"/>
      <c r="C198" s="66"/>
      <c r="D198" s="67"/>
      <c r="E198" s="67"/>
      <c r="F198" s="67"/>
    </row>
    <row r="199" spans="1:6" ht="15.75" hidden="1" customHeight="1">
      <c r="A199" s="65"/>
      <c r="B199" s="65"/>
      <c r="C199" s="66"/>
      <c r="D199" s="67"/>
      <c r="E199" s="67"/>
      <c r="F199" s="67"/>
    </row>
    <row r="200" spans="1:6" ht="15.75" hidden="1" customHeight="1">
      <c r="A200" s="65"/>
      <c r="B200" s="65"/>
      <c r="C200" s="66"/>
      <c r="D200" s="67"/>
      <c r="E200" s="67"/>
      <c r="F200" s="67"/>
    </row>
    <row r="201" spans="1:6" ht="15.75" hidden="1" customHeight="1">
      <c r="A201" s="65"/>
      <c r="B201" s="65"/>
      <c r="C201" s="66"/>
      <c r="D201" s="67"/>
      <c r="E201" s="67"/>
      <c r="F201" s="67"/>
    </row>
    <row r="202" spans="1:6" ht="15.75" hidden="1" customHeight="1">
      <c r="A202" s="65"/>
      <c r="B202" s="65"/>
      <c r="C202" s="66"/>
      <c r="D202" s="67"/>
      <c r="E202" s="67"/>
      <c r="F202" s="67"/>
    </row>
    <row r="203" spans="1:6" ht="15.75" hidden="1" customHeight="1">
      <c r="A203" s="65"/>
      <c r="B203" s="65"/>
      <c r="C203" s="66"/>
      <c r="D203" s="67"/>
      <c r="E203" s="67"/>
      <c r="F203" s="67"/>
    </row>
    <row r="204" spans="1:6" ht="15.75" hidden="1" customHeight="1">
      <c r="A204" s="65"/>
      <c r="B204" s="65"/>
      <c r="C204" s="66"/>
      <c r="D204" s="67"/>
      <c r="E204" s="67"/>
      <c r="F204" s="67"/>
    </row>
    <row r="205" spans="1:6" ht="15.75" hidden="1" customHeight="1">
      <c r="A205" s="65"/>
      <c r="B205" s="65"/>
      <c r="C205" s="66"/>
      <c r="D205" s="67"/>
      <c r="E205" s="67"/>
      <c r="F205" s="67"/>
    </row>
    <row r="206" spans="1:6" ht="15.75" hidden="1" customHeight="1">
      <c r="A206" s="65"/>
      <c r="B206" s="65"/>
      <c r="C206" s="66"/>
      <c r="D206" s="67"/>
      <c r="E206" s="67"/>
      <c r="F206" s="67"/>
    </row>
    <row r="207" spans="1:6" ht="15.75" hidden="1" customHeight="1">
      <c r="A207" s="65"/>
      <c r="B207" s="65"/>
      <c r="C207" s="66"/>
      <c r="D207" s="67"/>
      <c r="E207" s="67"/>
      <c r="F207" s="67"/>
    </row>
    <row r="208" spans="1:6" ht="15.75" hidden="1" customHeight="1">
      <c r="A208" s="65"/>
      <c r="B208" s="65"/>
      <c r="C208" s="66"/>
      <c r="D208" s="67"/>
      <c r="E208" s="67"/>
      <c r="F208" s="67"/>
    </row>
    <row r="209" spans="1:6" ht="15.75" hidden="1" customHeight="1">
      <c r="A209" s="65"/>
      <c r="B209" s="65"/>
      <c r="C209" s="66"/>
      <c r="D209" s="67"/>
      <c r="E209" s="67"/>
      <c r="F209" s="67"/>
    </row>
    <row r="210" spans="1:6" ht="15.75" hidden="1" customHeight="1">
      <c r="A210" s="65"/>
      <c r="B210" s="65"/>
      <c r="C210" s="66"/>
      <c r="D210" s="67"/>
      <c r="E210" s="67"/>
      <c r="F210" s="67"/>
    </row>
    <row r="211" spans="1:6" ht="15.75" hidden="1" customHeight="1">
      <c r="A211" s="65"/>
      <c r="B211" s="65"/>
      <c r="C211" s="66"/>
      <c r="D211" s="67"/>
      <c r="E211" s="67"/>
      <c r="F211" s="67"/>
    </row>
    <row r="212" spans="1:6" ht="15.75" hidden="1" customHeight="1">
      <c r="A212" s="65"/>
      <c r="B212" s="65"/>
      <c r="C212" s="66"/>
      <c r="D212" s="67"/>
      <c r="E212" s="67"/>
      <c r="F212" s="67"/>
    </row>
    <row r="213" spans="1:6" ht="15.75" hidden="1" customHeight="1">
      <c r="A213" s="65"/>
      <c r="B213" s="65"/>
      <c r="C213" s="66"/>
      <c r="D213" s="67"/>
      <c r="E213" s="67"/>
      <c r="F213" s="67"/>
    </row>
    <row r="214" spans="1:6" ht="15.75" hidden="1" customHeight="1">
      <c r="A214" s="65"/>
      <c r="B214" s="65"/>
      <c r="C214" s="66"/>
      <c r="D214" s="67"/>
      <c r="E214" s="67"/>
      <c r="F214" s="67"/>
    </row>
    <row r="215" spans="1:6" ht="15.75" hidden="1" customHeight="1">
      <c r="A215" s="65"/>
      <c r="B215" s="65"/>
      <c r="C215" s="66"/>
      <c r="D215" s="67"/>
      <c r="E215" s="67"/>
      <c r="F215" s="67"/>
    </row>
    <row r="216" spans="1:6" ht="15.75" hidden="1" customHeight="1">
      <c r="A216" s="65"/>
      <c r="B216" s="65"/>
      <c r="C216" s="66"/>
      <c r="D216" s="67"/>
      <c r="E216" s="67"/>
      <c r="F216" s="67"/>
    </row>
    <row r="217" spans="1:6" ht="15.75" hidden="1" customHeight="1">
      <c r="A217" s="65"/>
      <c r="B217" s="65"/>
      <c r="C217" s="66"/>
      <c r="D217" s="67"/>
      <c r="E217" s="67"/>
      <c r="F217" s="67"/>
    </row>
    <row r="218" spans="1:6" ht="15.75" hidden="1" customHeight="1">
      <c r="A218" s="65"/>
      <c r="B218" s="65"/>
      <c r="C218" s="66"/>
      <c r="D218" s="67"/>
      <c r="E218" s="67"/>
      <c r="F218" s="67"/>
    </row>
    <row r="219" spans="1:6" ht="15.75" hidden="1" customHeight="1">
      <c r="A219" s="65"/>
      <c r="B219" s="65"/>
      <c r="C219" s="66"/>
      <c r="D219" s="67"/>
      <c r="E219" s="67"/>
      <c r="F219" s="67"/>
    </row>
    <row r="220" spans="1:6" ht="15.75" hidden="1" customHeight="1">
      <c r="A220" s="65"/>
      <c r="B220" s="65"/>
      <c r="C220" s="66"/>
      <c r="D220" s="67"/>
      <c r="E220" s="67"/>
      <c r="F220" s="67"/>
    </row>
    <row r="221" spans="1:6" ht="15.75" hidden="1" customHeight="1">
      <c r="A221" s="65"/>
      <c r="B221" s="65"/>
      <c r="C221" s="66"/>
      <c r="D221" s="67"/>
      <c r="E221" s="67"/>
      <c r="F221" s="67"/>
    </row>
    <row r="222" spans="1:6" ht="15.75" hidden="1" customHeight="1">
      <c r="A222" s="65"/>
      <c r="B222" s="65"/>
      <c r="C222" s="66"/>
      <c r="D222" s="67"/>
      <c r="E222" s="67"/>
      <c r="F222" s="67"/>
    </row>
    <row r="223" spans="1:6" ht="15.75" hidden="1" customHeight="1">
      <c r="A223" s="65"/>
      <c r="B223" s="65"/>
      <c r="C223" s="66"/>
      <c r="D223" s="67"/>
      <c r="E223" s="67"/>
      <c r="F223" s="67"/>
    </row>
    <row r="224" spans="1:6" ht="15.75" hidden="1" customHeight="1">
      <c r="A224" s="65"/>
      <c r="B224" s="65"/>
      <c r="C224" s="66"/>
      <c r="D224" s="67"/>
      <c r="E224" s="67"/>
      <c r="F224" s="67"/>
    </row>
    <row r="225" spans="1:6" ht="15.75" hidden="1" customHeight="1">
      <c r="A225" s="65"/>
      <c r="B225" s="65"/>
      <c r="C225" s="66"/>
      <c r="D225" s="67"/>
      <c r="E225" s="67"/>
      <c r="F225" s="67"/>
    </row>
    <row r="226" spans="1:6" ht="15.75" hidden="1" customHeight="1">
      <c r="A226" s="65"/>
      <c r="B226" s="65"/>
      <c r="C226" s="66"/>
      <c r="D226" s="67"/>
      <c r="E226" s="67"/>
      <c r="F226" s="67"/>
    </row>
    <row r="227" spans="1:6" ht="15.75" hidden="1" customHeight="1">
      <c r="A227" s="65"/>
      <c r="B227" s="65"/>
      <c r="C227" s="66"/>
      <c r="D227" s="67"/>
      <c r="E227" s="67"/>
      <c r="F227" s="67"/>
    </row>
    <row r="228" spans="1:6" ht="15.75" hidden="1" customHeight="1">
      <c r="A228" s="65"/>
      <c r="B228" s="65"/>
      <c r="C228" s="66"/>
      <c r="D228" s="67"/>
      <c r="E228" s="67"/>
      <c r="F228" s="67"/>
    </row>
    <row r="229" spans="1:6" ht="15.75" hidden="1" customHeight="1">
      <c r="A229" s="65"/>
      <c r="B229" s="65"/>
      <c r="C229" s="66"/>
      <c r="D229" s="67"/>
      <c r="E229" s="67"/>
      <c r="F229" s="67"/>
    </row>
    <row r="230" spans="1:6" ht="15.75" hidden="1" customHeight="1">
      <c r="A230" s="65"/>
      <c r="B230" s="65"/>
      <c r="C230" s="66"/>
      <c r="D230" s="67"/>
      <c r="E230" s="67"/>
      <c r="F230" s="67"/>
    </row>
    <row r="231" spans="1:6" ht="15.75" hidden="1" customHeight="1">
      <c r="A231" s="65"/>
      <c r="B231" s="65"/>
      <c r="C231" s="66"/>
      <c r="D231" s="67"/>
      <c r="E231" s="67"/>
      <c r="F231" s="67"/>
    </row>
    <row r="232" spans="1:6" ht="15.75" hidden="1" customHeight="1">
      <c r="A232" s="65"/>
      <c r="B232" s="65"/>
      <c r="C232" s="66"/>
      <c r="D232" s="67"/>
      <c r="E232" s="67"/>
      <c r="F232" s="67"/>
    </row>
    <row r="233" spans="1:6" ht="15.75" hidden="1" customHeight="1">
      <c r="A233" s="65"/>
      <c r="B233" s="65"/>
      <c r="C233" s="66"/>
      <c r="D233" s="67"/>
      <c r="E233" s="67"/>
      <c r="F233" s="67"/>
    </row>
    <row r="234" spans="1:6" ht="15.75" hidden="1" customHeight="1">
      <c r="A234" s="65"/>
      <c r="B234" s="65"/>
      <c r="C234" s="66"/>
      <c r="D234" s="67"/>
      <c r="E234" s="67"/>
      <c r="F234" s="67"/>
    </row>
    <row r="235" spans="1:6" ht="15.75" hidden="1" customHeight="1">
      <c r="A235" s="65"/>
      <c r="B235" s="65"/>
      <c r="C235" s="66"/>
      <c r="D235" s="67"/>
      <c r="E235" s="67"/>
      <c r="F235" s="67"/>
    </row>
    <row r="236" spans="1:6" ht="15.75" hidden="1" customHeight="1">
      <c r="A236" s="65"/>
      <c r="B236" s="65"/>
      <c r="C236" s="66"/>
      <c r="D236" s="67"/>
      <c r="E236" s="67"/>
      <c r="F236" s="67"/>
    </row>
    <row r="237" spans="1:6" ht="15.75" hidden="1" customHeight="1">
      <c r="A237" s="65"/>
      <c r="B237" s="65"/>
      <c r="C237" s="66"/>
      <c r="D237" s="67"/>
      <c r="E237" s="67"/>
      <c r="F237" s="67"/>
    </row>
    <row r="238" spans="1:6" ht="15.75" hidden="1" customHeight="1">
      <c r="A238" s="65"/>
      <c r="B238" s="65"/>
      <c r="C238" s="66"/>
      <c r="D238" s="67"/>
      <c r="E238" s="67"/>
      <c r="F238" s="67"/>
    </row>
    <row r="239" spans="1:6" ht="15.75" hidden="1" customHeight="1">
      <c r="A239" s="65"/>
      <c r="B239" s="65"/>
      <c r="C239" s="66"/>
      <c r="D239" s="67"/>
      <c r="E239" s="67"/>
      <c r="F239" s="67"/>
    </row>
    <row r="240" spans="1:6" ht="15.75" hidden="1" customHeight="1">
      <c r="A240" s="65"/>
      <c r="B240" s="65"/>
      <c r="C240" s="66"/>
      <c r="D240" s="67"/>
      <c r="E240" s="67"/>
      <c r="F240" s="67"/>
    </row>
    <row r="241" spans="1:6" ht="15.75" hidden="1" customHeight="1">
      <c r="A241" s="65"/>
      <c r="B241" s="65"/>
      <c r="C241" s="66"/>
      <c r="D241" s="67"/>
      <c r="E241" s="67"/>
      <c r="F241" s="67"/>
    </row>
    <row r="242" spans="1:6" ht="15.75" hidden="1" customHeight="1">
      <c r="A242" s="65"/>
      <c r="B242" s="65"/>
      <c r="C242" s="66"/>
      <c r="D242" s="67"/>
      <c r="E242" s="67"/>
      <c r="F242" s="67"/>
    </row>
    <row r="243" spans="1:6" ht="15.75" hidden="1" customHeight="1">
      <c r="A243" s="65"/>
      <c r="B243" s="65"/>
      <c r="C243" s="66"/>
      <c r="D243" s="67"/>
      <c r="E243" s="67"/>
      <c r="F243" s="67"/>
    </row>
    <row r="244" spans="1:6" ht="15.75" hidden="1" customHeight="1">
      <c r="A244" s="65"/>
      <c r="B244" s="65"/>
      <c r="C244" s="66"/>
      <c r="D244" s="67"/>
      <c r="E244" s="67"/>
      <c r="F244" s="67"/>
    </row>
    <row r="245" spans="1:6" ht="15.75" hidden="1" customHeight="1">
      <c r="A245" s="65"/>
      <c r="B245" s="65"/>
      <c r="C245" s="66"/>
      <c r="D245" s="67"/>
      <c r="E245" s="67"/>
      <c r="F245" s="67"/>
    </row>
    <row r="246" spans="1:6" ht="15.75" hidden="1" customHeight="1">
      <c r="A246" s="65"/>
      <c r="B246" s="65"/>
      <c r="C246" s="66"/>
      <c r="D246" s="67"/>
      <c r="E246" s="67"/>
      <c r="F246" s="67"/>
    </row>
    <row r="247" spans="1:6" ht="15.75" hidden="1" customHeight="1">
      <c r="A247" s="65"/>
      <c r="B247" s="65"/>
      <c r="C247" s="66"/>
      <c r="D247" s="67"/>
      <c r="E247" s="67"/>
      <c r="F247" s="67"/>
    </row>
    <row r="248" spans="1:6" ht="15.75" hidden="1" customHeight="1">
      <c r="A248" s="65"/>
      <c r="B248" s="65"/>
      <c r="C248" s="66"/>
      <c r="D248" s="67"/>
      <c r="E248" s="67"/>
      <c r="F248" s="67"/>
    </row>
    <row r="249" spans="1:6" ht="15.75" hidden="1" customHeight="1">
      <c r="A249" s="65"/>
      <c r="B249" s="65"/>
      <c r="C249" s="66"/>
      <c r="D249" s="67"/>
      <c r="E249" s="67"/>
      <c r="F249" s="67"/>
    </row>
    <row r="250" spans="1:6" ht="15.75" hidden="1" customHeight="1">
      <c r="A250" s="65"/>
      <c r="B250" s="65"/>
      <c r="C250" s="66"/>
      <c r="D250" s="67"/>
      <c r="E250" s="67"/>
      <c r="F250" s="67"/>
    </row>
    <row r="251" spans="1:6" ht="15.75" hidden="1" customHeight="1">
      <c r="A251" s="65"/>
      <c r="B251" s="65"/>
      <c r="C251" s="66"/>
      <c r="D251" s="67"/>
      <c r="E251" s="67"/>
      <c r="F251" s="67"/>
    </row>
    <row r="252" spans="1:6" ht="15.75" hidden="1" customHeight="1">
      <c r="A252" s="65"/>
      <c r="B252" s="65"/>
      <c r="C252" s="66"/>
      <c r="D252" s="67"/>
      <c r="E252" s="67"/>
      <c r="F252" s="67"/>
    </row>
    <row r="253" spans="1:6" ht="15.75" hidden="1" customHeight="1">
      <c r="A253" s="65"/>
      <c r="B253" s="65"/>
      <c r="C253" s="66"/>
      <c r="D253" s="67"/>
      <c r="E253" s="67"/>
      <c r="F253" s="67"/>
    </row>
    <row r="254" spans="1:6" ht="15.75" hidden="1" customHeight="1">
      <c r="A254" s="65"/>
      <c r="B254" s="65"/>
      <c r="C254" s="66"/>
      <c r="D254" s="67"/>
      <c r="E254" s="67"/>
      <c r="F254" s="67"/>
    </row>
    <row r="255" spans="1:6" ht="15.75" hidden="1" customHeight="1">
      <c r="A255" s="65"/>
      <c r="B255" s="65"/>
      <c r="C255" s="66"/>
      <c r="D255" s="67"/>
      <c r="E255" s="67"/>
      <c r="F255" s="67"/>
    </row>
    <row r="256" spans="1:6" ht="15.75" hidden="1" customHeight="1">
      <c r="A256" s="65"/>
      <c r="B256" s="65"/>
      <c r="C256" s="66"/>
      <c r="D256" s="67"/>
      <c r="E256" s="67"/>
      <c r="F256" s="67"/>
    </row>
    <row r="257" spans="1:6" ht="15.75" hidden="1" customHeight="1">
      <c r="A257" s="65"/>
      <c r="B257" s="65"/>
      <c r="C257" s="66"/>
      <c r="D257" s="67"/>
      <c r="E257" s="67"/>
      <c r="F257" s="67"/>
    </row>
    <row r="258" spans="1:6" ht="15.75" hidden="1" customHeight="1">
      <c r="A258" s="65"/>
      <c r="B258" s="65"/>
      <c r="C258" s="66"/>
      <c r="D258" s="67"/>
      <c r="E258" s="67"/>
      <c r="F258" s="67"/>
    </row>
    <row r="259" spans="1:6" ht="15.75" hidden="1" customHeight="1">
      <c r="A259" s="65"/>
      <c r="B259" s="65"/>
      <c r="C259" s="66"/>
      <c r="D259" s="67"/>
      <c r="E259" s="67"/>
      <c r="F259" s="67"/>
    </row>
    <row r="260" spans="1:6" ht="15.75" hidden="1" customHeight="1">
      <c r="A260" s="65"/>
      <c r="B260" s="65"/>
      <c r="C260" s="66"/>
      <c r="D260" s="67"/>
      <c r="E260" s="67"/>
      <c r="F260" s="67"/>
    </row>
    <row r="261" spans="1:6" ht="15.75" hidden="1" customHeight="1">
      <c r="A261" s="65"/>
      <c r="B261" s="65"/>
      <c r="C261" s="66"/>
      <c r="D261" s="67"/>
      <c r="E261" s="67"/>
      <c r="F261" s="67"/>
    </row>
    <row r="262" spans="1:6" ht="15.75" hidden="1" customHeight="1">
      <c r="A262" s="65"/>
      <c r="B262" s="65"/>
      <c r="C262" s="66"/>
      <c r="D262" s="67"/>
      <c r="E262" s="67"/>
      <c r="F262" s="67"/>
    </row>
    <row r="263" spans="1:6" ht="15.75" hidden="1" customHeight="1">
      <c r="A263" s="65"/>
      <c r="B263" s="65"/>
      <c r="C263" s="66"/>
      <c r="D263" s="67"/>
      <c r="E263" s="67"/>
      <c r="F263" s="67"/>
    </row>
    <row r="264" spans="1:6" ht="15.75" hidden="1" customHeight="1">
      <c r="A264" s="65"/>
      <c r="B264" s="65"/>
      <c r="C264" s="66"/>
      <c r="D264" s="67"/>
      <c r="E264" s="67"/>
      <c r="F264" s="67"/>
    </row>
    <row r="265" spans="1:6" ht="15.75" hidden="1" customHeight="1">
      <c r="A265" s="65"/>
      <c r="B265" s="65"/>
      <c r="C265" s="66"/>
      <c r="D265" s="67"/>
      <c r="E265" s="67"/>
      <c r="F265" s="67"/>
    </row>
    <row r="266" spans="1:6" ht="15.75" hidden="1" customHeight="1">
      <c r="A266" s="65"/>
      <c r="B266" s="65"/>
      <c r="C266" s="66"/>
      <c r="D266" s="67"/>
      <c r="E266" s="67"/>
      <c r="F266" s="67"/>
    </row>
    <row r="267" spans="1:6" ht="15.75" hidden="1" customHeight="1">
      <c r="A267" s="65"/>
      <c r="B267" s="65"/>
      <c r="C267" s="66"/>
      <c r="D267" s="67"/>
      <c r="E267" s="67"/>
      <c r="F267" s="67"/>
    </row>
    <row r="268" spans="1:6" ht="15.75" hidden="1" customHeight="1">
      <c r="A268" s="65"/>
      <c r="B268" s="65"/>
      <c r="C268" s="66"/>
      <c r="D268" s="67"/>
      <c r="E268" s="67"/>
      <c r="F268" s="67"/>
    </row>
    <row r="269" spans="1:6" ht="15.75" hidden="1" customHeight="1">
      <c r="A269" s="65"/>
      <c r="B269" s="65"/>
      <c r="C269" s="66"/>
      <c r="D269" s="67"/>
      <c r="E269" s="67"/>
      <c r="F269" s="67"/>
    </row>
    <row r="270" spans="1:6" ht="15.75" hidden="1" customHeight="1">
      <c r="A270" s="65"/>
      <c r="B270" s="65"/>
      <c r="C270" s="66"/>
      <c r="D270" s="67"/>
      <c r="E270" s="67"/>
      <c r="F270" s="67"/>
    </row>
    <row r="271" spans="1:6" ht="15.75" hidden="1" customHeight="1">
      <c r="A271" s="65"/>
      <c r="B271" s="65"/>
      <c r="C271" s="66"/>
      <c r="D271" s="67"/>
      <c r="E271" s="67"/>
      <c r="F271" s="67"/>
    </row>
    <row r="272" spans="1:6" ht="15.75" hidden="1" customHeight="1">
      <c r="A272" s="65"/>
      <c r="B272" s="65"/>
      <c r="C272" s="66"/>
      <c r="D272" s="67"/>
      <c r="E272" s="67"/>
      <c r="F272" s="67"/>
    </row>
    <row r="273" spans="1:6" ht="15.75" hidden="1" customHeight="1">
      <c r="A273" s="65"/>
      <c r="B273" s="65"/>
      <c r="C273" s="66"/>
      <c r="D273" s="67"/>
      <c r="E273" s="67"/>
      <c r="F273" s="67"/>
    </row>
    <row r="274" spans="1:6" ht="15.75" hidden="1" customHeight="1">
      <c r="A274" s="65"/>
      <c r="B274" s="65"/>
      <c r="C274" s="66"/>
      <c r="D274" s="67"/>
      <c r="E274" s="67"/>
      <c r="F274" s="67"/>
    </row>
    <row r="275" spans="1:6" ht="15.75" hidden="1" customHeight="1">
      <c r="A275" s="65"/>
      <c r="B275" s="65"/>
      <c r="C275" s="66"/>
      <c r="D275" s="67"/>
      <c r="E275" s="67"/>
      <c r="F275" s="67"/>
    </row>
    <row r="276" spans="1:6" ht="15.75" hidden="1" customHeight="1">
      <c r="A276" s="65"/>
      <c r="B276" s="65"/>
      <c r="C276" s="66"/>
      <c r="D276" s="67"/>
      <c r="E276" s="67"/>
      <c r="F276" s="67"/>
    </row>
    <row r="277" spans="1:6" ht="15.75" hidden="1" customHeight="1">
      <c r="A277" s="65"/>
      <c r="B277" s="65"/>
      <c r="C277" s="66"/>
      <c r="D277" s="67"/>
      <c r="E277" s="67"/>
      <c r="F277" s="67"/>
    </row>
    <row r="278" spans="1:6" ht="15.75" hidden="1" customHeight="1">
      <c r="A278" s="65"/>
      <c r="B278" s="65"/>
      <c r="C278" s="66"/>
      <c r="D278" s="67"/>
      <c r="E278" s="67"/>
      <c r="F278" s="67"/>
    </row>
    <row r="279" spans="1:6" ht="15.75" hidden="1" customHeight="1">
      <c r="A279" s="65"/>
      <c r="B279" s="65"/>
      <c r="C279" s="66"/>
      <c r="D279" s="67"/>
      <c r="E279" s="67"/>
      <c r="F279" s="67"/>
    </row>
    <row r="280" spans="1:6" ht="15.75" hidden="1" customHeight="1">
      <c r="A280" s="65"/>
      <c r="B280" s="65"/>
      <c r="C280" s="66"/>
      <c r="D280" s="67"/>
      <c r="E280" s="67"/>
      <c r="F280" s="67"/>
    </row>
    <row r="281" spans="1:6" ht="15.75" hidden="1" customHeight="1">
      <c r="A281" s="65"/>
      <c r="B281" s="65"/>
      <c r="C281" s="66"/>
      <c r="D281" s="67"/>
      <c r="E281" s="67"/>
      <c r="F281" s="67"/>
    </row>
    <row r="282" spans="1:6" ht="15.75" hidden="1" customHeight="1">
      <c r="A282" s="65"/>
      <c r="B282" s="65"/>
      <c r="C282" s="66"/>
      <c r="D282" s="67"/>
      <c r="E282" s="67"/>
      <c r="F282" s="67"/>
    </row>
    <row r="283" spans="1:6" ht="15.75" hidden="1" customHeight="1">
      <c r="A283" s="65"/>
      <c r="B283" s="65"/>
      <c r="C283" s="66"/>
      <c r="D283" s="67"/>
      <c r="E283" s="67"/>
      <c r="F283" s="67"/>
    </row>
    <row r="284" spans="1:6" ht="15.75" hidden="1" customHeight="1">
      <c r="A284" s="65"/>
      <c r="B284" s="65"/>
      <c r="C284" s="66"/>
      <c r="D284" s="67"/>
      <c r="E284" s="67"/>
      <c r="F284" s="67"/>
    </row>
    <row r="285" spans="1:6" ht="15.75" hidden="1" customHeight="1">
      <c r="A285" s="65"/>
      <c r="B285" s="65"/>
      <c r="C285" s="66"/>
      <c r="D285" s="67"/>
      <c r="E285" s="67"/>
      <c r="F285" s="67"/>
    </row>
    <row r="286" spans="1:6" ht="15.75" hidden="1" customHeight="1">
      <c r="A286" s="65"/>
      <c r="B286" s="65"/>
      <c r="C286" s="66"/>
      <c r="D286" s="67"/>
      <c r="E286" s="67"/>
      <c r="F286" s="67"/>
    </row>
    <row r="287" spans="1:6" ht="15.75" hidden="1" customHeight="1">
      <c r="A287" s="65"/>
      <c r="B287" s="65"/>
      <c r="C287" s="66"/>
      <c r="D287" s="67"/>
      <c r="E287" s="67"/>
      <c r="F287" s="67"/>
    </row>
    <row r="288" spans="1:6" ht="15.75" hidden="1" customHeight="1">
      <c r="A288" s="65"/>
      <c r="B288" s="65"/>
      <c r="C288" s="66"/>
      <c r="D288" s="67"/>
      <c r="E288" s="67"/>
      <c r="F288" s="67"/>
    </row>
    <row r="289" spans="1:6" ht="15.75" hidden="1" customHeight="1">
      <c r="A289" s="65"/>
      <c r="B289" s="65"/>
      <c r="C289" s="66"/>
      <c r="D289" s="67"/>
      <c r="E289" s="67"/>
      <c r="F289" s="67"/>
    </row>
    <row r="290" spans="1:6" ht="15.75" hidden="1" customHeight="1">
      <c r="A290" s="65"/>
      <c r="B290" s="65"/>
      <c r="C290" s="66"/>
      <c r="D290" s="67"/>
      <c r="E290" s="67"/>
      <c r="F290" s="67"/>
    </row>
    <row r="291" spans="1:6" ht="15.75" hidden="1" customHeight="1">
      <c r="A291" s="65"/>
      <c r="B291" s="65"/>
      <c r="C291" s="66"/>
      <c r="D291" s="67"/>
      <c r="E291" s="67"/>
      <c r="F291" s="67"/>
    </row>
    <row r="292" spans="1:6" ht="15.75" hidden="1" customHeight="1">
      <c r="A292" s="65"/>
      <c r="B292" s="65"/>
      <c r="C292" s="66"/>
      <c r="D292" s="67"/>
      <c r="E292" s="67"/>
      <c r="F292" s="67"/>
    </row>
    <row r="293" spans="1:6" ht="15.75" hidden="1" customHeight="1">
      <c r="A293" s="65"/>
      <c r="B293" s="65"/>
      <c r="C293" s="66"/>
      <c r="D293" s="67"/>
      <c r="E293" s="67"/>
      <c r="F293" s="67"/>
    </row>
    <row r="294" spans="1:6" ht="15.75" hidden="1" customHeight="1">
      <c r="A294" s="65"/>
      <c r="B294" s="65"/>
      <c r="C294" s="66"/>
      <c r="D294" s="67"/>
      <c r="E294" s="67"/>
      <c r="F294" s="67"/>
    </row>
    <row r="295" spans="1:6" ht="15.75" hidden="1" customHeight="1">
      <c r="D295" s="68"/>
    </row>
    <row r="296" spans="1:6" ht="15.75" hidden="1" customHeight="1">
      <c r="D296" s="68"/>
    </row>
    <row r="297" spans="1:6" ht="15.75" hidden="1" customHeight="1">
      <c r="D297" s="68"/>
    </row>
    <row r="298" spans="1:6" ht="15.75" hidden="1" customHeight="1">
      <c r="D298" s="68"/>
    </row>
    <row r="299" spans="1:6" ht="15.75" hidden="1" customHeight="1">
      <c r="D299" s="68"/>
    </row>
    <row r="300" spans="1:6" ht="15.75" hidden="1" customHeight="1">
      <c r="D300" s="68"/>
    </row>
    <row r="301" spans="1:6" ht="15.75" hidden="1" customHeight="1">
      <c r="D301" s="68"/>
    </row>
    <row r="302" spans="1:6" ht="15.75" hidden="1" customHeight="1">
      <c r="D302" s="68"/>
    </row>
    <row r="303" spans="1:6" ht="15.75" hidden="1" customHeight="1">
      <c r="D303" s="68"/>
    </row>
    <row r="304" spans="1:6" ht="15.75" hidden="1" customHeight="1">
      <c r="D304" s="68"/>
    </row>
    <row r="305" spans="4:4" ht="15.75" hidden="1" customHeight="1">
      <c r="D305" s="68"/>
    </row>
    <row r="306" spans="4:4" ht="15.75" hidden="1" customHeight="1">
      <c r="D306" s="68"/>
    </row>
    <row r="307" spans="4:4" ht="15.75" hidden="1" customHeight="1">
      <c r="D307" s="68"/>
    </row>
    <row r="308" spans="4:4" ht="15.75" hidden="1" customHeight="1">
      <c r="D308" s="68"/>
    </row>
    <row r="309" spans="4:4" ht="15.75" hidden="1" customHeight="1">
      <c r="D309" s="68"/>
    </row>
    <row r="310" spans="4:4" ht="15.75" hidden="1" customHeight="1">
      <c r="D310" s="68"/>
    </row>
    <row r="311" spans="4:4" ht="15.75" hidden="1" customHeight="1">
      <c r="D311" s="68"/>
    </row>
    <row r="312" spans="4:4" ht="15.75" hidden="1" customHeight="1">
      <c r="D312" s="68"/>
    </row>
    <row r="313" spans="4:4" ht="15.75" hidden="1" customHeight="1">
      <c r="D313" s="68"/>
    </row>
    <row r="314" spans="4:4" ht="15.75" hidden="1" customHeight="1">
      <c r="D314" s="68"/>
    </row>
    <row r="315" spans="4:4" ht="15.75" hidden="1" customHeight="1">
      <c r="D315" s="68"/>
    </row>
    <row r="316" spans="4:4" ht="15.75" hidden="1" customHeight="1">
      <c r="D316" s="68"/>
    </row>
    <row r="317" spans="4:4" ht="15.75" hidden="1" customHeight="1">
      <c r="D317" s="68"/>
    </row>
    <row r="318" spans="4:4" ht="15.75" hidden="1" customHeight="1">
      <c r="D318" s="68"/>
    </row>
    <row r="319" spans="4:4" ht="15.75" hidden="1" customHeight="1">
      <c r="D319" s="68"/>
    </row>
    <row r="320" spans="4:4" ht="15.75" hidden="1" customHeight="1">
      <c r="D320" s="68"/>
    </row>
    <row r="321" spans="4:4" ht="15.75" hidden="1" customHeight="1">
      <c r="D321" s="68"/>
    </row>
    <row r="322" spans="4:4" ht="15.75" hidden="1" customHeight="1">
      <c r="D322" s="68"/>
    </row>
    <row r="323" spans="4:4" ht="15.75" hidden="1" customHeight="1">
      <c r="D323" s="68"/>
    </row>
    <row r="324" spans="4:4" ht="15.75" hidden="1" customHeight="1">
      <c r="D324" s="68"/>
    </row>
    <row r="325" spans="4:4" ht="15.75" hidden="1" customHeight="1">
      <c r="D325" s="68"/>
    </row>
    <row r="326" spans="4:4" ht="15.75" hidden="1" customHeight="1">
      <c r="D326" s="68"/>
    </row>
    <row r="327" spans="4:4" ht="15.75" hidden="1" customHeight="1">
      <c r="D327" s="68"/>
    </row>
    <row r="328" spans="4:4" ht="15.75" hidden="1" customHeight="1">
      <c r="D328" s="68"/>
    </row>
    <row r="329" spans="4:4" ht="15.75" hidden="1" customHeight="1">
      <c r="D329" s="68"/>
    </row>
    <row r="330" spans="4:4" ht="15.75" hidden="1" customHeight="1">
      <c r="D330" s="68"/>
    </row>
    <row r="331" spans="4:4" ht="15.75" hidden="1" customHeight="1">
      <c r="D331" s="68"/>
    </row>
    <row r="332" spans="4:4" ht="15.75" hidden="1" customHeight="1">
      <c r="D332" s="68"/>
    </row>
    <row r="333" spans="4:4" ht="15.75" hidden="1" customHeight="1">
      <c r="D333" s="68"/>
    </row>
    <row r="334" spans="4:4" ht="15.75" hidden="1" customHeight="1">
      <c r="D334" s="68"/>
    </row>
    <row r="335" spans="4:4" ht="15.75" hidden="1" customHeight="1">
      <c r="D335" s="68"/>
    </row>
    <row r="336" spans="4:4" ht="15.75" hidden="1" customHeight="1">
      <c r="D336" s="68"/>
    </row>
    <row r="337" spans="4:4" ht="15.75" hidden="1" customHeight="1">
      <c r="D337" s="68"/>
    </row>
    <row r="338" spans="4:4" ht="15.75" hidden="1" customHeight="1">
      <c r="D338" s="68"/>
    </row>
    <row r="339" spans="4:4" ht="15.75" hidden="1" customHeight="1">
      <c r="D339" s="68"/>
    </row>
    <row r="340" spans="4:4" ht="15.75" hidden="1" customHeight="1">
      <c r="D340" s="68"/>
    </row>
    <row r="341" spans="4:4" ht="15.75" hidden="1" customHeight="1">
      <c r="D341" s="68"/>
    </row>
    <row r="342" spans="4:4" ht="15.75" hidden="1" customHeight="1">
      <c r="D342" s="68"/>
    </row>
    <row r="343" spans="4:4" ht="15.75" hidden="1" customHeight="1">
      <c r="D343" s="68"/>
    </row>
    <row r="344" spans="4:4" ht="15.75" hidden="1" customHeight="1">
      <c r="D344" s="68"/>
    </row>
    <row r="345" spans="4:4" ht="15.75" hidden="1" customHeight="1">
      <c r="D345" s="68"/>
    </row>
    <row r="346" spans="4:4" ht="15.75" hidden="1" customHeight="1">
      <c r="D346" s="68"/>
    </row>
    <row r="347" spans="4:4" ht="15.75" hidden="1" customHeight="1">
      <c r="D347" s="68"/>
    </row>
    <row r="348" spans="4:4" ht="15.75" hidden="1" customHeight="1">
      <c r="D348" s="68"/>
    </row>
    <row r="349" spans="4:4" ht="15.75" hidden="1" customHeight="1">
      <c r="D349" s="68"/>
    </row>
    <row r="350" spans="4:4" ht="15.75" hidden="1" customHeight="1">
      <c r="D350" s="68"/>
    </row>
    <row r="351" spans="4:4" ht="15.75" hidden="1" customHeight="1">
      <c r="D351" s="68"/>
    </row>
    <row r="352" spans="4:4" ht="15.75" hidden="1" customHeight="1">
      <c r="D352" s="68"/>
    </row>
    <row r="353" spans="4:4" ht="15.75" hidden="1" customHeight="1">
      <c r="D353" s="68"/>
    </row>
    <row r="354" spans="4:4" ht="15.75" hidden="1" customHeight="1">
      <c r="D354" s="68"/>
    </row>
    <row r="355" spans="4:4" ht="15.75" hidden="1" customHeight="1">
      <c r="D355" s="68"/>
    </row>
    <row r="356" spans="4:4" ht="15.75" hidden="1" customHeight="1">
      <c r="D356" s="68"/>
    </row>
    <row r="357" spans="4:4" ht="15.75" hidden="1" customHeight="1">
      <c r="D357" s="68"/>
    </row>
    <row r="358" spans="4:4" ht="15.75" hidden="1" customHeight="1">
      <c r="D358" s="68"/>
    </row>
    <row r="359" spans="4:4" ht="15.75" hidden="1" customHeight="1">
      <c r="D359" s="68"/>
    </row>
    <row r="360" spans="4:4" ht="15.75" hidden="1" customHeight="1">
      <c r="D360" s="68"/>
    </row>
    <row r="361" spans="4:4" ht="15.75" hidden="1" customHeight="1">
      <c r="D361" s="68"/>
    </row>
    <row r="362" spans="4:4" ht="15.75" hidden="1" customHeight="1">
      <c r="D362" s="68"/>
    </row>
    <row r="363" spans="4:4" ht="15.75" hidden="1" customHeight="1">
      <c r="D363" s="68"/>
    </row>
    <row r="364" spans="4:4" ht="15.75" hidden="1" customHeight="1">
      <c r="D364" s="68"/>
    </row>
    <row r="365" spans="4:4" ht="15.75" hidden="1" customHeight="1">
      <c r="D365" s="68"/>
    </row>
    <row r="366" spans="4:4" ht="15.75" hidden="1" customHeight="1">
      <c r="D366" s="68"/>
    </row>
    <row r="367" spans="4:4" ht="15.75" hidden="1" customHeight="1">
      <c r="D367" s="68"/>
    </row>
    <row r="368" spans="4:4" ht="15.75" hidden="1" customHeight="1">
      <c r="D368" s="68"/>
    </row>
    <row r="369" spans="4:4" ht="15.75" hidden="1" customHeight="1">
      <c r="D369" s="68"/>
    </row>
    <row r="370" spans="4:4" ht="15.75" hidden="1" customHeight="1">
      <c r="D370" s="68"/>
    </row>
    <row r="371" spans="4:4" ht="15.75" hidden="1" customHeight="1">
      <c r="D371" s="68"/>
    </row>
    <row r="372" spans="4:4" ht="15.75" hidden="1" customHeight="1">
      <c r="D372" s="68"/>
    </row>
    <row r="373" spans="4:4" ht="15.75" hidden="1" customHeight="1">
      <c r="D373" s="68"/>
    </row>
    <row r="374" spans="4:4" ht="15.75" hidden="1" customHeight="1">
      <c r="D374" s="68"/>
    </row>
    <row r="375" spans="4:4" ht="15.75" hidden="1" customHeight="1">
      <c r="D375" s="68"/>
    </row>
    <row r="376" spans="4:4" ht="15.75" hidden="1" customHeight="1">
      <c r="D376" s="68"/>
    </row>
    <row r="377" spans="4:4" ht="15.75" hidden="1" customHeight="1">
      <c r="D377" s="68"/>
    </row>
    <row r="378" spans="4:4" ht="15.75" hidden="1" customHeight="1">
      <c r="D378" s="68"/>
    </row>
    <row r="379" spans="4:4" ht="15.75" hidden="1" customHeight="1">
      <c r="D379" s="68"/>
    </row>
    <row r="380" spans="4:4" ht="15.75" hidden="1" customHeight="1">
      <c r="D380" s="68"/>
    </row>
    <row r="381" spans="4:4" ht="15.75" hidden="1" customHeight="1">
      <c r="D381" s="68"/>
    </row>
    <row r="382" spans="4:4" ht="15.75" hidden="1" customHeight="1">
      <c r="D382" s="68"/>
    </row>
    <row r="383" spans="4:4" ht="15.75" hidden="1" customHeight="1">
      <c r="D383" s="68"/>
    </row>
    <row r="384" spans="4:4" ht="15.75" hidden="1" customHeight="1">
      <c r="D384" s="68"/>
    </row>
    <row r="385" spans="4:4" ht="15.75" hidden="1" customHeight="1">
      <c r="D385" s="68"/>
    </row>
    <row r="386" spans="4:4" ht="15.75" hidden="1" customHeight="1">
      <c r="D386" s="68"/>
    </row>
    <row r="387" spans="4:4" ht="15.75" hidden="1" customHeight="1">
      <c r="D387" s="68"/>
    </row>
    <row r="388" spans="4:4" ht="15.75" hidden="1" customHeight="1">
      <c r="D388" s="68"/>
    </row>
    <row r="389" spans="4:4" ht="15.75" hidden="1" customHeight="1">
      <c r="D389" s="68"/>
    </row>
    <row r="390" spans="4:4" ht="15.75" hidden="1" customHeight="1">
      <c r="D390" s="68"/>
    </row>
    <row r="391" spans="4:4" ht="15.75" hidden="1" customHeight="1">
      <c r="D391" s="68"/>
    </row>
    <row r="392" spans="4:4" ht="15.75" hidden="1" customHeight="1">
      <c r="D392" s="68"/>
    </row>
    <row r="393" spans="4:4" ht="15.75" hidden="1" customHeight="1">
      <c r="D393" s="68"/>
    </row>
    <row r="394" spans="4:4" ht="15.75" hidden="1" customHeight="1">
      <c r="D394" s="68"/>
    </row>
    <row r="395" spans="4:4" ht="15.75" hidden="1" customHeight="1">
      <c r="D395" s="68"/>
    </row>
    <row r="396" spans="4:4" ht="15.75" hidden="1" customHeight="1">
      <c r="D396" s="68"/>
    </row>
    <row r="397" spans="4:4" ht="15.75" hidden="1" customHeight="1">
      <c r="D397" s="68"/>
    </row>
    <row r="398" spans="4:4" ht="15.75" hidden="1" customHeight="1">
      <c r="D398" s="68"/>
    </row>
    <row r="399" spans="4:4" ht="15.75" hidden="1" customHeight="1">
      <c r="D399" s="68"/>
    </row>
    <row r="400" spans="4:4" ht="15.75" hidden="1" customHeight="1">
      <c r="D400" s="68"/>
    </row>
    <row r="401" spans="4:4" ht="15.75" hidden="1" customHeight="1">
      <c r="D401" s="68"/>
    </row>
    <row r="402" spans="4:4" ht="15.75" hidden="1" customHeight="1">
      <c r="D402" s="68"/>
    </row>
    <row r="403" spans="4:4" ht="15.75" hidden="1" customHeight="1">
      <c r="D403" s="68"/>
    </row>
    <row r="404" spans="4:4" ht="15.75" hidden="1" customHeight="1">
      <c r="D404" s="68"/>
    </row>
    <row r="405" spans="4:4" ht="15.75" hidden="1" customHeight="1">
      <c r="D405" s="68"/>
    </row>
    <row r="406" spans="4:4" ht="15.75" hidden="1" customHeight="1">
      <c r="D406" s="68"/>
    </row>
    <row r="407" spans="4:4" ht="15.75" hidden="1" customHeight="1">
      <c r="D407" s="68"/>
    </row>
    <row r="408" spans="4:4" ht="15.75" hidden="1" customHeight="1">
      <c r="D408" s="68"/>
    </row>
    <row r="409" spans="4:4" ht="15.75" hidden="1" customHeight="1">
      <c r="D409" s="68"/>
    </row>
    <row r="410" spans="4:4" ht="15.75" hidden="1" customHeight="1">
      <c r="D410" s="68"/>
    </row>
    <row r="411" spans="4:4" ht="15.75" hidden="1" customHeight="1">
      <c r="D411" s="68"/>
    </row>
    <row r="412" spans="4:4" ht="15.75" hidden="1" customHeight="1">
      <c r="D412" s="68"/>
    </row>
    <row r="413" spans="4:4" ht="15.75" hidden="1" customHeight="1">
      <c r="D413" s="68"/>
    </row>
    <row r="414" spans="4:4" ht="15.75" hidden="1" customHeight="1">
      <c r="D414" s="68"/>
    </row>
    <row r="415" spans="4:4" ht="15.75" hidden="1" customHeight="1">
      <c r="D415" s="68"/>
    </row>
    <row r="416" spans="4:4" ht="15.75" hidden="1" customHeight="1">
      <c r="D416" s="68"/>
    </row>
    <row r="417" spans="4:4" ht="15.75" hidden="1" customHeight="1">
      <c r="D417" s="68"/>
    </row>
    <row r="418" spans="4:4" ht="15.75" hidden="1" customHeight="1">
      <c r="D418" s="68"/>
    </row>
    <row r="419" spans="4:4" ht="15.75" hidden="1" customHeight="1">
      <c r="D419" s="68"/>
    </row>
    <row r="420" spans="4:4" ht="15.75" hidden="1" customHeight="1">
      <c r="D420" s="68"/>
    </row>
    <row r="421" spans="4:4" ht="15.75" hidden="1" customHeight="1">
      <c r="D421" s="68"/>
    </row>
    <row r="422" spans="4:4" ht="15.75" hidden="1" customHeight="1">
      <c r="D422" s="68"/>
    </row>
    <row r="423" spans="4:4" ht="15.75" hidden="1" customHeight="1">
      <c r="D423" s="68"/>
    </row>
    <row r="424" spans="4:4" ht="15.75" hidden="1" customHeight="1">
      <c r="D424" s="68"/>
    </row>
    <row r="425" spans="4:4" ht="15.75" hidden="1" customHeight="1">
      <c r="D425" s="68"/>
    </row>
    <row r="426" spans="4:4" ht="15.75" hidden="1" customHeight="1">
      <c r="D426" s="68"/>
    </row>
    <row r="427" spans="4:4" ht="15.75" hidden="1" customHeight="1">
      <c r="D427" s="68"/>
    </row>
    <row r="428" spans="4:4" ht="15.75" hidden="1" customHeight="1">
      <c r="D428" s="68"/>
    </row>
    <row r="429" spans="4:4" ht="15.75" hidden="1" customHeight="1">
      <c r="D429" s="68"/>
    </row>
    <row r="430" spans="4:4" ht="15.75" hidden="1" customHeight="1">
      <c r="D430" s="68"/>
    </row>
    <row r="431" spans="4:4" ht="15.75" hidden="1" customHeight="1">
      <c r="D431" s="68"/>
    </row>
    <row r="432" spans="4:4" ht="15.75" hidden="1" customHeight="1">
      <c r="D432" s="68"/>
    </row>
    <row r="433" spans="4:4" ht="15.75" hidden="1" customHeight="1">
      <c r="D433" s="68"/>
    </row>
    <row r="434" spans="4:4" ht="15.75" hidden="1" customHeight="1">
      <c r="D434" s="68"/>
    </row>
    <row r="435" spans="4:4" ht="15.75" hidden="1" customHeight="1">
      <c r="D435" s="68"/>
    </row>
    <row r="436" spans="4:4" ht="15.75" hidden="1" customHeight="1">
      <c r="D436" s="68"/>
    </row>
    <row r="437" spans="4:4" ht="15.75" hidden="1" customHeight="1">
      <c r="D437" s="68"/>
    </row>
    <row r="438" spans="4:4" ht="15.75" hidden="1" customHeight="1">
      <c r="D438" s="68"/>
    </row>
    <row r="439" spans="4:4" ht="15.75" hidden="1" customHeight="1">
      <c r="D439" s="68"/>
    </row>
    <row r="440" spans="4:4" ht="15.75" hidden="1" customHeight="1">
      <c r="D440" s="68"/>
    </row>
    <row r="441" spans="4:4" ht="15.75" hidden="1" customHeight="1">
      <c r="D441" s="68"/>
    </row>
    <row r="442" spans="4:4" ht="15.75" hidden="1" customHeight="1">
      <c r="D442" s="68"/>
    </row>
    <row r="443" spans="4:4" ht="15.75" hidden="1" customHeight="1">
      <c r="D443" s="68"/>
    </row>
    <row r="444" spans="4:4" ht="15.75" hidden="1" customHeight="1">
      <c r="D444" s="68"/>
    </row>
    <row r="445" spans="4:4" ht="15.75" hidden="1" customHeight="1">
      <c r="D445" s="68"/>
    </row>
    <row r="446" spans="4:4" ht="15.75" hidden="1" customHeight="1">
      <c r="D446" s="68"/>
    </row>
    <row r="447" spans="4:4" ht="15.75" hidden="1" customHeight="1">
      <c r="D447" s="68"/>
    </row>
    <row r="448" spans="4:4" ht="15.75" hidden="1" customHeight="1">
      <c r="D448" s="68"/>
    </row>
    <row r="449" spans="4:4" ht="15.75" hidden="1" customHeight="1">
      <c r="D449" s="68"/>
    </row>
    <row r="450" spans="4:4" ht="15.75" hidden="1" customHeight="1">
      <c r="D450" s="68"/>
    </row>
    <row r="451" spans="4:4" ht="15.75" hidden="1" customHeight="1">
      <c r="D451" s="68"/>
    </row>
    <row r="452" spans="4:4" ht="15.75" hidden="1" customHeight="1">
      <c r="D452" s="68"/>
    </row>
    <row r="453" spans="4:4" ht="15.75" hidden="1" customHeight="1">
      <c r="D453" s="68"/>
    </row>
    <row r="454" spans="4:4" ht="15.75" hidden="1" customHeight="1">
      <c r="D454" s="68"/>
    </row>
    <row r="455" spans="4:4" ht="15.75" hidden="1" customHeight="1">
      <c r="D455" s="68"/>
    </row>
    <row r="456" spans="4:4" ht="15.75" hidden="1" customHeight="1">
      <c r="D456" s="68"/>
    </row>
    <row r="457" spans="4:4" ht="15.75" hidden="1" customHeight="1">
      <c r="D457" s="68"/>
    </row>
    <row r="458" spans="4:4" ht="15.75" hidden="1" customHeight="1">
      <c r="D458" s="68"/>
    </row>
    <row r="459" spans="4:4" ht="15.75" hidden="1" customHeight="1">
      <c r="D459" s="68"/>
    </row>
    <row r="460" spans="4:4" ht="15.75" hidden="1" customHeight="1">
      <c r="D460" s="68"/>
    </row>
    <row r="461" spans="4:4" ht="15.75" hidden="1" customHeight="1">
      <c r="D461" s="68"/>
    </row>
    <row r="462" spans="4:4" ht="15.75" hidden="1" customHeight="1">
      <c r="D462" s="68"/>
    </row>
    <row r="463" spans="4:4" ht="15.75" hidden="1" customHeight="1">
      <c r="D463" s="68"/>
    </row>
    <row r="464" spans="4:4" ht="15.75" hidden="1" customHeight="1">
      <c r="D464" s="68"/>
    </row>
    <row r="465" spans="4:4" ht="15.75" hidden="1" customHeight="1">
      <c r="D465" s="68"/>
    </row>
    <row r="466" spans="4:4" ht="15.75" hidden="1" customHeight="1">
      <c r="D466" s="68"/>
    </row>
    <row r="467" spans="4:4" ht="15.75" hidden="1" customHeight="1">
      <c r="D467" s="68"/>
    </row>
    <row r="468" spans="4:4" ht="15.75" hidden="1" customHeight="1">
      <c r="D468" s="68"/>
    </row>
    <row r="469" spans="4:4" ht="15.75" hidden="1" customHeight="1">
      <c r="D469" s="68"/>
    </row>
    <row r="470" spans="4:4" ht="15.75" hidden="1" customHeight="1">
      <c r="D470" s="68"/>
    </row>
    <row r="471" spans="4:4" ht="15.75" hidden="1" customHeight="1">
      <c r="D471" s="68"/>
    </row>
    <row r="472" spans="4:4" ht="15.75" hidden="1" customHeight="1">
      <c r="D472" s="68"/>
    </row>
    <row r="473" spans="4:4" ht="15.75" hidden="1" customHeight="1">
      <c r="D473" s="68"/>
    </row>
    <row r="474" spans="4:4" ht="15.75" hidden="1" customHeight="1">
      <c r="D474" s="68"/>
    </row>
    <row r="475" spans="4:4" ht="15.75" hidden="1" customHeight="1">
      <c r="D475" s="68"/>
    </row>
    <row r="476" spans="4:4" ht="15.75" hidden="1" customHeight="1">
      <c r="D476" s="68"/>
    </row>
    <row r="477" spans="4:4" ht="15.75" hidden="1" customHeight="1">
      <c r="D477" s="68"/>
    </row>
    <row r="478" spans="4:4" ht="15.75" hidden="1" customHeight="1">
      <c r="D478" s="68"/>
    </row>
    <row r="479" spans="4:4" ht="15.75" hidden="1" customHeight="1">
      <c r="D479" s="68"/>
    </row>
    <row r="480" spans="4:4" ht="15.75" hidden="1" customHeight="1">
      <c r="D480" s="68"/>
    </row>
    <row r="481" spans="4:4" ht="15.75" hidden="1" customHeight="1">
      <c r="D481" s="68"/>
    </row>
    <row r="482" spans="4:4" ht="15.75" hidden="1" customHeight="1">
      <c r="D482" s="68"/>
    </row>
    <row r="483" spans="4:4" ht="15.75" hidden="1" customHeight="1">
      <c r="D483" s="68"/>
    </row>
    <row r="484" spans="4:4" ht="15.75" hidden="1" customHeight="1">
      <c r="D484" s="68"/>
    </row>
    <row r="485" spans="4:4" ht="15.75" hidden="1" customHeight="1">
      <c r="D485" s="68"/>
    </row>
    <row r="486" spans="4:4" ht="15.75" hidden="1" customHeight="1">
      <c r="D486" s="68"/>
    </row>
    <row r="487" spans="4:4" ht="15.75" hidden="1" customHeight="1">
      <c r="D487" s="68"/>
    </row>
    <row r="488" spans="4:4" ht="15.75" hidden="1" customHeight="1">
      <c r="D488" s="68"/>
    </row>
    <row r="489" spans="4:4" ht="15.75" hidden="1" customHeight="1">
      <c r="D489" s="68"/>
    </row>
    <row r="490" spans="4:4" ht="15.75" hidden="1" customHeight="1">
      <c r="D490" s="68"/>
    </row>
    <row r="491" spans="4:4" ht="15.75" hidden="1" customHeight="1">
      <c r="D491" s="68"/>
    </row>
    <row r="492" spans="4:4" ht="15.75" hidden="1" customHeight="1">
      <c r="D492" s="68"/>
    </row>
    <row r="493" spans="4:4" ht="15.75" hidden="1" customHeight="1">
      <c r="D493" s="68"/>
    </row>
    <row r="494" spans="4:4" ht="15.75" hidden="1" customHeight="1">
      <c r="D494" s="68"/>
    </row>
    <row r="495" spans="4:4" ht="15.75" hidden="1" customHeight="1">
      <c r="D495" s="68"/>
    </row>
    <row r="496" spans="4:4" ht="15.75" hidden="1" customHeight="1">
      <c r="D496" s="68"/>
    </row>
    <row r="497" spans="4:4" ht="15.75" hidden="1" customHeight="1">
      <c r="D497" s="68"/>
    </row>
    <row r="498" spans="4:4" ht="15.75" hidden="1" customHeight="1">
      <c r="D498" s="68"/>
    </row>
    <row r="499" spans="4:4" ht="15.75" hidden="1" customHeight="1">
      <c r="D499" s="68"/>
    </row>
    <row r="500" spans="4:4" ht="15.75" hidden="1" customHeight="1">
      <c r="D500" s="68"/>
    </row>
    <row r="501" spans="4:4" ht="15.75" hidden="1" customHeight="1">
      <c r="D501" s="68"/>
    </row>
    <row r="502" spans="4:4" ht="15.75" hidden="1" customHeight="1">
      <c r="D502" s="68"/>
    </row>
    <row r="503" spans="4:4" ht="15.75" hidden="1" customHeight="1">
      <c r="D503" s="68"/>
    </row>
    <row r="504" spans="4:4" ht="15.75" hidden="1" customHeight="1">
      <c r="D504" s="68"/>
    </row>
    <row r="505" spans="4:4" ht="15.75" hidden="1" customHeight="1">
      <c r="D505" s="68"/>
    </row>
    <row r="506" spans="4:4" ht="15.75" hidden="1" customHeight="1">
      <c r="D506" s="68"/>
    </row>
    <row r="507" spans="4:4" ht="15.75" hidden="1" customHeight="1">
      <c r="D507" s="68"/>
    </row>
    <row r="508" spans="4:4" ht="15.75" hidden="1" customHeight="1">
      <c r="D508" s="68"/>
    </row>
    <row r="509" spans="4:4" ht="15.75" hidden="1" customHeight="1">
      <c r="D509" s="68"/>
    </row>
    <row r="510" spans="4:4" ht="15.75" hidden="1" customHeight="1">
      <c r="D510" s="68"/>
    </row>
    <row r="511" spans="4:4" ht="15.75" hidden="1" customHeight="1">
      <c r="D511" s="68"/>
    </row>
    <row r="512" spans="4:4" ht="15.75" hidden="1" customHeight="1">
      <c r="D512" s="68"/>
    </row>
    <row r="513" spans="4:4" ht="15.75" hidden="1" customHeight="1">
      <c r="D513" s="68"/>
    </row>
    <row r="514" spans="4:4" ht="15.75" hidden="1" customHeight="1">
      <c r="D514" s="68"/>
    </row>
    <row r="515" spans="4:4" ht="15.75" hidden="1" customHeight="1">
      <c r="D515" s="68"/>
    </row>
    <row r="516" spans="4:4" ht="15.75" hidden="1" customHeight="1">
      <c r="D516" s="68"/>
    </row>
    <row r="517" spans="4:4" ht="15.75" hidden="1" customHeight="1">
      <c r="D517" s="68"/>
    </row>
    <row r="518" spans="4:4" ht="15.75" hidden="1" customHeight="1">
      <c r="D518" s="68"/>
    </row>
    <row r="519" spans="4:4" ht="15.75" hidden="1" customHeight="1">
      <c r="D519" s="68"/>
    </row>
    <row r="520" spans="4:4" ht="15.75" hidden="1" customHeight="1">
      <c r="D520" s="68"/>
    </row>
    <row r="521" spans="4:4" ht="15.75" hidden="1" customHeight="1">
      <c r="D521" s="68"/>
    </row>
    <row r="522" spans="4:4" ht="15.75" hidden="1" customHeight="1">
      <c r="D522" s="68"/>
    </row>
    <row r="523" spans="4:4" ht="15.75" hidden="1" customHeight="1">
      <c r="D523" s="68"/>
    </row>
    <row r="524" spans="4:4" ht="15.75" hidden="1" customHeight="1">
      <c r="D524" s="68"/>
    </row>
    <row r="525" spans="4:4" ht="15.75" hidden="1" customHeight="1">
      <c r="D525" s="68"/>
    </row>
    <row r="526" spans="4:4" ht="15.75" hidden="1" customHeight="1">
      <c r="D526" s="68"/>
    </row>
    <row r="527" spans="4:4" ht="15.75" hidden="1" customHeight="1">
      <c r="D527" s="68"/>
    </row>
    <row r="528" spans="4:4" ht="15.75" hidden="1" customHeight="1">
      <c r="D528" s="68"/>
    </row>
    <row r="529" spans="4:4" ht="15.75" hidden="1" customHeight="1">
      <c r="D529" s="68"/>
    </row>
    <row r="530" spans="4:4" ht="15.75" hidden="1" customHeight="1">
      <c r="D530" s="68"/>
    </row>
    <row r="531" spans="4:4" ht="15.75" hidden="1" customHeight="1">
      <c r="D531" s="68"/>
    </row>
    <row r="532" spans="4:4" ht="15.75" hidden="1" customHeight="1">
      <c r="D532" s="68"/>
    </row>
    <row r="533" spans="4:4" ht="15.75" hidden="1" customHeight="1">
      <c r="D533" s="68"/>
    </row>
    <row r="534" spans="4:4" ht="15.75" hidden="1" customHeight="1">
      <c r="D534" s="68"/>
    </row>
    <row r="535" spans="4:4" ht="15.75" hidden="1" customHeight="1">
      <c r="D535" s="68"/>
    </row>
    <row r="536" spans="4:4" ht="15.75" hidden="1" customHeight="1">
      <c r="D536" s="68"/>
    </row>
    <row r="537" spans="4:4" ht="15.75" hidden="1" customHeight="1">
      <c r="D537" s="68"/>
    </row>
    <row r="538" spans="4:4" ht="15.75" hidden="1" customHeight="1">
      <c r="D538" s="68"/>
    </row>
    <row r="539" spans="4:4" ht="15.75" hidden="1" customHeight="1">
      <c r="D539" s="68"/>
    </row>
    <row r="540" spans="4:4" ht="15.75" hidden="1" customHeight="1">
      <c r="D540" s="68"/>
    </row>
    <row r="541" spans="4:4" ht="15.75" hidden="1" customHeight="1">
      <c r="D541" s="68"/>
    </row>
    <row r="542" spans="4:4" ht="15.75" hidden="1" customHeight="1">
      <c r="D542" s="68"/>
    </row>
    <row r="543" spans="4:4" ht="15.75" hidden="1" customHeight="1">
      <c r="D543" s="68"/>
    </row>
    <row r="544" spans="4:4" ht="15.75" hidden="1" customHeight="1">
      <c r="D544" s="68"/>
    </row>
    <row r="545" spans="4:4" ht="15.75" hidden="1" customHeight="1">
      <c r="D545" s="68"/>
    </row>
    <row r="546" spans="4:4" ht="15.75" hidden="1" customHeight="1">
      <c r="D546" s="68"/>
    </row>
    <row r="547" spans="4:4" ht="15.75" hidden="1" customHeight="1">
      <c r="D547" s="68"/>
    </row>
    <row r="548" spans="4:4" ht="15.75" hidden="1" customHeight="1">
      <c r="D548" s="68"/>
    </row>
    <row r="549" spans="4:4" ht="15.75" hidden="1" customHeight="1">
      <c r="D549" s="68"/>
    </row>
    <row r="550" spans="4:4" ht="15.75" hidden="1" customHeight="1">
      <c r="D550" s="68"/>
    </row>
    <row r="551" spans="4:4" ht="15.75" hidden="1" customHeight="1">
      <c r="D551" s="68"/>
    </row>
    <row r="552" spans="4:4" ht="15.75" hidden="1" customHeight="1">
      <c r="D552" s="68"/>
    </row>
    <row r="553" spans="4:4" ht="15.75" hidden="1" customHeight="1">
      <c r="D553" s="68"/>
    </row>
    <row r="554" spans="4:4" ht="15.75" hidden="1" customHeight="1">
      <c r="D554" s="68"/>
    </row>
    <row r="555" spans="4:4" ht="15.75" hidden="1" customHeight="1">
      <c r="D555" s="68"/>
    </row>
    <row r="556" spans="4:4" ht="15.75" hidden="1" customHeight="1">
      <c r="D556" s="68"/>
    </row>
    <row r="557" spans="4:4" ht="15.75" hidden="1" customHeight="1">
      <c r="D557" s="68"/>
    </row>
    <row r="558" spans="4:4" ht="15.75" hidden="1" customHeight="1">
      <c r="D558" s="68"/>
    </row>
    <row r="559" spans="4:4" ht="15.75" hidden="1" customHeight="1">
      <c r="D559" s="68"/>
    </row>
    <row r="560" spans="4:4" ht="15.75" hidden="1" customHeight="1">
      <c r="D560" s="68"/>
    </row>
    <row r="561" spans="4:4" ht="15.75" hidden="1" customHeight="1">
      <c r="D561" s="68"/>
    </row>
    <row r="562" spans="4:4" ht="15.75" hidden="1" customHeight="1">
      <c r="D562" s="68"/>
    </row>
    <row r="563" spans="4:4" ht="15.75" hidden="1" customHeight="1">
      <c r="D563" s="68"/>
    </row>
    <row r="564" spans="4:4" ht="15.75" hidden="1" customHeight="1">
      <c r="D564" s="68"/>
    </row>
    <row r="565" spans="4:4" ht="15.75" hidden="1" customHeight="1">
      <c r="D565" s="68"/>
    </row>
    <row r="566" spans="4:4" ht="15.75" hidden="1" customHeight="1">
      <c r="D566" s="68"/>
    </row>
    <row r="567" spans="4:4" ht="15.75" hidden="1" customHeight="1">
      <c r="D567" s="68"/>
    </row>
    <row r="568" spans="4:4" ht="15.75" hidden="1" customHeight="1">
      <c r="D568" s="68"/>
    </row>
    <row r="569" spans="4:4" ht="15.75" hidden="1" customHeight="1">
      <c r="D569" s="68"/>
    </row>
    <row r="570" spans="4:4" ht="15.75" hidden="1" customHeight="1">
      <c r="D570" s="68"/>
    </row>
    <row r="571" spans="4:4" ht="15.75" hidden="1" customHeight="1">
      <c r="D571" s="68"/>
    </row>
    <row r="572" spans="4:4" ht="15.75" hidden="1" customHeight="1">
      <c r="D572" s="68"/>
    </row>
    <row r="573" spans="4:4" ht="15.75" hidden="1" customHeight="1">
      <c r="D573" s="68"/>
    </row>
    <row r="574" spans="4:4" ht="15.75" hidden="1" customHeight="1">
      <c r="D574" s="68"/>
    </row>
    <row r="575" spans="4:4" ht="15.75" hidden="1" customHeight="1">
      <c r="D575" s="68"/>
    </row>
    <row r="576" spans="4:4" ht="15.75" hidden="1" customHeight="1">
      <c r="D576" s="68"/>
    </row>
    <row r="577" spans="4:4" ht="15.75" hidden="1" customHeight="1">
      <c r="D577" s="68"/>
    </row>
    <row r="578" spans="4:4" ht="15.75" hidden="1" customHeight="1">
      <c r="D578" s="68"/>
    </row>
    <row r="579" spans="4:4" ht="15.75" hidden="1" customHeight="1">
      <c r="D579" s="68"/>
    </row>
    <row r="580" spans="4:4" ht="15.75" hidden="1" customHeight="1">
      <c r="D580" s="68"/>
    </row>
    <row r="581" spans="4:4" ht="15.75" hidden="1" customHeight="1">
      <c r="D581" s="68"/>
    </row>
    <row r="582" spans="4:4" ht="15.75" hidden="1" customHeight="1">
      <c r="D582" s="68"/>
    </row>
    <row r="583" spans="4:4" ht="15.75" hidden="1" customHeight="1">
      <c r="D583" s="68"/>
    </row>
    <row r="584" spans="4:4" ht="15.75" hidden="1" customHeight="1">
      <c r="D584" s="68"/>
    </row>
    <row r="585" spans="4:4" ht="15.75" hidden="1" customHeight="1">
      <c r="D585" s="68"/>
    </row>
    <row r="586" spans="4:4" ht="15.75" hidden="1" customHeight="1">
      <c r="D586" s="68"/>
    </row>
    <row r="587" spans="4:4" ht="15.75" hidden="1" customHeight="1">
      <c r="D587" s="68"/>
    </row>
    <row r="588" spans="4:4" ht="15.75" hidden="1" customHeight="1">
      <c r="D588" s="68"/>
    </row>
    <row r="589" spans="4:4" ht="15.75" hidden="1" customHeight="1">
      <c r="D589" s="68"/>
    </row>
    <row r="590" spans="4:4" ht="15.75" hidden="1" customHeight="1">
      <c r="D590" s="68"/>
    </row>
    <row r="591" spans="4:4" ht="15.75" hidden="1" customHeight="1">
      <c r="D591" s="68"/>
    </row>
    <row r="592" spans="4:4" ht="15.75" hidden="1" customHeight="1">
      <c r="D592" s="68"/>
    </row>
    <row r="593" spans="4:4" ht="15.75" hidden="1" customHeight="1">
      <c r="D593" s="68"/>
    </row>
    <row r="594" spans="4:4" ht="15.75" hidden="1" customHeight="1">
      <c r="D594" s="68"/>
    </row>
    <row r="595" spans="4:4" ht="15.75" hidden="1" customHeight="1">
      <c r="D595" s="68"/>
    </row>
    <row r="596" spans="4:4" ht="15.75" hidden="1" customHeight="1">
      <c r="D596" s="68"/>
    </row>
    <row r="597" spans="4:4" ht="15.75" hidden="1" customHeight="1">
      <c r="D597" s="68"/>
    </row>
    <row r="598" spans="4:4" ht="15.75" hidden="1" customHeight="1">
      <c r="D598" s="68"/>
    </row>
    <row r="599" spans="4:4" ht="15.75" hidden="1" customHeight="1">
      <c r="D599" s="68"/>
    </row>
    <row r="600" spans="4:4" ht="15.75" hidden="1" customHeight="1">
      <c r="D600" s="68"/>
    </row>
    <row r="601" spans="4:4" ht="15.75" hidden="1" customHeight="1">
      <c r="D601" s="68"/>
    </row>
    <row r="602" spans="4:4" ht="15.75" hidden="1" customHeight="1">
      <c r="D602" s="68"/>
    </row>
    <row r="603" spans="4:4" ht="15.75" hidden="1" customHeight="1">
      <c r="D603" s="68"/>
    </row>
    <row r="604" spans="4:4" ht="15.75" hidden="1" customHeight="1">
      <c r="D604" s="68"/>
    </row>
    <row r="605" spans="4:4" ht="15.75" hidden="1" customHeight="1">
      <c r="D605" s="68"/>
    </row>
    <row r="606" spans="4:4" ht="15.75" hidden="1" customHeight="1">
      <c r="D606" s="68"/>
    </row>
    <row r="607" spans="4:4" ht="15.75" hidden="1" customHeight="1">
      <c r="D607" s="68"/>
    </row>
    <row r="608" spans="4:4" ht="15.75" hidden="1" customHeight="1">
      <c r="D608" s="68"/>
    </row>
    <row r="609" spans="4:4" ht="15.75" hidden="1" customHeight="1">
      <c r="D609" s="68"/>
    </row>
    <row r="610" spans="4:4" ht="15.75" hidden="1" customHeight="1">
      <c r="D610" s="68"/>
    </row>
    <row r="611" spans="4:4" ht="15.75" hidden="1" customHeight="1">
      <c r="D611" s="68"/>
    </row>
    <row r="612" spans="4:4" ht="15.75" hidden="1" customHeight="1">
      <c r="D612" s="68"/>
    </row>
    <row r="613" spans="4:4" ht="15.75" hidden="1" customHeight="1">
      <c r="D613" s="68"/>
    </row>
    <row r="614" spans="4:4" ht="15.75" hidden="1" customHeight="1">
      <c r="D614" s="68"/>
    </row>
    <row r="615" spans="4:4" ht="15.75" hidden="1" customHeight="1">
      <c r="D615" s="68"/>
    </row>
    <row r="616" spans="4:4" ht="15.75" hidden="1" customHeight="1">
      <c r="D616" s="68"/>
    </row>
    <row r="617" spans="4:4" ht="15.75" hidden="1" customHeight="1">
      <c r="D617" s="68"/>
    </row>
    <row r="618" spans="4:4" ht="15.75" hidden="1" customHeight="1">
      <c r="D618" s="68"/>
    </row>
    <row r="619" spans="4:4" ht="15.75" hidden="1" customHeight="1">
      <c r="D619" s="68"/>
    </row>
    <row r="620" spans="4:4" ht="15.75" hidden="1" customHeight="1">
      <c r="D620" s="68"/>
    </row>
    <row r="621" spans="4:4" ht="15.75" hidden="1" customHeight="1">
      <c r="D621" s="68"/>
    </row>
    <row r="622" spans="4:4" ht="15.75" hidden="1" customHeight="1">
      <c r="D622" s="68"/>
    </row>
    <row r="623" spans="4:4" ht="15.75" hidden="1" customHeight="1">
      <c r="D623" s="68"/>
    </row>
    <row r="624" spans="4:4" ht="15.75" hidden="1" customHeight="1">
      <c r="D624" s="68"/>
    </row>
    <row r="625" spans="4:4" ht="15.75" hidden="1" customHeight="1">
      <c r="D625" s="68"/>
    </row>
    <row r="626" spans="4:4" ht="15.75" hidden="1" customHeight="1">
      <c r="D626" s="68"/>
    </row>
    <row r="627" spans="4:4" ht="15.75" hidden="1" customHeight="1">
      <c r="D627" s="68"/>
    </row>
    <row r="628" spans="4:4" ht="15.75" hidden="1" customHeight="1">
      <c r="D628" s="68"/>
    </row>
    <row r="629" spans="4:4" ht="15.75" hidden="1" customHeight="1">
      <c r="D629" s="68"/>
    </row>
    <row r="630" spans="4:4" ht="15.75" hidden="1" customHeight="1">
      <c r="D630" s="68"/>
    </row>
    <row r="631" spans="4:4" ht="15.75" hidden="1" customHeight="1">
      <c r="D631" s="68"/>
    </row>
    <row r="632" spans="4:4" ht="15.75" hidden="1" customHeight="1">
      <c r="D632" s="68"/>
    </row>
    <row r="633" spans="4:4" ht="15.75" hidden="1" customHeight="1">
      <c r="D633" s="68"/>
    </row>
    <row r="634" spans="4:4" ht="15.75" hidden="1" customHeight="1">
      <c r="D634" s="68"/>
    </row>
    <row r="635" spans="4:4" ht="15.75" hidden="1" customHeight="1">
      <c r="D635" s="68"/>
    </row>
    <row r="636" spans="4:4" ht="15.75" hidden="1" customHeight="1">
      <c r="D636" s="68"/>
    </row>
    <row r="637" spans="4:4" ht="15.75" hidden="1" customHeight="1">
      <c r="D637" s="68"/>
    </row>
    <row r="638" spans="4:4" ht="15.75" hidden="1" customHeight="1">
      <c r="D638" s="68"/>
    </row>
    <row r="639" spans="4:4" ht="15.75" hidden="1" customHeight="1">
      <c r="D639" s="68"/>
    </row>
    <row r="640" spans="4:4" ht="15.75" hidden="1" customHeight="1">
      <c r="D640" s="68"/>
    </row>
    <row r="641" spans="4:4" ht="15.75" hidden="1" customHeight="1">
      <c r="D641" s="68"/>
    </row>
    <row r="642" spans="4:4" ht="15.75" hidden="1" customHeight="1">
      <c r="D642" s="68"/>
    </row>
    <row r="643" spans="4:4" ht="15.75" hidden="1" customHeight="1">
      <c r="D643" s="68"/>
    </row>
    <row r="644" spans="4:4" ht="15.75" hidden="1" customHeight="1">
      <c r="D644" s="68"/>
    </row>
    <row r="645" spans="4:4" ht="15.75" hidden="1" customHeight="1">
      <c r="D645" s="68"/>
    </row>
    <row r="646" spans="4:4" ht="15.75" hidden="1" customHeight="1">
      <c r="D646" s="68"/>
    </row>
    <row r="647" spans="4:4" ht="15.75" hidden="1" customHeight="1">
      <c r="D647" s="68"/>
    </row>
    <row r="648" spans="4:4" ht="15.75" hidden="1" customHeight="1">
      <c r="D648" s="68"/>
    </row>
    <row r="649" spans="4:4" ht="15.75" hidden="1" customHeight="1">
      <c r="D649" s="68"/>
    </row>
    <row r="650" spans="4:4" ht="15.75" hidden="1" customHeight="1">
      <c r="D650" s="68"/>
    </row>
    <row r="651" spans="4:4" ht="15.75" hidden="1" customHeight="1">
      <c r="D651" s="68"/>
    </row>
    <row r="652" spans="4:4" ht="15.75" hidden="1" customHeight="1">
      <c r="D652" s="68"/>
    </row>
    <row r="653" spans="4:4" ht="15.75" hidden="1" customHeight="1">
      <c r="D653" s="68"/>
    </row>
    <row r="654" spans="4:4" ht="15.75" hidden="1" customHeight="1">
      <c r="D654" s="68"/>
    </row>
    <row r="655" spans="4:4" ht="15.75" hidden="1" customHeight="1">
      <c r="D655" s="68"/>
    </row>
    <row r="656" spans="4:4" ht="15.75" hidden="1" customHeight="1">
      <c r="D656" s="68"/>
    </row>
    <row r="657" spans="4:4" ht="15.75" hidden="1" customHeight="1">
      <c r="D657" s="68"/>
    </row>
    <row r="658" spans="4:4" ht="15.75" hidden="1" customHeight="1">
      <c r="D658" s="68"/>
    </row>
    <row r="659" spans="4:4" ht="15.75" hidden="1" customHeight="1">
      <c r="D659" s="68"/>
    </row>
    <row r="660" spans="4:4" ht="15.75" hidden="1" customHeight="1">
      <c r="D660" s="68"/>
    </row>
    <row r="661" spans="4:4" ht="15.75" hidden="1" customHeight="1">
      <c r="D661" s="68"/>
    </row>
    <row r="662" spans="4:4" ht="15.75" hidden="1" customHeight="1">
      <c r="D662" s="68"/>
    </row>
    <row r="663" spans="4:4" ht="15.75" hidden="1" customHeight="1">
      <c r="D663" s="68"/>
    </row>
    <row r="664" spans="4:4" ht="15.75" hidden="1" customHeight="1">
      <c r="D664" s="68"/>
    </row>
    <row r="665" spans="4:4" ht="15.75" hidden="1" customHeight="1">
      <c r="D665" s="68"/>
    </row>
    <row r="666" spans="4:4" ht="15.75" hidden="1" customHeight="1">
      <c r="D666" s="68"/>
    </row>
    <row r="667" spans="4:4" ht="15.75" hidden="1" customHeight="1">
      <c r="D667" s="68"/>
    </row>
    <row r="668" spans="4:4" ht="15.75" hidden="1" customHeight="1">
      <c r="D668" s="68"/>
    </row>
    <row r="669" spans="4:4" ht="15.75" hidden="1" customHeight="1">
      <c r="D669" s="68"/>
    </row>
    <row r="670" spans="4:4" ht="15.75" hidden="1" customHeight="1">
      <c r="D670" s="68"/>
    </row>
    <row r="671" spans="4:4" ht="15.75" hidden="1" customHeight="1">
      <c r="D671" s="68"/>
    </row>
    <row r="672" spans="4:4" ht="15.75" hidden="1" customHeight="1">
      <c r="D672" s="68"/>
    </row>
    <row r="673" spans="4:4" ht="15.75" hidden="1" customHeight="1">
      <c r="D673" s="68"/>
    </row>
    <row r="674" spans="4:4" ht="15.75" hidden="1" customHeight="1">
      <c r="D674" s="68"/>
    </row>
    <row r="675" spans="4:4" ht="15.75" hidden="1" customHeight="1">
      <c r="D675" s="68"/>
    </row>
    <row r="676" spans="4:4" ht="15.75" hidden="1" customHeight="1">
      <c r="D676" s="68"/>
    </row>
    <row r="677" spans="4:4" ht="15.75" hidden="1" customHeight="1">
      <c r="D677" s="68"/>
    </row>
    <row r="678" spans="4:4" ht="15.75" hidden="1" customHeight="1">
      <c r="D678" s="68"/>
    </row>
    <row r="679" spans="4:4" ht="15.75" hidden="1" customHeight="1">
      <c r="D679" s="68"/>
    </row>
    <row r="680" spans="4:4" ht="15.75" hidden="1" customHeight="1">
      <c r="D680" s="68"/>
    </row>
    <row r="681" spans="4:4" ht="15.75" hidden="1" customHeight="1">
      <c r="D681" s="68"/>
    </row>
    <row r="682" spans="4:4" ht="15.75" hidden="1" customHeight="1">
      <c r="D682" s="68"/>
    </row>
    <row r="683" spans="4:4" ht="15.75" hidden="1" customHeight="1">
      <c r="D683" s="68"/>
    </row>
    <row r="684" spans="4:4" ht="15.75" hidden="1" customHeight="1">
      <c r="D684" s="68"/>
    </row>
    <row r="685" spans="4:4" ht="15.75" hidden="1" customHeight="1">
      <c r="D685" s="68"/>
    </row>
    <row r="686" spans="4:4" ht="15.75" hidden="1" customHeight="1">
      <c r="D686" s="68"/>
    </row>
    <row r="687" spans="4:4" ht="15.75" hidden="1" customHeight="1">
      <c r="D687" s="68"/>
    </row>
    <row r="688" spans="4:4" ht="15.75" hidden="1" customHeight="1">
      <c r="D688" s="68"/>
    </row>
    <row r="689" spans="4:4" ht="15.75" hidden="1" customHeight="1">
      <c r="D689" s="68"/>
    </row>
    <row r="690" spans="4:4" ht="15.75" hidden="1" customHeight="1">
      <c r="D690" s="68"/>
    </row>
    <row r="691" spans="4:4" ht="15.75" hidden="1" customHeight="1">
      <c r="D691" s="68"/>
    </row>
    <row r="692" spans="4:4" ht="15.75" hidden="1" customHeight="1">
      <c r="D692" s="68"/>
    </row>
    <row r="693" spans="4:4" ht="15.75" hidden="1" customHeight="1">
      <c r="D693" s="68"/>
    </row>
    <row r="694" spans="4:4" ht="15.75" hidden="1" customHeight="1">
      <c r="D694" s="68"/>
    </row>
    <row r="695" spans="4:4" ht="15.75" hidden="1" customHeight="1">
      <c r="D695" s="68"/>
    </row>
    <row r="696" spans="4:4" ht="15.75" hidden="1" customHeight="1">
      <c r="D696" s="68"/>
    </row>
    <row r="697" spans="4:4" ht="15.75" hidden="1" customHeight="1">
      <c r="D697" s="68"/>
    </row>
    <row r="698" spans="4:4" ht="15.75" hidden="1" customHeight="1">
      <c r="D698" s="68"/>
    </row>
    <row r="699" spans="4:4" ht="15.75" hidden="1" customHeight="1">
      <c r="D699" s="68"/>
    </row>
    <row r="700" spans="4:4" ht="15.75" hidden="1" customHeight="1">
      <c r="D700" s="68"/>
    </row>
    <row r="701" spans="4:4" ht="15.75" hidden="1" customHeight="1">
      <c r="D701" s="68"/>
    </row>
    <row r="702" spans="4:4" ht="15.75" hidden="1" customHeight="1">
      <c r="D702" s="68"/>
    </row>
    <row r="703" spans="4:4" ht="15.75" hidden="1" customHeight="1">
      <c r="D703" s="68"/>
    </row>
    <row r="704" spans="4:4" ht="15.75" hidden="1" customHeight="1">
      <c r="D704" s="68"/>
    </row>
    <row r="705" spans="4:4" ht="15.75" hidden="1" customHeight="1">
      <c r="D705" s="68"/>
    </row>
    <row r="706" spans="4:4" ht="15.75" hidden="1" customHeight="1">
      <c r="D706" s="68"/>
    </row>
    <row r="707" spans="4:4" ht="15.75" hidden="1" customHeight="1">
      <c r="D707" s="68"/>
    </row>
    <row r="708" spans="4:4" ht="15.75" hidden="1" customHeight="1">
      <c r="D708" s="68"/>
    </row>
    <row r="709" spans="4:4" ht="15.75" hidden="1" customHeight="1">
      <c r="D709" s="68"/>
    </row>
    <row r="710" spans="4:4" ht="15.75" hidden="1" customHeight="1">
      <c r="D710" s="68"/>
    </row>
    <row r="711" spans="4:4" ht="15.75" hidden="1" customHeight="1">
      <c r="D711" s="68"/>
    </row>
    <row r="712" spans="4:4" ht="15.75" hidden="1" customHeight="1">
      <c r="D712" s="68"/>
    </row>
    <row r="713" spans="4:4" ht="15.75" hidden="1" customHeight="1">
      <c r="D713" s="68"/>
    </row>
    <row r="714" spans="4:4" ht="15.75" hidden="1" customHeight="1">
      <c r="D714" s="68"/>
    </row>
    <row r="715" spans="4:4" ht="15.75" hidden="1" customHeight="1">
      <c r="D715" s="68"/>
    </row>
    <row r="716" spans="4:4" ht="15.75" hidden="1" customHeight="1">
      <c r="D716" s="68"/>
    </row>
    <row r="717" spans="4:4" ht="15.75" hidden="1" customHeight="1">
      <c r="D717" s="68"/>
    </row>
    <row r="718" spans="4:4" ht="15.75" hidden="1" customHeight="1">
      <c r="D718" s="68"/>
    </row>
    <row r="719" spans="4:4" ht="15.75" hidden="1" customHeight="1">
      <c r="D719" s="68"/>
    </row>
    <row r="720" spans="4:4" ht="15.75" hidden="1" customHeight="1">
      <c r="D720" s="68"/>
    </row>
    <row r="721" spans="4:4" ht="15.75" hidden="1" customHeight="1">
      <c r="D721" s="68"/>
    </row>
    <row r="722" spans="4:4" ht="15.75" hidden="1" customHeight="1">
      <c r="D722" s="68"/>
    </row>
    <row r="723" spans="4:4" ht="15.75" hidden="1" customHeight="1">
      <c r="D723" s="68"/>
    </row>
    <row r="724" spans="4:4" ht="15.75" hidden="1" customHeight="1">
      <c r="D724" s="68"/>
    </row>
    <row r="725" spans="4:4" ht="15.75" hidden="1" customHeight="1">
      <c r="D725" s="68"/>
    </row>
    <row r="726" spans="4:4" ht="15.75" hidden="1" customHeight="1">
      <c r="D726" s="68"/>
    </row>
    <row r="727" spans="4:4" ht="15.75" hidden="1" customHeight="1">
      <c r="D727" s="68"/>
    </row>
    <row r="728" spans="4:4" ht="15.75" hidden="1" customHeight="1">
      <c r="D728" s="68"/>
    </row>
    <row r="729" spans="4:4" ht="15.75" hidden="1" customHeight="1">
      <c r="D729" s="68"/>
    </row>
    <row r="730" spans="4:4" ht="15.75" hidden="1" customHeight="1">
      <c r="D730" s="68"/>
    </row>
    <row r="731" spans="4:4" ht="15.75" hidden="1" customHeight="1">
      <c r="D731" s="68"/>
    </row>
    <row r="732" spans="4:4" ht="15.75" hidden="1" customHeight="1">
      <c r="D732" s="68"/>
    </row>
    <row r="733" spans="4:4" ht="15.75" hidden="1" customHeight="1">
      <c r="D733" s="68"/>
    </row>
    <row r="734" spans="4:4" ht="15.75" hidden="1" customHeight="1">
      <c r="D734" s="68"/>
    </row>
    <row r="735" spans="4:4" ht="15.75" hidden="1" customHeight="1">
      <c r="D735" s="68"/>
    </row>
    <row r="736" spans="4:4" ht="15.75" hidden="1" customHeight="1">
      <c r="D736" s="68"/>
    </row>
    <row r="737" spans="4:4" ht="15.75" hidden="1" customHeight="1">
      <c r="D737" s="68"/>
    </row>
    <row r="738" spans="4:4" ht="15.75" hidden="1" customHeight="1">
      <c r="D738" s="68"/>
    </row>
    <row r="739" spans="4:4" ht="15.75" hidden="1" customHeight="1">
      <c r="D739" s="68"/>
    </row>
    <row r="740" spans="4:4" ht="15.75" hidden="1" customHeight="1">
      <c r="D740" s="68"/>
    </row>
    <row r="741" spans="4:4" ht="15.75" hidden="1" customHeight="1">
      <c r="D741" s="68"/>
    </row>
    <row r="742" spans="4:4" ht="15.75" hidden="1" customHeight="1">
      <c r="D742" s="68"/>
    </row>
    <row r="743" spans="4:4" ht="15.75" hidden="1" customHeight="1">
      <c r="D743" s="68"/>
    </row>
    <row r="744" spans="4:4" ht="15.75" hidden="1" customHeight="1">
      <c r="D744" s="68"/>
    </row>
    <row r="745" spans="4:4" ht="15.75" hidden="1" customHeight="1">
      <c r="D745" s="68"/>
    </row>
    <row r="746" spans="4:4" ht="15.75" hidden="1" customHeight="1">
      <c r="D746" s="68"/>
    </row>
    <row r="747" spans="4:4" ht="15.75" hidden="1" customHeight="1">
      <c r="D747" s="68"/>
    </row>
    <row r="748" spans="4:4" ht="15.75" hidden="1" customHeight="1">
      <c r="D748" s="68"/>
    </row>
    <row r="749" spans="4:4" ht="15.75" hidden="1" customHeight="1">
      <c r="D749" s="68"/>
    </row>
    <row r="750" spans="4:4" ht="15.75" hidden="1" customHeight="1">
      <c r="D750" s="68"/>
    </row>
    <row r="751" spans="4:4" ht="15.75" hidden="1" customHeight="1">
      <c r="D751" s="68"/>
    </row>
    <row r="752" spans="4:4" ht="15.75" hidden="1" customHeight="1">
      <c r="D752" s="68"/>
    </row>
    <row r="753" spans="4:4" ht="15.75" hidden="1" customHeight="1">
      <c r="D753" s="68"/>
    </row>
    <row r="754" spans="4:4" ht="15.75" hidden="1" customHeight="1">
      <c r="D754" s="68"/>
    </row>
    <row r="755" spans="4:4" ht="15.75" hidden="1" customHeight="1">
      <c r="D755" s="68"/>
    </row>
    <row r="756" spans="4:4" ht="15.75" hidden="1" customHeight="1">
      <c r="D756" s="68"/>
    </row>
    <row r="757" spans="4:4" ht="15.75" hidden="1" customHeight="1">
      <c r="D757" s="68"/>
    </row>
    <row r="758" spans="4:4" ht="15.75" hidden="1" customHeight="1">
      <c r="D758" s="68"/>
    </row>
    <row r="759" spans="4:4" ht="15.75" hidden="1" customHeight="1">
      <c r="D759" s="68"/>
    </row>
    <row r="760" spans="4:4" ht="15.75" hidden="1" customHeight="1">
      <c r="D760" s="68"/>
    </row>
    <row r="761" spans="4:4" ht="15.75" hidden="1" customHeight="1">
      <c r="D761" s="68"/>
    </row>
    <row r="762" spans="4:4" ht="15.75" hidden="1" customHeight="1">
      <c r="D762" s="68"/>
    </row>
    <row r="763" spans="4:4" ht="15.75" hidden="1" customHeight="1">
      <c r="D763" s="68"/>
    </row>
    <row r="764" spans="4:4" ht="15.75" hidden="1" customHeight="1">
      <c r="D764" s="68"/>
    </row>
    <row r="765" spans="4:4" ht="15.75" hidden="1" customHeight="1">
      <c r="D765" s="68"/>
    </row>
    <row r="766" spans="4:4" ht="15.75" hidden="1" customHeight="1">
      <c r="D766" s="68"/>
    </row>
    <row r="767" spans="4:4" ht="15.75" hidden="1" customHeight="1">
      <c r="D767" s="68"/>
    </row>
    <row r="768" spans="4:4" ht="15.75" hidden="1" customHeight="1">
      <c r="D768" s="68"/>
    </row>
    <row r="769" spans="4:4" ht="15.75" hidden="1" customHeight="1">
      <c r="D769" s="68"/>
    </row>
    <row r="770" spans="4:4" ht="15.75" hidden="1" customHeight="1">
      <c r="D770" s="68"/>
    </row>
    <row r="771" spans="4:4" ht="15.75" hidden="1" customHeight="1">
      <c r="D771" s="68"/>
    </row>
    <row r="772" spans="4:4" ht="15.75" hidden="1" customHeight="1">
      <c r="D772" s="68"/>
    </row>
    <row r="773" spans="4:4" ht="15.75" hidden="1" customHeight="1">
      <c r="D773" s="68"/>
    </row>
    <row r="774" spans="4:4" ht="15.75" hidden="1" customHeight="1">
      <c r="D774" s="68"/>
    </row>
    <row r="775" spans="4:4" ht="15.75" hidden="1" customHeight="1">
      <c r="D775" s="68"/>
    </row>
    <row r="776" spans="4:4" ht="15.75" hidden="1" customHeight="1">
      <c r="D776" s="68"/>
    </row>
    <row r="777" spans="4:4" ht="15.75" hidden="1" customHeight="1">
      <c r="D777" s="68"/>
    </row>
    <row r="778" spans="4:4" ht="15.75" hidden="1" customHeight="1">
      <c r="D778" s="68"/>
    </row>
    <row r="779" spans="4:4" ht="15.75" hidden="1" customHeight="1">
      <c r="D779" s="68"/>
    </row>
    <row r="780" spans="4:4" ht="15.75" hidden="1" customHeight="1">
      <c r="D780" s="68"/>
    </row>
    <row r="781" spans="4:4" ht="15.75" hidden="1" customHeight="1">
      <c r="D781" s="68"/>
    </row>
    <row r="782" spans="4:4" ht="15.75" hidden="1" customHeight="1">
      <c r="D782" s="68"/>
    </row>
    <row r="783" spans="4:4" ht="15.75" hidden="1" customHeight="1">
      <c r="D783" s="68"/>
    </row>
    <row r="784" spans="4:4" ht="15.75" hidden="1" customHeight="1">
      <c r="D784" s="68"/>
    </row>
    <row r="785" spans="4:4" ht="15.75" hidden="1" customHeight="1">
      <c r="D785" s="68"/>
    </row>
    <row r="786" spans="4:4" ht="15.75" hidden="1" customHeight="1">
      <c r="D786" s="68"/>
    </row>
    <row r="787" spans="4:4" ht="15.75" hidden="1" customHeight="1">
      <c r="D787" s="68"/>
    </row>
    <row r="788" spans="4:4" ht="15.75" hidden="1" customHeight="1">
      <c r="D788" s="68"/>
    </row>
    <row r="789" spans="4:4" ht="15.75" hidden="1" customHeight="1">
      <c r="D789" s="68"/>
    </row>
    <row r="790" spans="4:4" ht="15.75" hidden="1" customHeight="1">
      <c r="D790" s="68"/>
    </row>
    <row r="791" spans="4:4" ht="15.75" hidden="1" customHeight="1">
      <c r="D791" s="68"/>
    </row>
    <row r="792" spans="4:4" ht="15.75" hidden="1" customHeight="1">
      <c r="D792" s="68"/>
    </row>
    <row r="793" spans="4:4" ht="15.75" hidden="1" customHeight="1">
      <c r="D793" s="68"/>
    </row>
    <row r="794" spans="4:4" ht="15.75" hidden="1" customHeight="1">
      <c r="D794" s="68"/>
    </row>
    <row r="795" spans="4:4" ht="15.75" hidden="1" customHeight="1">
      <c r="D795" s="68"/>
    </row>
    <row r="796" spans="4:4" ht="15.75" hidden="1" customHeight="1">
      <c r="D796" s="68"/>
    </row>
    <row r="797" spans="4:4" ht="15.75" hidden="1" customHeight="1">
      <c r="D797" s="68"/>
    </row>
    <row r="798" spans="4:4" ht="15.75" hidden="1" customHeight="1">
      <c r="D798" s="68"/>
    </row>
    <row r="799" spans="4:4" ht="15.75" hidden="1" customHeight="1">
      <c r="D799" s="68"/>
    </row>
    <row r="800" spans="4:4" ht="15.75" hidden="1" customHeight="1">
      <c r="D800" s="68"/>
    </row>
    <row r="801" spans="4:4" ht="15.75" hidden="1" customHeight="1">
      <c r="D801" s="68"/>
    </row>
    <row r="802" spans="4:4" ht="15.75" hidden="1" customHeight="1">
      <c r="D802" s="68"/>
    </row>
    <row r="803" spans="4:4" ht="15.75" hidden="1" customHeight="1">
      <c r="D803" s="68"/>
    </row>
    <row r="804" spans="4:4" ht="15.75" hidden="1" customHeight="1">
      <c r="D804" s="68"/>
    </row>
    <row r="805" spans="4:4" ht="15.75" hidden="1" customHeight="1">
      <c r="D805" s="68"/>
    </row>
    <row r="806" spans="4:4" ht="15.75" hidden="1" customHeight="1">
      <c r="D806" s="68"/>
    </row>
    <row r="807" spans="4:4" ht="15.75" hidden="1" customHeight="1">
      <c r="D807" s="68"/>
    </row>
    <row r="808" spans="4:4" ht="15.75" hidden="1" customHeight="1">
      <c r="D808" s="68"/>
    </row>
    <row r="809" spans="4:4" ht="15.75" hidden="1" customHeight="1">
      <c r="D809" s="68"/>
    </row>
    <row r="810" spans="4:4" ht="15.75" hidden="1" customHeight="1">
      <c r="D810" s="68"/>
    </row>
    <row r="811" spans="4:4" ht="15.75" hidden="1" customHeight="1">
      <c r="D811" s="68"/>
    </row>
    <row r="812" spans="4:4" ht="15.75" hidden="1" customHeight="1">
      <c r="D812" s="68"/>
    </row>
    <row r="813" spans="4:4" ht="15.75" hidden="1" customHeight="1">
      <c r="D813" s="68"/>
    </row>
    <row r="814" spans="4:4" ht="15.75" hidden="1" customHeight="1">
      <c r="D814" s="68"/>
    </row>
    <row r="815" spans="4:4" ht="15.75" hidden="1" customHeight="1">
      <c r="D815" s="68"/>
    </row>
    <row r="816" spans="4:4" ht="15.75" hidden="1" customHeight="1">
      <c r="D816" s="68"/>
    </row>
    <row r="817" spans="4:4" ht="15.75" hidden="1" customHeight="1">
      <c r="D817" s="68"/>
    </row>
    <row r="818" spans="4:4" ht="15.75" hidden="1" customHeight="1">
      <c r="D818" s="68"/>
    </row>
    <row r="819" spans="4:4" ht="15.75" hidden="1" customHeight="1">
      <c r="D819" s="68"/>
    </row>
    <row r="820" spans="4:4" ht="15.75" hidden="1" customHeight="1">
      <c r="D820" s="68"/>
    </row>
    <row r="821" spans="4:4" ht="15.75" hidden="1" customHeight="1">
      <c r="D821" s="68"/>
    </row>
    <row r="822" spans="4:4" ht="15.75" hidden="1" customHeight="1">
      <c r="D822" s="68"/>
    </row>
    <row r="823" spans="4:4" ht="15.75" hidden="1" customHeight="1">
      <c r="D823" s="68"/>
    </row>
    <row r="824" spans="4:4" ht="15.75" hidden="1" customHeight="1">
      <c r="D824" s="68"/>
    </row>
    <row r="825" spans="4:4" ht="15.75" hidden="1" customHeight="1">
      <c r="D825" s="68"/>
    </row>
    <row r="826" spans="4:4" ht="15.75" hidden="1" customHeight="1">
      <c r="D826" s="68"/>
    </row>
    <row r="827" spans="4:4" ht="15.75" hidden="1" customHeight="1">
      <c r="D827" s="68"/>
    </row>
    <row r="828" spans="4:4" ht="15.75" hidden="1" customHeight="1">
      <c r="D828" s="68"/>
    </row>
    <row r="829" spans="4:4" ht="15.75" hidden="1" customHeight="1">
      <c r="D829" s="68"/>
    </row>
    <row r="830" spans="4:4" ht="15.75" hidden="1" customHeight="1">
      <c r="D830" s="68"/>
    </row>
    <row r="831" spans="4:4" ht="15.75" hidden="1" customHeight="1">
      <c r="D831" s="68"/>
    </row>
    <row r="832" spans="4:4" ht="15.75" hidden="1" customHeight="1">
      <c r="D832" s="68"/>
    </row>
    <row r="833" spans="4:4" ht="15.75" hidden="1" customHeight="1">
      <c r="D833" s="68"/>
    </row>
    <row r="834" spans="4:4" ht="15.75" hidden="1" customHeight="1">
      <c r="D834" s="68"/>
    </row>
    <row r="835" spans="4:4" ht="15.75" hidden="1" customHeight="1">
      <c r="D835" s="68"/>
    </row>
    <row r="836" spans="4:4" ht="15.75" hidden="1" customHeight="1">
      <c r="D836" s="68"/>
    </row>
    <row r="837" spans="4:4" ht="15.75" hidden="1" customHeight="1">
      <c r="D837" s="68"/>
    </row>
    <row r="838" spans="4:4" ht="15.75" hidden="1" customHeight="1">
      <c r="D838" s="68"/>
    </row>
    <row r="839" spans="4:4" ht="15.75" hidden="1" customHeight="1">
      <c r="D839" s="68"/>
    </row>
    <row r="840" spans="4:4" ht="15.75" hidden="1" customHeight="1">
      <c r="D840" s="68"/>
    </row>
    <row r="841" spans="4:4" ht="15.75" hidden="1" customHeight="1">
      <c r="D841" s="68"/>
    </row>
    <row r="842" spans="4:4" ht="15.75" hidden="1" customHeight="1">
      <c r="D842" s="68"/>
    </row>
    <row r="843" spans="4:4" ht="15.75" hidden="1" customHeight="1">
      <c r="D843" s="68"/>
    </row>
    <row r="844" spans="4:4" ht="15.75" hidden="1" customHeight="1">
      <c r="D844" s="68"/>
    </row>
    <row r="845" spans="4:4" ht="15.75" hidden="1" customHeight="1">
      <c r="D845" s="68"/>
    </row>
    <row r="846" spans="4:4" ht="15.75" hidden="1" customHeight="1">
      <c r="D846" s="68"/>
    </row>
    <row r="847" spans="4:4" ht="15.75" hidden="1" customHeight="1">
      <c r="D847" s="68"/>
    </row>
    <row r="848" spans="4:4" ht="15.75" hidden="1" customHeight="1">
      <c r="D848" s="68"/>
    </row>
    <row r="849" spans="4:4" ht="15.75" hidden="1" customHeight="1">
      <c r="D849" s="68"/>
    </row>
    <row r="850" spans="4:4" ht="15.75" hidden="1" customHeight="1">
      <c r="D850" s="68"/>
    </row>
    <row r="851" spans="4:4" ht="15.75" hidden="1" customHeight="1">
      <c r="D851" s="68"/>
    </row>
    <row r="852" spans="4:4" ht="15.75" hidden="1" customHeight="1">
      <c r="D852" s="68"/>
    </row>
    <row r="853" spans="4:4" ht="15.75" hidden="1" customHeight="1">
      <c r="D853" s="68"/>
    </row>
    <row r="854" spans="4:4" ht="15.75" hidden="1" customHeight="1">
      <c r="D854" s="68"/>
    </row>
    <row r="855" spans="4:4" ht="15.75" hidden="1" customHeight="1">
      <c r="D855" s="68"/>
    </row>
    <row r="856" spans="4:4" ht="15.75" hidden="1" customHeight="1">
      <c r="D856" s="68"/>
    </row>
    <row r="857" spans="4:4" ht="15.75" hidden="1" customHeight="1">
      <c r="D857" s="68"/>
    </row>
    <row r="858" spans="4:4" ht="15.75" hidden="1" customHeight="1">
      <c r="D858" s="68"/>
    </row>
    <row r="859" spans="4:4" ht="15.75" hidden="1" customHeight="1">
      <c r="D859" s="68"/>
    </row>
    <row r="860" spans="4:4" ht="15.75" hidden="1" customHeight="1">
      <c r="D860" s="68"/>
    </row>
    <row r="861" spans="4:4" ht="15.75" hidden="1" customHeight="1">
      <c r="D861" s="68"/>
    </row>
    <row r="862" spans="4:4" ht="15.75" hidden="1" customHeight="1">
      <c r="D862" s="68"/>
    </row>
    <row r="863" spans="4:4" ht="15.75" hidden="1" customHeight="1">
      <c r="D863" s="68"/>
    </row>
    <row r="864" spans="4:4" ht="15.75" hidden="1" customHeight="1">
      <c r="D864" s="68"/>
    </row>
    <row r="865" spans="4:4" ht="15.75" hidden="1" customHeight="1">
      <c r="D865" s="68"/>
    </row>
    <row r="866" spans="4:4" ht="15.75" hidden="1" customHeight="1">
      <c r="D866" s="68"/>
    </row>
    <row r="867" spans="4:4" ht="15.75" hidden="1" customHeight="1">
      <c r="D867" s="68"/>
    </row>
    <row r="868" spans="4:4" ht="15.75" hidden="1" customHeight="1">
      <c r="D868" s="68"/>
    </row>
    <row r="869" spans="4:4" ht="15.75" hidden="1" customHeight="1">
      <c r="D869" s="68"/>
    </row>
    <row r="870" spans="4:4" ht="15.75" hidden="1" customHeight="1">
      <c r="D870" s="68"/>
    </row>
    <row r="871" spans="4:4" ht="15.75" hidden="1" customHeight="1">
      <c r="D871" s="68"/>
    </row>
    <row r="872" spans="4:4" ht="15.75" hidden="1" customHeight="1">
      <c r="D872" s="68"/>
    </row>
    <row r="873" spans="4:4" ht="15.75" hidden="1" customHeight="1">
      <c r="D873" s="68"/>
    </row>
    <row r="874" spans="4:4" ht="15.75" hidden="1" customHeight="1">
      <c r="D874" s="68"/>
    </row>
    <row r="875" spans="4:4" ht="15.75" hidden="1" customHeight="1">
      <c r="D875" s="68"/>
    </row>
    <row r="876" spans="4:4" ht="15.75" hidden="1" customHeight="1">
      <c r="D876" s="68"/>
    </row>
    <row r="877" spans="4:4" ht="15.75" hidden="1" customHeight="1">
      <c r="D877" s="68"/>
    </row>
    <row r="878" spans="4:4" ht="15.75" hidden="1" customHeight="1">
      <c r="D878" s="68"/>
    </row>
    <row r="879" spans="4:4" ht="15.75" hidden="1" customHeight="1">
      <c r="D879" s="68"/>
    </row>
    <row r="880" spans="4:4" ht="15.75" hidden="1" customHeight="1">
      <c r="D880" s="68"/>
    </row>
    <row r="881" spans="4:4" ht="15.75" hidden="1" customHeight="1">
      <c r="D881" s="68"/>
    </row>
    <row r="882" spans="4:4" ht="15.75" hidden="1" customHeight="1">
      <c r="D882" s="68"/>
    </row>
    <row r="883" spans="4:4" ht="15.75" hidden="1" customHeight="1">
      <c r="D883" s="68"/>
    </row>
    <row r="884" spans="4:4" ht="15.75" hidden="1" customHeight="1">
      <c r="D884" s="68"/>
    </row>
    <row r="885" spans="4:4" ht="15.75" hidden="1" customHeight="1">
      <c r="D885" s="68"/>
    </row>
    <row r="886" spans="4:4" ht="15.75" hidden="1" customHeight="1">
      <c r="D886" s="68"/>
    </row>
    <row r="887" spans="4:4" ht="15.75" hidden="1" customHeight="1">
      <c r="D887" s="68"/>
    </row>
    <row r="888" spans="4:4" ht="15.75" hidden="1" customHeight="1">
      <c r="D888" s="68"/>
    </row>
    <row r="889" spans="4:4" ht="15.75" hidden="1" customHeight="1">
      <c r="D889" s="68"/>
    </row>
    <row r="890" spans="4:4" ht="15.75" hidden="1" customHeight="1">
      <c r="D890" s="68"/>
    </row>
    <row r="891" spans="4:4" ht="15.75" hidden="1" customHeight="1">
      <c r="D891" s="68"/>
    </row>
    <row r="892" spans="4:4" ht="15.75" hidden="1" customHeight="1">
      <c r="D892" s="68"/>
    </row>
    <row r="893" spans="4:4" ht="15.75" hidden="1" customHeight="1">
      <c r="D893" s="68"/>
    </row>
    <row r="894" spans="4:4" ht="15.75" hidden="1" customHeight="1">
      <c r="D894" s="68"/>
    </row>
    <row r="895" spans="4:4" ht="15.75" hidden="1" customHeight="1">
      <c r="D895" s="68"/>
    </row>
    <row r="896" spans="4:4" ht="15.75" hidden="1" customHeight="1">
      <c r="D896" s="68"/>
    </row>
    <row r="897" spans="4:4" ht="15.75" hidden="1" customHeight="1">
      <c r="D897" s="68"/>
    </row>
    <row r="898" spans="4:4" ht="15.75" hidden="1" customHeight="1">
      <c r="D898" s="68"/>
    </row>
    <row r="899" spans="4:4" ht="15.75" hidden="1" customHeight="1">
      <c r="D899" s="68"/>
    </row>
    <row r="900" spans="4:4" ht="15.75" hidden="1" customHeight="1">
      <c r="D900" s="68"/>
    </row>
    <row r="901" spans="4:4" ht="15.75" hidden="1" customHeight="1">
      <c r="D901" s="68"/>
    </row>
    <row r="902" spans="4:4" ht="15.75" hidden="1" customHeight="1">
      <c r="D902" s="68"/>
    </row>
    <row r="903" spans="4:4" ht="15.75" hidden="1" customHeight="1">
      <c r="D903" s="68"/>
    </row>
    <row r="904" spans="4:4" ht="15.75" hidden="1" customHeight="1">
      <c r="D904" s="68"/>
    </row>
    <row r="905" spans="4:4" ht="15.75" hidden="1" customHeight="1">
      <c r="D905" s="68"/>
    </row>
    <row r="906" spans="4:4" ht="15.75" hidden="1" customHeight="1">
      <c r="D906" s="68"/>
    </row>
    <row r="907" spans="4:4" ht="15.75" hidden="1" customHeight="1">
      <c r="D907" s="68"/>
    </row>
    <row r="908" spans="4:4" ht="15.75" hidden="1" customHeight="1">
      <c r="D908" s="68"/>
    </row>
    <row r="909" spans="4:4" ht="15.75" hidden="1" customHeight="1">
      <c r="D909" s="68"/>
    </row>
    <row r="910" spans="4:4" ht="15.75" hidden="1" customHeight="1">
      <c r="D910" s="68"/>
    </row>
    <row r="911" spans="4:4" ht="15.75" hidden="1" customHeight="1">
      <c r="D911" s="68"/>
    </row>
    <row r="912" spans="4:4" ht="15.75" hidden="1" customHeight="1">
      <c r="D912" s="68"/>
    </row>
    <row r="913" spans="4:4" ht="15.75" hidden="1" customHeight="1">
      <c r="D913" s="68"/>
    </row>
    <row r="914" spans="4:4" ht="15.75" hidden="1" customHeight="1">
      <c r="D914" s="68"/>
    </row>
    <row r="915" spans="4:4" ht="15.75" hidden="1" customHeight="1">
      <c r="D915" s="68"/>
    </row>
    <row r="916" spans="4:4" ht="15.75" hidden="1" customHeight="1">
      <c r="D916" s="68"/>
    </row>
    <row r="917" spans="4:4" ht="15.75" hidden="1" customHeight="1">
      <c r="D917" s="68"/>
    </row>
    <row r="918" spans="4:4" ht="15.75" hidden="1" customHeight="1">
      <c r="D918" s="68"/>
    </row>
    <row r="919" spans="4:4" ht="15.75" hidden="1" customHeight="1">
      <c r="D919" s="68"/>
    </row>
    <row r="920" spans="4:4" ht="15.75" hidden="1" customHeight="1">
      <c r="D920" s="68"/>
    </row>
    <row r="921" spans="4:4" ht="15.75" hidden="1" customHeight="1">
      <c r="D921" s="68"/>
    </row>
    <row r="922" spans="4:4" ht="15.75" hidden="1" customHeight="1">
      <c r="D922" s="68"/>
    </row>
    <row r="923" spans="4:4" ht="15.75" hidden="1" customHeight="1">
      <c r="D923" s="68"/>
    </row>
    <row r="924" spans="4:4" ht="15.75" hidden="1" customHeight="1">
      <c r="D924" s="68"/>
    </row>
    <row r="925" spans="4:4" ht="15.75" hidden="1" customHeight="1">
      <c r="D925" s="68"/>
    </row>
    <row r="926" spans="4:4" ht="15.75" hidden="1" customHeight="1">
      <c r="D926" s="68"/>
    </row>
    <row r="927" spans="4:4" ht="15.75" hidden="1" customHeight="1">
      <c r="D927" s="68"/>
    </row>
    <row r="928" spans="4:4" ht="15.75" hidden="1" customHeight="1">
      <c r="D928" s="68"/>
    </row>
    <row r="929" spans="4:4" ht="15.75" hidden="1" customHeight="1">
      <c r="D929" s="68"/>
    </row>
    <row r="930" spans="4:4" ht="15.75" hidden="1" customHeight="1">
      <c r="D930" s="68"/>
    </row>
    <row r="931" spans="4:4" ht="15.75" hidden="1" customHeight="1">
      <c r="D931" s="68"/>
    </row>
    <row r="932" spans="4:4" ht="15.75" hidden="1" customHeight="1">
      <c r="D932" s="68"/>
    </row>
    <row r="933" spans="4:4" ht="15.75" hidden="1" customHeight="1">
      <c r="D933" s="68"/>
    </row>
    <row r="934" spans="4:4" ht="15.75" hidden="1" customHeight="1">
      <c r="D934" s="68"/>
    </row>
    <row r="935" spans="4:4" ht="15.75" hidden="1" customHeight="1">
      <c r="D935" s="68"/>
    </row>
    <row r="936" spans="4:4" ht="15.75" hidden="1" customHeight="1">
      <c r="D936" s="68"/>
    </row>
    <row r="937" spans="4:4" ht="15.75" hidden="1" customHeight="1">
      <c r="D937" s="68"/>
    </row>
    <row r="938" spans="4:4" ht="15.75" hidden="1" customHeight="1">
      <c r="D938" s="68"/>
    </row>
    <row r="939" spans="4:4" ht="15.75" hidden="1" customHeight="1">
      <c r="D939" s="68"/>
    </row>
    <row r="940" spans="4:4" ht="15.75" hidden="1" customHeight="1">
      <c r="D940" s="68"/>
    </row>
    <row r="941" spans="4:4" ht="15.75" hidden="1" customHeight="1">
      <c r="D941" s="68"/>
    </row>
    <row r="942" spans="4:4" ht="15.75" hidden="1" customHeight="1">
      <c r="D942" s="68"/>
    </row>
    <row r="943" spans="4:4" ht="15.75" hidden="1" customHeight="1">
      <c r="D943" s="68"/>
    </row>
    <row r="944" spans="4:4" ht="15.75" hidden="1" customHeight="1">
      <c r="D944" s="68"/>
    </row>
    <row r="945" spans="4:4" ht="15.75" hidden="1" customHeight="1">
      <c r="D945" s="68"/>
    </row>
    <row r="946" spans="4:4" ht="15.75" hidden="1" customHeight="1">
      <c r="D946" s="68"/>
    </row>
    <row r="947" spans="4:4" ht="15.75" hidden="1" customHeight="1">
      <c r="D947" s="68"/>
    </row>
    <row r="948" spans="4:4" ht="15.75" hidden="1" customHeight="1">
      <c r="D948" s="68"/>
    </row>
    <row r="949" spans="4:4" ht="15.75" hidden="1" customHeight="1">
      <c r="D949" s="68"/>
    </row>
    <row r="950" spans="4:4" ht="15.75" hidden="1" customHeight="1">
      <c r="D950" s="68"/>
    </row>
    <row r="951" spans="4:4" ht="15.75" hidden="1" customHeight="1">
      <c r="D951" s="68"/>
    </row>
    <row r="952" spans="4:4" ht="15.75" hidden="1" customHeight="1">
      <c r="D952" s="68"/>
    </row>
    <row r="953" spans="4:4" ht="15.75" hidden="1" customHeight="1">
      <c r="D953" s="68"/>
    </row>
    <row r="954" spans="4:4" ht="15.75" hidden="1" customHeight="1">
      <c r="D954" s="68"/>
    </row>
    <row r="955" spans="4:4" ht="15.75" hidden="1" customHeight="1">
      <c r="D955" s="68"/>
    </row>
    <row r="956" spans="4:4" ht="15.75" hidden="1" customHeight="1">
      <c r="D956" s="68"/>
    </row>
    <row r="957" spans="4:4" ht="15.75" hidden="1" customHeight="1">
      <c r="D957" s="68"/>
    </row>
    <row r="958" spans="4:4" ht="15.75" hidden="1" customHeight="1">
      <c r="D958" s="68"/>
    </row>
    <row r="959" spans="4:4" ht="15.75" hidden="1" customHeight="1">
      <c r="D959" s="68"/>
    </row>
    <row r="960" spans="4:4" ht="15.75" hidden="1" customHeight="1">
      <c r="D960" s="68"/>
    </row>
    <row r="961" spans="4:4" ht="15.75" hidden="1" customHeight="1">
      <c r="D961" s="68"/>
    </row>
    <row r="962" spans="4:4" ht="15.75" hidden="1" customHeight="1">
      <c r="D962" s="68"/>
    </row>
    <row r="963" spans="4:4" ht="15.75" hidden="1" customHeight="1">
      <c r="D963" s="68"/>
    </row>
    <row r="964" spans="4:4" ht="15.75" hidden="1" customHeight="1">
      <c r="D964" s="68"/>
    </row>
    <row r="965" spans="4:4" ht="15.75" hidden="1" customHeight="1">
      <c r="D965" s="68"/>
    </row>
    <row r="966" spans="4:4" ht="15.75" hidden="1" customHeight="1">
      <c r="D966" s="68"/>
    </row>
    <row r="967" spans="4:4" ht="15.75" hidden="1" customHeight="1">
      <c r="D967" s="68"/>
    </row>
    <row r="968" spans="4:4" ht="15.75" hidden="1" customHeight="1">
      <c r="D968" s="68"/>
    </row>
    <row r="969" spans="4:4" ht="15.75" hidden="1" customHeight="1">
      <c r="D969" s="68"/>
    </row>
    <row r="970" spans="4:4" ht="15.75" hidden="1" customHeight="1">
      <c r="D970" s="68"/>
    </row>
    <row r="971" spans="4:4" ht="15.75" hidden="1" customHeight="1">
      <c r="D971" s="68"/>
    </row>
    <row r="972" spans="4:4" ht="15.75" hidden="1" customHeight="1">
      <c r="D972" s="68"/>
    </row>
    <row r="973" spans="4:4" ht="15.75" hidden="1" customHeight="1">
      <c r="D973" s="68"/>
    </row>
    <row r="974" spans="4:4" ht="15.75" hidden="1" customHeight="1">
      <c r="D974" s="68"/>
    </row>
    <row r="975" spans="4:4" ht="15.75" hidden="1" customHeight="1">
      <c r="D975" s="68"/>
    </row>
    <row r="976" spans="4:4" ht="15.75" hidden="1" customHeight="1">
      <c r="D976" s="68"/>
    </row>
    <row r="977" spans="4:4" ht="15.75" hidden="1" customHeight="1">
      <c r="D977" s="68"/>
    </row>
    <row r="978" spans="4:4" ht="15.75" hidden="1" customHeight="1">
      <c r="D978" s="68"/>
    </row>
    <row r="979" spans="4:4" ht="15.75" hidden="1" customHeight="1">
      <c r="D979" s="68"/>
    </row>
    <row r="980" spans="4:4" ht="15.75" hidden="1" customHeight="1">
      <c r="D980" s="68"/>
    </row>
    <row r="981" spans="4:4" ht="15.75" hidden="1" customHeight="1">
      <c r="D981" s="68"/>
    </row>
    <row r="982" spans="4:4" ht="15.75" hidden="1" customHeight="1">
      <c r="D982" s="68"/>
    </row>
    <row r="983" spans="4:4" ht="15.75" hidden="1" customHeight="1">
      <c r="D983" s="68"/>
    </row>
    <row r="984" spans="4:4" ht="15.75" hidden="1" customHeight="1">
      <c r="D984" s="68"/>
    </row>
    <row r="985" spans="4:4" ht="15.75" hidden="1" customHeight="1">
      <c r="D985" s="68"/>
    </row>
    <row r="986" spans="4:4" ht="15.75" hidden="1" customHeight="1">
      <c r="D986" s="68"/>
    </row>
    <row r="987" spans="4:4" ht="15.75" hidden="1" customHeight="1">
      <c r="D987" s="68"/>
    </row>
    <row r="988" spans="4:4" ht="15.75" hidden="1" customHeight="1">
      <c r="D988" s="68"/>
    </row>
    <row r="989" spans="4:4" ht="15.75" hidden="1" customHeight="1">
      <c r="D989" s="68"/>
    </row>
    <row r="990" spans="4:4" ht="15.75" hidden="1" customHeight="1">
      <c r="D990" s="68"/>
    </row>
    <row r="991" spans="4:4" ht="15.75" hidden="1" customHeight="1">
      <c r="D991" s="68"/>
    </row>
    <row r="992" spans="4:4" ht="15.75" hidden="1" customHeight="1">
      <c r="D992" s="68"/>
    </row>
    <row r="993" spans="4:4" ht="15.75" hidden="1" customHeight="1">
      <c r="D993" s="68"/>
    </row>
    <row r="994" spans="4:4" ht="15.75" hidden="1" customHeight="1">
      <c r="D994" s="68"/>
    </row>
    <row r="995" spans="4:4" ht="15.75" hidden="1" customHeight="1">
      <c r="D995" s="68"/>
    </row>
    <row r="996" spans="4:4" ht="15.75" hidden="1" customHeight="1">
      <c r="D996" s="68"/>
    </row>
    <row r="997" spans="4:4" ht="15.75" hidden="1" customHeight="1">
      <c r="D997" s="68"/>
    </row>
    <row r="998" spans="4:4" ht="15.75" hidden="1" customHeight="1">
      <c r="D998" s="68"/>
    </row>
    <row r="999" spans="4:4" ht="15.75" hidden="1" customHeight="1">
      <c r="D999" s="68"/>
    </row>
    <row r="1000" spans="4:4" ht="15.75" hidden="1" customHeight="1">
      <c r="D1000" s="68"/>
    </row>
    <row r="1001" spans="4:4" ht="15.75" hidden="1" customHeight="1">
      <c r="D1001" s="68"/>
    </row>
    <row r="1002" spans="4:4" ht="15.75" hidden="1" customHeight="1">
      <c r="D1002" s="68"/>
    </row>
    <row r="1003" spans="4:4" ht="15.75" hidden="1" customHeight="1">
      <c r="D1003" s="68"/>
    </row>
    <row r="1004" spans="4:4" ht="15.75" hidden="1" customHeight="1">
      <c r="D1004" s="68"/>
    </row>
    <row r="1005" spans="4:4" ht="15.75" hidden="1" customHeight="1">
      <c r="D1005" s="68"/>
    </row>
    <row r="1006" spans="4:4" ht="15.75" hidden="1" customHeight="1">
      <c r="D1006" s="68"/>
    </row>
    <row r="1007" spans="4:4" ht="15.75" hidden="1" customHeight="1">
      <c r="D1007" s="68"/>
    </row>
    <row r="1008" spans="4:4" ht="15.75" hidden="1" customHeight="1">
      <c r="D1008" s="68"/>
    </row>
    <row r="1009" spans="4:4" ht="15.75" hidden="1" customHeight="1">
      <c r="D1009" s="68"/>
    </row>
    <row r="1010" spans="4:4" ht="15.75" hidden="1" customHeight="1">
      <c r="D1010" s="68"/>
    </row>
    <row r="1011" spans="4:4" ht="15.75" hidden="1" customHeight="1">
      <c r="D1011" s="68"/>
    </row>
    <row r="1012" spans="4:4" ht="15.75" hidden="1" customHeight="1">
      <c r="D1012" s="68"/>
    </row>
    <row r="1013" spans="4:4" ht="15.75" hidden="1" customHeight="1">
      <c r="D1013" s="68"/>
    </row>
    <row r="1014" spans="4:4" ht="15.75" hidden="1" customHeight="1">
      <c r="D1014" s="68"/>
    </row>
    <row r="1015" spans="4:4" ht="15.75" hidden="1" customHeight="1">
      <c r="D1015" s="68"/>
    </row>
    <row r="1016" spans="4:4" ht="15.75" hidden="1" customHeight="1">
      <c r="D1016" s="68"/>
    </row>
    <row r="1017" spans="4:4" ht="15.75" hidden="1" customHeight="1">
      <c r="D1017" s="68"/>
    </row>
    <row r="1018" spans="4:4" ht="15.75" hidden="1" customHeight="1">
      <c r="D1018" s="68"/>
    </row>
    <row r="1019" spans="4:4" ht="15.75" hidden="1" customHeight="1">
      <c r="D1019" s="68"/>
    </row>
    <row r="1020" spans="4:4" ht="15.75" hidden="1" customHeight="1">
      <c r="D1020" s="68"/>
    </row>
    <row r="1021" spans="4:4" ht="15.75" hidden="1" customHeight="1">
      <c r="D1021" s="68"/>
    </row>
    <row r="1022" spans="4:4" ht="15.75" hidden="1" customHeight="1">
      <c r="D1022" s="68"/>
    </row>
    <row r="1023" spans="4:4" ht="15.75" hidden="1" customHeight="1">
      <c r="D1023" s="68"/>
    </row>
    <row r="1024" spans="4:4" ht="15.75" hidden="1" customHeight="1">
      <c r="D1024" s="68"/>
    </row>
    <row r="1025" spans="4:4" ht="15.75" hidden="1" customHeight="1">
      <c r="D1025" s="68"/>
    </row>
    <row r="1026" spans="4:4" ht="15.75" hidden="1" customHeight="1">
      <c r="D1026" s="68"/>
    </row>
    <row r="1027" spans="4:4" ht="15.75" hidden="1" customHeight="1">
      <c r="D1027" s="68"/>
    </row>
    <row r="1028" spans="4:4" ht="15.75" hidden="1" customHeight="1">
      <c r="D1028" s="68"/>
    </row>
    <row r="1029" spans="4:4" ht="15.75" hidden="1" customHeight="1">
      <c r="D1029" s="68"/>
    </row>
    <row r="1030" spans="4:4" ht="15.75" hidden="1" customHeight="1">
      <c r="D1030" s="68"/>
    </row>
    <row r="1031" spans="4:4" ht="15.75" hidden="1" customHeight="1">
      <c r="D1031" s="68"/>
    </row>
    <row r="1032" spans="4:4" ht="15.75" hidden="1" customHeight="1">
      <c r="D1032" s="68"/>
    </row>
    <row r="1033" spans="4:4" ht="15.75" hidden="1" customHeight="1">
      <c r="D1033" s="68"/>
    </row>
    <row r="1034" spans="4:4" ht="15.75" hidden="1" customHeight="1">
      <c r="D1034" s="68"/>
    </row>
    <row r="1035" spans="4:4" ht="15.75" hidden="1" customHeight="1">
      <c r="D1035" s="68"/>
    </row>
    <row r="1036" spans="4:4" ht="15.75" hidden="1" customHeight="1">
      <c r="D1036" s="68"/>
    </row>
    <row r="1037" spans="4:4" ht="15.75" hidden="1" customHeight="1">
      <c r="D1037" s="68"/>
    </row>
    <row r="1038" spans="4:4" ht="15.75" hidden="1" customHeight="1">
      <c r="D1038" s="68"/>
    </row>
    <row r="1039" spans="4:4" ht="15.75" hidden="1" customHeight="1">
      <c r="D1039" s="68"/>
    </row>
    <row r="1040" spans="4:4" ht="15.75" hidden="1" customHeight="1">
      <c r="D1040" s="68"/>
    </row>
    <row r="1041" spans="4:4" ht="15.75" hidden="1" customHeight="1">
      <c r="D1041" s="68"/>
    </row>
    <row r="1042" spans="4:4" ht="15.75" hidden="1" customHeight="1">
      <c r="D1042" s="68"/>
    </row>
    <row r="1043" spans="4:4" ht="15.75" hidden="1" customHeight="1">
      <c r="D1043" s="68"/>
    </row>
    <row r="1044" spans="4:4" ht="15.75" hidden="1" customHeight="1">
      <c r="D1044" s="68"/>
    </row>
    <row r="1045" spans="4:4" ht="15.75" hidden="1" customHeight="1">
      <c r="D1045" s="68"/>
    </row>
    <row r="1046" spans="4:4" ht="15.75" hidden="1" customHeight="1">
      <c r="D1046" s="68"/>
    </row>
    <row r="1047" spans="4:4" ht="15.75" hidden="1" customHeight="1">
      <c r="D1047" s="68"/>
    </row>
    <row r="1048" spans="4:4" ht="15.75" hidden="1" customHeight="1">
      <c r="D1048" s="68"/>
    </row>
    <row r="1049" spans="4:4" ht="15.75" hidden="1" customHeight="1">
      <c r="D1049" s="68"/>
    </row>
    <row r="1050" spans="4:4" ht="15.75" hidden="1" customHeight="1">
      <c r="D1050" s="68"/>
    </row>
    <row r="1051" spans="4:4" ht="15.75" hidden="1" customHeight="1">
      <c r="D1051" s="68"/>
    </row>
    <row r="1052" spans="4:4" ht="15.75" hidden="1" customHeight="1">
      <c r="D1052" s="68"/>
    </row>
    <row r="1053" spans="4:4" ht="15.75" hidden="1" customHeight="1">
      <c r="D1053" s="68"/>
    </row>
    <row r="1054" spans="4:4" ht="15.75" hidden="1" customHeight="1">
      <c r="D1054" s="68"/>
    </row>
    <row r="1055" spans="4:4" ht="15.75" hidden="1" customHeight="1">
      <c r="D1055" s="68"/>
    </row>
    <row r="1056" spans="4:4" ht="15.75" hidden="1" customHeight="1">
      <c r="D1056" s="68"/>
    </row>
    <row r="1057" spans="4:4" ht="15.75" hidden="1" customHeight="1">
      <c r="D1057" s="68"/>
    </row>
    <row r="1058" spans="4:4" ht="15.75" hidden="1" customHeight="1">
      <c r="D1058" s="68"/>
    </row>
    <row r="1059" spans="4:4" ht="15.75" hidden="1" customHeight="1">
      <c r="D1059" s="68"/>
    </row>
    <row r="1060" spans="4:4" ht="15.75" hidden="1" customHeight="1">
      <c r="D1060" s="68"/>
    </row>
    <row r="1061" spans="4:4" ht="15.75" hidden="1" customHeight="1">
      <c r="D1061" s="68"/>
    </row>
    <row r="1062" spans="4:4" ht="15.75" hidden="1" customHeight="1">
      <c r="D1062" s="68"/>
    </row>
    <row r="1063" spans="4:4" ht="15.75" hidden="1" customHeight="1">
      <c r="D1063" s="68"/>
    </row>
    <row r="1064" spans="4:4" ht="15.75" hidden="1" customHeight="1">
      <c r="D1064" s="68"/>
    </row>
    <row r="1065" spans="4:4" ht="15.75" hidden="1" customHeight="1">
      <c r="D1065" s="68"/>
    </row>
    <row r="1066" spans="4:4" ht="15.75" hidden="1" customHeight="1">
      <c r="D1066" s="68"/>
    </row>
    <row r="1067" spans="4:4" ht="15.75" hidden="1" customHeight="1">
      <c r="D1067" s="68"/>
    </row>
    <row r="1068" spans="4:4" ht="15.75" hidden="1" customHeight="1">
      <c r="D1068" s="68"/>
    </row>
    <row r="1069" spans="4:4" ht="15.75" hidden="1" customHeight="1">
      <c r="D1069" s="68"/>
    </row>
    <row r="1070" spans="4:4" ht="15.75" hidden="1" customHeight="1">
      <c r="D1070" s="68"/>
    </row>
    <row r="1071" spans="4:4" ht="15.75" hidden="1" customHeight="1">
      <c r="D1071" s="68"/>
    </row>
    <row r="1072" spans="4:4" ht="15.75" hidden="1" customHeight="1">
      <c r="D1072" s="68"/>
    </row>
    <row r="1073" spans="4:4" ht="15.75" hidden="1" customHeight="1">
      <c r="D1073" s="68"/>
    </row>
    <row r="1074" spans="4:4" ht="15.75" hidden="1" customHeight="1">
      <c r="D1074" s="68"/>
    </row>
    <row r="1075" spans="4:4" ht="15.75" hidden="1" customHeight="1">
      <c r="D1075" s="68"/>
    </row>
    <row r="1076" spans="4:4" ht="15.75" hidden="1" customHeight="1">
      <c r="D1076" s="68"/>
    </row>
    <row r="1077" spans="4:4" ht="15.75" hidden="1" customHeight="1">
      <c r="D1077" s="68"/>
    </row>
    <row r="1078" spans="4:4" ht="15.75" hidden="1" customHeight="1">
      <c r="D1078" s="68"/>
    </row>
    <row r="1079" spans="4:4" ht="15.75" hidden="1" customHeight="1">
      <c r="D1079" s="68"/>
    </row>
    <row r="1080" spans="4:4" ht="15.75" hidden="1" customHeight="1">
      <c r="D1080" s="68"/>
    </row>
    <row r="1081" spans="4:4" ht="15.75" hidden="1" customHeight="1">
      <c r="D1081" s="68"/>
    </row>
    <row r="1082" spans="4:4" ht="15.75" hidden="1" customHeight="1">
      <c r="D1082" s="68"/>
    </row>
    <row r="1083" spans="4:4" ht="15.75" hidden="1" customHeight="1">
      <c r="D1083" s="68"/>
    </row>
    <row r="1084" spans="4:4" ht="15.75" hidden="1" customHeight="1">
      <c r="D1084" s="68"/>
    </row>
  </sheetData>
  <mergeCells count="6">
    <mergeCell ref="A1:F1"/>
    <mergeCell ref="A2:F2"/>
    <mergeCell ref="A3:B3"/>
    <mergeCell ref="C3:F3"/>
    <mergeCell ref="A4:B4"/>
    <mergeCell ref="C4:F4"/>
  </mergeCells>
  <dataValidations count="1">
    <dataValidation type="custom" allowBlank="1" showInputMessage="1" showErrorMessage="1" prompt="Enter either 'A' or value of&lt;=20" sqref="E6:F294">
      <formula1>OR(E6="A",E6&lt;21)</formula1>
    </dataValidation>
  </dataValidations>
  <printOptions horizontalCentered="1"/>
  <pageMargins left="0.19685039370078741" right="0.19685039370078741" top="0" bottom="0.27559055118110237" header="0" footer="0"/>
  <pageSetup paperSize="9" orientation="landscape"/>
  <headerFooter>
    <oddFooter>&amp;C                               Signature of Faculty: ___________________________                                                        Signature of HoD:___________________________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1"/>
  <sheetViews>
    <sheetView topLeftCell="A4" workbookViewId="0">
      <selection activeCell="R11" sqref="R11"/>
    </sheetView>
  </sheetViews>
  <sheetFormatPr defaultColWidth="14.42578125" defaultRowHeight="15" customHeight="1"/>
  <cols>
    <col min="1" max="1" width="6.140625" customWidth="1"/>
    <col min="2" max="2" width="19.140625" customWidth="1"/>
    <col min="3" max="9" width="8" customWidth="1"/>
    <col min="10" max="10" width="10.140625" customWidth="1"/>
    <col min="11" max="22" width="8" customWidth="1"/>
    <col min="23" max="24" width="14.42578125" customWidth="1"/>
    <col min="25" max="26" width="8" customWidth="1"/>
  </cols>
  <sheetData>
    <row r="1" spans="1:26" ht="26.25" customHeight="1">
      <c r="A1" s="232">
        <f>'Final Attainment'!A1:V1</f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69"/>
      <c r="X1" s="69"/>
    </row>
    <row r="2" spans="1:26" ht="19.5" customHeight="1">
      <c r="A2" s="233">
        <f>'Final Attainment'!A2:V2</f>
        <v>0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</row>
    <row r="3" spans="1:26" ht="15.75" customHeight="1">
      <c r="A3" s="70"/>
      <c r="B3" s="70"/>
      <c r="C3" s="70"/>
      <c r="D3" s="70"/>
      <c r="I3" s="70"/>
      <c r="J3" s="70"/>
      <c r="K3" s="71"/>
      <c r="L3" s="70"/>
      <c r="O3" s="70"/>
      <c r="R3" s="70"/>
      <c r="S3" s="70"/>
      <c r="V3" s="70"/>
      <c r="W3" s="71"/>
      <c r="X3" s="71"/>
    </row>
    <row r="4" spans="1:26" ht="39" customHeight="1">
      <c r="A4" s="234" t="s">
        <v>202</v>
      </c>
      <c r="B4" s="224"/>
      <c r="C4" s="72" t="str">
        <f>'Final Attainment'!C4</f>
        <v>2024-2025 EVEN</v>
      </c>
      <c r="D4" s="70"/>
      <c r="E4" s="234" t="s">
        <v>203</v>
      </c>
      <c r="F4" s="224"/>
      <c r="G4" s="73" t="str">
        <f>'Final Attainment'!G4</f>
        <v>IV &amp; II</v>
      </c>
      <c r="H4" s="235" t="s">
        <v>204</v>
      </c>
      <c r="I4" s="224"/>
      <c r="J4" s="224"/>
      <c r="K4" s="236" t="str">
        <f>'Final Attainment'!K4:Q4</f>
        <v>22EE401 &amp; POWER GENERATION, TRANSMISSION AND DISTRIBUTION</v>
      </c>
      <c r="L4" s="224"/>
      <c r="M4" s="224"/>
      <c r="N4" s="224"/>
      <c r="O4" s="224"/>
      <c r="P4" s="224"/>
      <c r="Q4" s="224"/>
      <c r="R4" s="70" t="s">
        <v>205</v>
      </c>
      <c r="S4" s="74" t="str">
        <f>'Final Attainment'!S4</f>
        <v>Dr.SIVARAMAN P / EE1329</v>
      </c>
      <c r="T4" s="75"/>
      <c r="U4" s="74"/>
      <c r="V4" s="74"/>
      <c r="W4" s="71"/>
      <c r="X4" s="71"/>
      <c r="Y4" s="75"/>
      <c r="Z4" s="75"/>
    </row>
    <row r="5" spans="1:26" ht="16.5" customHeight="1">
      <c r="A5" s="70"/>
      <c r="B5" s="70"/>
      <c r="C5" s="70"/>
      <c r="D5" s="76"/>
      <c r="I5" s="70"/>
      <c r="J5" s="70"/>
      <c r="K5" s="71"/>
      <c r="L5" s="77"/>
      <c r="O5" s="70"/>
      <c r="R5" s="77"/>
      <c r="S5" s="77"/>
      <c r="V5" s="70"/>
      <c r="W5" s="71"/>
      <c r="X5" s="71"/>
    </row>
    <row r="6" spans="1:26" ht="28.5" customHeight="1">
      <c r="A6" s="237" t="s">
        <v>206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9"/>
      <c r="W6" s="78"/>
      <c r="X6" s="78"/>
    </row>
    <row r="7" spans="1:26" ht="27.75" customHeight="1">
      <c r="A7" s="243" t="s">
        <v>207</v>
      </c>
      <c r="B7" s="246" t="str">
        <f>'Final Attainment'!X1</f>
        <v>CO Attainment Level 0: &lt;50% of students scoring less than the target marks
CO Attainment Level 1: 50% of students scoring more than the target marks
CO Attainment Level 2: 60% of students scoring more than the target marks
CO Attainment Level 3: 70% of students scoring more than the target marks</v>
      </c>
      <c r="C7" s="247"/>
      <c r="D7" s="247"/>
      <c r="E7" s="247"/>
      <c r="F7" s="247"/>
      <c r="G7" s="247"/>
      <c r="H7" s="247"/>
      <c r="I7" s="247"/>
      <c r="J7" s="247"/>
      <c r="K7" s="248"/>
      <c r="L7" s="240" t="s">
        <v>208</v>
      </c>
      <c r="M7" s="241"/>
      <c r="N7" s="241"/>
      <c r="O7" s="241"/>
      <c r="P7" s="241"/>
      <c r="Q7" s="241"/>
      <c r="R7" s="241"/>
      <c r="S7" s="241"/>
      <c r="T7" s="241"/>
      <c r="U7" s="241"/>
      <c r="V7" s="242"/>
    </row>
    <row r="8" spans="1:26" ht="15.75" customHeight="1">
      <c r="A8" s="244"/>
      <c r="B8" s="249"/>
      <c r="C8" s="224"/>
      <c r="D8" s="224"/>
      <c r="E8" s="224"/>
      <c r="F8" s="224"/>
      <c r="G8" s="224"/>
      <c r="H8" s="224"/>
      <c r="I8" s="224"/>
      <c r="J8" s="224"/>
      <c r="K8" s="250"/>
      <c r="L8" s="251"/>
      <c r="M8" s="212"/>
      <c r="N8" s="212"/>
      <c r="O8" s="212"/>
      <c r="P8" s="212"/>
      <c r="Q8" s="213"/>
      <c r="R8" s="79" t="s">
        <v>209</v>
      </c>
      <c r="S8" s="79" t="s">
        <v>210</v>
      </c>
      <c r="T8" s="79" t="s">
        <v>211</v>
      </c>
      <c r="U8" s="79" t="s">
        <v>212</v>
      </c>
      <c r="V8" s="80" t="s">
        <v>213</v>
      </c>
    </row>
    <row r="9" spans="1:26" ht="19.5" customHeight="1">
      <c r="A9" s="245"/>
      <c r="B9" s="249"/>
      <c r="C9" s="224"/>
      <c r="D9" s="224"/>
      <c r="E9" s="224"/>
      <c r="F9" s="224"/>
      <c r="G9" s="224"/>
      <c r="H9" s="224"/>
      <c r="I9" s="224"/>
      <c r="J9" s="224"/>
      <c r="K9" s="250"/>
      <c r="L9" s="252" t="s">
        <v>214</v>
      </c>
      <c r="M9" s="212"/>
      <c r="N9" s="212"/>
      <c r="O9" s="212"/>
      <c r="P9" s="212"/>
      <c r="Q9" s="213"/>
      <c r="R9" s="81">
        <f t="shared" ref="R9:V9" si="0">COUNTIF(H16:H421,"&gt;=0")</f>
        <v>66</v>
      </c>
      <c r="S9" s="81">
        <f t="shared" si="0"/>
        <v>66</v>
      </c>
      <c r="T9" s="81">
        <f t="shared" si="0"/>
        <v>66</v>
      </c>
      <c r="U9" s="81">
        <f t="shared" si="0"/>
        <v>0</v>
      </c>
      <c r="V9" s="82">
        <f t="shared" si="0"/>
        <v>0</v>
      </c>
    </row>
    <row r="10" spans="1:26" ht="15.75" customHeight="1">
      <c r="A10" s="253" t="s">
        <v>215</v>
      </c>
      <c r="B10" s="254"/>
      <c r="C10" s="254"/>
      <c r="D10" s="254"/>
      <c r="E10" s="255">
        <f>'Final Attainment'!E7</f>
        <v>58</v>
      </c>
      <c r="F10" s="256"/>
      <c r="G10" s="83"/>
      <c r="H10" s="84"/>
      <c r="I10" s="84"/>
      <c r="J10" s="84"/>
      <c r="K10" s="85"/>
      <c r="L10" s="252" t="s">
        <v>216</v>
      </c>
      <c r="M10" s="212"/>
      <c r="N10" s="212"/>
      <c r="O10" s="212"/>
      <c r="P10" s="212"/>
      <c r="Q10" s="213"/>
      <c r="R10" s="81">
        <f t="shared" ref="R10:V10" si="1">COUNTIF(M16:M421,"&gt;="&amp;$E$10)</f>
        <v>44</v>
      </c>
      <c r="S10" s="81">
        <f t="shared" si="1"/>
        <v>40</v>
      </c>
      <c r="T10" s="81">
        <f t="shared" si="1"/>
        <v>47</v>
      </c>
      <c r="U10" s="81">
        <f t="shared" si="1"/>
        <v>0</v>
      </c>
      <c r="V10" s="82">
        <f t="shared" si="1"/>
        <v>0</v>
      </c>
    </row>
    <row r="11" spans="1:26" ht="15.75" customHeight="1">
      <c r="A11" s="262" t="s">
        <v>217</v>
      </c>
      <c r="B11" s="263"/>
      <c r="C11" s="263"/>
      <c r="D11" s="263"/>
      <c r="E11" s="264">
        <f>COUNTA(B16:B421)</f>
        <v>66</v>
      </c>
      <c r="F11" s="265"/>
      <c r="G11" s="87"/>
      <c r="H11" s="88"/>
      <c r="I11" s="88"/>
      <c r="J11" s="88"/>
      <c r="K11" s="89"/>
      <c r="L11" s="252" t="s">
        <v>218</v>
      </c>
      <c r="M11" s="212"/>
      <c r="N11" s="212"/>
      <c r="O11" s="212"/>
      <c r="P11" s="212"/>
      <c r="Q11" s="213"/>
      <c r="R11" s="90">
        <f ca="1"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)))"),2)</f>
        <v>2</v>
      </c>
      <c r="S11" s="90">
        <f ca="1"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)))"),2)</f>
        <v>2</v>
      </c>
      <c r="T11" s="91">
        <f ca="1"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90" t="str">
        <f ca="1"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)))"),"")</f>
        <v/>
      </c>
      <c r="V11" s="92" t="str">
        <f ca="1"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</row>
    <row r="12" spans="1:26" ht="16.5" customHeight="1">
      <c r="A12" s="266" t="s">
        <v>219</v>
      </c>
      <c r="B12" s="267"/>
      <c r="C12" s="267"/>
      <c r="D12" s="267"/>
      <c r="E12" s="268">
        <f>R9</f>
        <v>66</v>
      </c>
      <c r="F12" s="269"/>
      <c r="G12" s="93"/>
      <c r="H12" s="94"/>
      <c r="I12" s="94"/>
      <c r="J12" s="94"/>
      <c r="K12" s="95"/>
      <c r="L12" s="270" t="s">
        <v>220</v>
      </c>
      <c r="M12" s="271"/>
      <c r="N12" s="271"/>
      <c r="O12" s="271"/>
      <c r="P12" s="271"/>
      <c r="Q12" s="272"/>
      <c r="R12" s="96">
        <f t="shared" ref="R12:V12" si="2">R9-R10</f>
        <v>22</v>
      </c>
      <c r="S12" s="96">
        <f t="shared" si="2"/>
        <v>26</v>
      </c>
      <c r="T12" s="96">
        <f t="shared" si="2"/>
        <v>19</v>
      </c>
      <c r="U12" s="96">
        <f t="shared" si="2"/>
        <v>0</v>
      </c>
      <c r="V12" s="97">
        <f t="shared" si="2"/>
        <v>0</v>
      </c>
    </row>
    <row r="13" spans="1:26" ht="15.75" customHeight="1">
      <c r="A13" s="98"/>
      <c r="B13" s="98"/>
      <c r="C13" s="98"/>
      <c r="D13" s="98"/>
      <c r="E13" s="98"/>
      <c r="F13" s="98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100"/>
      <c r="X13" s="100"/>
    </row>
    <row r="14" spans="1:26" ht="15.75" customHeight="1">
      <c r="A14" s="257" t="s">
        <v>221</v>
      </c>
      <c r="B14" s="257" t="s">
        <v>222</v>
      </c>
      <c r="C14" s="258" t="s">
        <v>223</v>
      </c>
      <c r="D14" s="259"/>
      <c r="E14" s="259"/>
      <c r="F14" s="259"/>
      <c r="G14" s="260"/>
      <c r="H14" s="258" t="s">
        <v>224</v>
      </c>
      <c r="I14" s="259"/>
      <c r="J14" s="259"/>
      <c r="K14" s="259"/>
      <c r="L14" s="260"/>
      <c r="M14" s="261" t="s">
        <v>225</v>
      </c>
      <c r="N14" s="212"/>
      <c r="O14" s="212"/>
      <c r="P14" s="212"/>
      <c r="Q14" s="213"/>
      <c r="R14" s="261" t="s">
        <v>226</v>
      </c>
      <c r="S14" s="212"/>
      <c r="T14" s="212"/>
      <c r="U14" s="212"/>
      <c r="V14" s="213"/>
      <c r="W14" s="101" t="s">
        <v>0</v>
      </c>
    </row>
    <row r="15" spans="1:26" ht="15.75" customHeight="1">
      <c r="A15" s="229"/>
      <c r="B15" s="229"/>
      <c r="C15" s="102" t="s">
        <v>209</v>
      </c>
      <c r="D15" s="102" t="s">
        <v>210</v>
      </c>
      <c r="E15" s="102" t="s">
        <v>211</v>
      </c>
      <c r="F15" s="102" t="s">
        <v>212</v>
      </c>
      <c r="G15" s="102" t="s">
        <v>213</v>
      </c>
      <c r="H15" s="102" t="s">
        <v>209</v>
      </c>
      <c r="I15" s="102" t="s">
        <v>210</v>
      </c>
      <c r="J15" s="102" t="s">
        <v>211</v>
      </c>
      <c r="K15" s="102" t="s">
        <v>212</v>
      </c>
      <c r="L15" s="102" t="s">
        <v>213</v>
      </c>
      <c r="M15" s="101" t="s">
        <v>209</v>
      </c>
      <c r="N15" s="101" t="s">
        <v>210</v>
      </c>
      <c r="O15" s="101" t="s">
        <v>211</v>
      </c>
      <c r="P15" s="101" t="s">
        <v>212</v>
      </c>
      <c r="Q15" s="101" t="s">
        <v>213</v>
      </c>
      <c r="R15" s="101" t="s">
        <v>209</v>
      </c>
      <c r="S15" s="101" t="s">
        <v>210</v>
      </c>
      <c r="T15" s="101" t="s">
        <v>211</v>
      </c>
      <c r="U15" s="101" t="s">
        <v>212</v>
      </c>
      <c r="V15" s="101" t="s">
        <v>213</v>
      </c>
      <c r="W15" s="101" t="s">
        <v>227</v>
      </c>
    </row>
    <row r="16" spans="1:26" ht="16.5" customHeight="1">
      <c r="A16" s="103">
        <f>Theory!A6</f>
        <v>1</v>
      </c>
      <c r="B16" s="103" t="str">
        <f>Theory!B6</f>
        <v>7376231EE102</v>
      </c>
      <c r="C16" s="104">
        <v>20</v>
      </c>
      <c r="D16" s="104">
        <v>20</v>
      </c>
      <c r="E16" s="104">
        <v>10</v>
      </c>
      <c r="F16" s="105"/>
      <c r="G16" s="105"/>
      <c r="H16" s="106">
        <v>13</v>
      </c>
      <c r="I16" s="106">
        <v>13</v>
      </c>
      <c r="J16" s="107">
        <v>7</v>
      </c>
      <c r="K16" s="108"/>
      <c r="L16" s="108"/>
      <c r="M16" s="104">
        <f t="shared" ref="M16:Q16" si="3">IF(C16="","",H16*100/C16)</f>
        <v>65</v>
      </c>
      <c r="N16" s="104">
        <f t="shared" si="3"/>
        <v>65</v>
      </c>
      <c r="O16" s="104">
        <f t="shared" si="3"/>
        <v>70</v>
      </c>
      <c r="P16" s="104" t="str">
        <f t="shared" si="3"/>
        <v/>
      </c>
      <c r="Q16" s="104" t="str">
        <f t="shared" si="3"/>
        <v/>
      </c>
      <c r="R16" s="105" t="str">
        <f t="shared" ref="R16:T16" si="4">IF(M16&gt;=$E$10,"1","0")</f>
        <v>1</v>
      </c>
      <c r="S16" s="105" t="str">
        <f t="shared" si="4"/>
        <v>1</v>
      </c>
      <c r="T16" s="105" t="str">
        <f t="shared" si="4"/>
        <v>1</v>
      </c>
      <c r="U16" s="105"/>
      <c r="V16" s="105"/>
      <c r="W16" s="3">
        <f>Theory!D6</f>
        <v>33</v>
      </c>
    </row>
    <row r="17" spans="1:23" ht="16.5" customHeight="1">
      <c r="A17" s="103">
        <f>Theory!A7</f>
        <v>2</v>
      </c>
      <c r="B17" s="103" t="str">
        <f>Theory!B7</f>
        <v>7376231EE103</v>
      </c>
      <c r="C17" s="104">
        <v>20</v>
      </c>
      <c r="D17" s="104">
        <v>20</v>
      </c>
      <c r="E17" s="104">
        <v>10</v>
      </c>
      <c r="F17" s="105"/>
      <c r="G17" s="105"/>
      <c r="H17" s="106">
        <v>13</v>
      </c>
      <c r="I17" s="106">
        <v>13</v>
      </c>
      <c r="J17" s="107">
        <v>7</v>
      </c>
      <c r="K17" s="108"/>
      <c r="L17" s="108"/>
      <c r="M17" s="104">
        <f t="shared" ref="M17:Q17" si="5">IF(C17="","",H17*100/C17)</f>
        <v>65</v>
      </c>
      <c r="N17" s="104">
        <f t="shared" si="5"/>
        <v>65</v>
      </c>
      <c r="O17" s="104">
        <f t="shared" si="5"/>
        <v>70</v>
      </c>
      <c r="P17" s="104" t="str">
        <f t="shared" si="5"/>
        <v/>
      </c>
      <c r="Q17" s="104" t="str">
        <f t="shared" si="5"/>
        <v/>
      </c>
      <c r="R17" s="105" t="str">
        <f t="shared" ref="R17:T17" si="6">IF(M17&gt;=$E$10,"1","0")</f>
        <v>1</v>
      </c>
      <c r="S17" s="105" t="str">
        <f t="shared" si="6"/>
        <v>1</v>
      </c>
      <c r="T17" s="105" t="str">
        <f t="shared" si="6"/>
        <v>1</v>
      </c>
      <c r="U17" s="105"/>
      <c r="V17" s="105"/>
      <c r="W17" s="3">
        <f>Theory!D7</f>
        <v>33</v>
      </c>
    </row>
    <row r="18" spans="1:23" ht="16.5" customHeight="1">
      <c r="A18" s="103">
        <f>Theory!A8</f>
        <v>3</v>
      </c>
      <c r="B18" s="103" t="str">
        <f>Theory!B8</f>
        <v>7376231EE104</v>
      </c>
      <c r="C18" s="104">
        <v>20</v>
      </c>
      <c r="D18" s="104">
        <v>20</v>
      </c>
      <c r="E18" s="104">
        <v>10</v>
      </c>
      <c r="F18" s="105"/>
      <c r="G18" s="105"/>
      <c r="H18" s="106">
        <v>7</v>
      </c>
      <c r="I18" s="106">
        <v>7</v>
      </c>
      <c r="J18" s="107">
        <v>4</v>
      </c>
      <c r="K18" s="108"/>
      <c r="L18" s="108"/>
      <c r="M18" s="104">
        <f t="shared" ref="M18:Q18" si="7">IF(C18="","",H18*100/C18)</f>
        <v>35</v>
      </c>
      <c r="N18" s="104">
        <f t="shared" si="7"/>
        <v>35</v>
      </c>
      <c r="O18" s="104">
        <f t="shared" si="7"/>
        <v>40</v>
      </c>
      <c r="P18" s="104" t="str">
        <f t="shared" si="7"/>
        <v/>
      </c>
      <c r="Q18" s="104" t="str">
        <f t="shared" si="7"/>
        <v/>
      </c>
      <c r="R18" s="105" t="str">
        <f t="shared" ref="R18:T18" si="8">IF(M18&gt;=$E$10,"1","0")</f>
        <v>0</v>
      </c>
      <c r="S18" s="105" t="str">
        <f t="shared" si="8"/>
        <v>0</v>
      </c>
      <c r="T18" s="105" t="str">
        <f t="shared" si="8"/>
        <v>0</v>
      </c>
      <c r="U18" s="105"/>
      <c r="V18" s="105"/>
      <c r="W18" s="3">
        <f>Theory!D8</f>
        <v>18</v>
      </c>
    </row>
    <row r="19" spans="1:23" ht="16.5" customHeight="1">
      <c r="A19" s="103">
        <f>Theory!A9</f>
        <v>4</v>
      </c>
      <c r="B19" s="103" t="str">
        <f>Theory!B9</f>
        <v>7376231EE105</v>
      </c>
      <c r="C19" s="104">
        <v>20</v>
      </c>
      <c r="D19" s="104">
        <v>20</v>
      </c>
      <c r="E19" s="104">
        <v>10</v>
      </c>
      <c r="F19" s="105"/>
      <c r="G19" s="105"/>
      <c r="H19" s="106">
        <v>14</v>
      </c>
      <c r="I19" s="106">
        <v>14</v>
      </c>
      <c r="J19" s="107">
        <v>6</v>
      </c>
      <c r="K19" s="108"/>
      <c r="L19" s="108"/>
      <c r="M19" s="104">
        <f t="shared" ref="M19:Q19" si="9">IF(C19="","",H19*100/C19)</f>
        <v>70</v>
      </c>
      <c r="N19" s="104">
        <f t="shared" si="9"/>
        <v>70</v>
      </c>
      <c r="O19" s="104">
        <f t="shared" si="9"/>
        <v>60</v>
      </c>
      <c r="P19" s="104" t="str">
        <f t="shared" si="9"/>
        <v/>
      </c>
      <c r="Q19" s="104" t="str">
        <f t="shared" si="9"/>
        <v/>
      </c>
      <c r="R19" s="105" t="str">
        <f t="shared" ref="R19:T19" si="10">IF(M19&gt;=$E$10,"1","0")</f>
        <v>1</v>
      </c>
      <c r="S19" s="105" t="str">
        <f t="shared" si="10"/>
        <v>1</v>
      </c>
      <c r="T19" s="105" t="str">
        <f t="shared" si="10"/>
        <v>1</v>
      </c>
      <c r="U19" s="105"/>
      <c r="V19" s="105"/>
      <c r="W19" s="3">
        <f>Theory!D9</f>
        <v>34</v>
      </c>
    </row>
    <row r="20" spans="1:23" ht="16.5" customHeight="1">
      <c r="A20" s="103">
        <f>Theory!A10</f>
        <v>5</v>
      </c>
      <c r="B20" s="103" t="str">
        <f>Theory!B10</f>
        <v>7376231EE106</v>
      </c>
      <c r="C20" s="104">
        <v>20</v>
      </c>
      <c r="D20" s="104">
        <v>20</v>
      </c>
      <c r="E20" s="104">
        <v>10</v>
      </c>
      <c r="F20" s="105"/>
      <c r="G20" s="105"/>
      <c r="H20" s="106">
        <v>13</v>
      </c>
      <c r="I20" s="106">
        <v>13</v>
      </c>
      <c r="J20" s="107">
        <v>6</v>
      </c>
      <c r="K20" s="108"/>
      <c r="L20" s="108"/>
      <c r="M20" s="104">
        <f t="shared" ref="M20:Q20" si="11">IF(C20="","",H20*100/C20)</f>
        <v>65</v>
      </c>
      <c r="N20" s="104">
        <f t="shared" si="11"/>
        <v>65</v>
      </c>
      <c r="O20" s="104">
        <f t="shared" si="11"/>
        <v>60</v>
      </c>
      <c r="P20" s="104" t="str">
        <f t="shared" si="11"/>
        <v/>
      </c>
      <c r="Q20" s="104" t="str">
        <f t="shared" si="11"/>
        <v/>
      </c>
      <c r="R20" s="105" t="str">
        <f t="shared" ref="R20:T20" si="12">IF(M20&gt;=$E$10,"1","0")</f>
        <v>1</v>
      </c>
      <c r="S20" s="105" t="str">
        <f t="shared" si="12"/>
        <v>1</v>
      </c>
      <c r="T20" s="105" t="str">
        <f t="shared" si="12"/>
        <v>1</v>
      </c>
      <c r="U20" s="105"/>
      <c r="V20" s="105"/>
      <c r="W20" s="3">
        <f>Theory!D10</f>
        <v>32</v>
      </c>
    </row>
    <row r="21" spans="1:23" ht="16.5" customHeight="1">
      <c r="A21" s="103">
        <f>Theory!A11</f>
        <v>6</v>
      </c>
      <c r="B21" s="103" t="str">
        <f>Theory!B11</f>
        <v>7376231EE107</v>
      </c>
      <c r="C21" s="104">
        <v>20</v>
      </c>
      <c r="D21" s="104">
        <v>20</v>
      </c>
      <c r="E21" s="104">
        <v>10</v>
      </c>
      <c r="F21" s="105"/>
      <c r="G21" s="105"/>
      <c r="H21" s="106">
        <v>14</v>
      </c>
      <c r="I21" s="106">
        <v>14</v>
      </c>
      <c r="J21" s="107">
        <v>6</v>
      </c>
      <c r="K21" s="108"/>
      <c r="L21" s="108"/>
      <c r="M21" s="104">
        <f t="shared" ref="M21:Q21" si="13">IF(C21="","",H21*100/C21)</f>
        <v>70</v>
      </c>
      <c r="N21" s="104">
        <f t="shared" si="13"/>
        <v>70</v>
      </c>
      <c r="O21" s="104">
        <f t="shared" si="13"/>
        <v>60</v>
      </c>
      <c r="P21" s="104" t="str">
        <f t="shared" si="13"/>
        <v/>
      </c>
      <c r="Q21" s="104" t="str">
        <f t="shared" si="13"/>
        <v/>
      </c>
      <c r="R21" s="105" t="str">
        <f t="shared" ref="R21:T21" si="14">IF(M21&gt;=$E$10,"1","0")</f>
        <v>1</v>
      </c>
      <c r="S21" s="105" t="str">
        <f t="shared" si="14"/>
        <v>1</v>
      </c>
      <c r="T21" s="105" t="str">
        <f t="shared" si="14"/>
        <v>1</v>
      </c>
      <c r="U21" s="105"/>
      <c r="V21" s="105"/>
      <c r="W21" s="3">
        <f>Theory!D11</f>
        <v>34</v>
      </c>
    </row>
    <row r="22" spans="1:23" ht="16.5" customHeight="1">
      <c r="A22" s="103">
        <f>Theory!A12</f>
        <v>7</v>
      </c>
      <c r="B22" s="103" t="str">
        <f>Theory!B12</f>
        <v>7376231EE108</v>
      </c>
      <c r="C22" s="104">
        <v>20</v>
      </c>
      <c r="D22" s="104">
        <v>20</v>
      </c>
      <c r="E22" s="104">
        <v>10</v>
      </c>
      <c r="F22" s="105"/>
      <c r="G22" s="105"/>
      <c r="H22" s="106">
        <v>14</v>
      </c>
      <c r="I22" s="106">
        <v>14</v>
      </c>
      <c r="J22" s="107">
        <v>6</v>
      </c>
      <c r="K22" s="108"/>
      <c r="L22" s="108"/>
      <c r="M22" s="104">
        <f t="shared" ref="M22:Q22" si="15">IF(C22="","",H22*100/C22)</f>
        <v>70</v>
      </c>
      <c r="N22" s="104">
        <f t="shared" si="15"/>
        <v>70</v>
      </c>
      <c r="O22" s="104">
        <f t="shared" si="15"/>
        <v>60</v>
      </c>
      <c r="P22" s="104" t="str">
        <f t="shared" si="15"/>
        <v/>
      </c>
      <c r="Q22" s="104" t="str">
        <f t="shared" si="15"/>
        <v/>
      </c>
      <c r="R22" s="105" t="str">
        <f t="shared" ref="R22:T22" si="16">IF(M22&gt;=$E$10,"1","0")</f>
        <v>1</v>
      </c>
      <c r="S22" s="105" t="str">
        <f t="shared" si="16"/>
        <v>1</v>
      </c>
      <c r="T22" s="105" t="str">
        <f t="shared" si="16"/>
        <v>1</v>
      </c>
      <c r="U22" s="105"/>
      <c r="V22" s="105"/>
      <c r="W22" s="3">
        <f>Theory!D12</f>
        <v>34</v>
      </c>
    </row>
    <row r="23" spans="1:23" ht="16.5" customHeight="1">
      <c r="A23" s="103">
        <f>Theory!A13</f>
        <v>8</v>
      </c>
      <c r="B23" s="103" t="str">
        <f>Theory!B13</f>
        <v>7376231EE109</v>
      </c>
      <c r="C23" s="104">
        <v>20</v>
      </c>
      <c r="D23" s="104">
        <v>20</v>
      </c>
      <c r="E23" s="104">
        <v>10</v>
      </c>
      <c r="F23" s="105"/>
      <c r="G23" s="105"/>
      <c r="H23" s="106">
        <v>13</v>
      </c>
      <c r="I23" s="106">
        <v>13</v>
      </c>
      <c r="J23" s="107">
        <v>7</v>
      </c>
      <c r="K23" s="108"/>
      <c r="L23" s="108"/>
      <c r="M23" s="104">
        <f t="shared" ref="M23:Q23" si="17">IF(C23="","",H23*100/C23)</f>
        <v>65</v>
      </c>
      <c r="N23" s="104">
        <f t="shared" si="17"/>
        <v>65</v>
      </c>
      <c r="O23" s="104">
        <f t="shared" si="17"/>
        <v>70</v>
      </c>
      <c r="P23" s="104" t="str">
        <f t="shared" si="17"/>
        <v/>
      </c>
      <c r="Q23" s="104" t="str">
        <f t="shared" si="17"/>
        <v/>
      </c>
      <c r="R23" s="105" t="str">
        <f t="shared" ref="R23:T23" si="18">IF(M23&gt;=$E$10,"1","0")</f>
        <v>1</v>
      </c>
      <c r="S23" s="105" t="str">
        <f t="shared" si="18"/>
        <v>1</v>
      </c>
      <c r="T23" s="105" t="str">
        <f t="shared" si="18"/>
        <v>1</v>
      </c>
      <c r="U23" s="105"/>
      <c r="V23" s="105"/>
      <c r="W23" s="3">
        <f>Theory!D13</f>
        <v>33</v>
      </c>
    </row>
    <row r="24" spans="1:23" ht="16.5" customHeight="1">
      <c r="A24" s="103">
        <f>Theory!A14</f>
        <v>9</v>
      </c>
      <c r="B24" s="103" t="str">
        <f>Theory!B14</f>
        <v>7376231EE110</v>
      </c>
      <c r="C24" s="104">
        <v>20</v>
      </c>
      <c r="D24" s="104">
        <v>20</v>
      </c>
      <c r="E24" s="104">
        <v>10</v>
      </c>
      <c r="F24" s="105"/>
      <c r="G24" s="105"/>
      <c r="H24" s="106">
        <v>15</v>
      </c>
      <c r="I24" s="106">
        <v>14</v>
      </c>
      <c r="J24" s="107">
        <v>7</v>
      </c>
      <c r="K24" s="108"/>
      <c r="L24" s="108"/>
      <c r="M24" s="104">
        <f t="shared" ref="M24:Q24" si="19">IF(C24="","",H24*100/C24)</f>
        <v>75</v>
      </c>
      <c r="N24" s="104">
        <f t="shared" si="19"/>
        <v>70</v>
      </c>
      <c r="O24" s="104">
        <f t="shared" si="19"/>
        <v>70</v>
      </c>
      <c r="P24" s="104" t="str">
        <f t="shared" si="19"/>
        <v/>
      </c>
      <c r="Q24" s="104" t="str">
        <f t="shared" si="19"/>
        <v/>
      </c>
      <c r="R24" s="105" t="str">
        <f t="shared" ref="R24:T24" si="20">IF(M24&gt;=$E$10,"1","0")</f>
        <v>1</v>
      </c>
      <c r="S24" s="105" t="str">
        <f t="shared" si="20"/>
        <v>1</v>
      </c>
      <c r="T24" s="105" t="str">
        <f t="shared" si="20"/>
        <v>1</v>
      </c>
      <c r="U24" s="105"/>
      <c r="V24" s="105"/>
      <c r="W24" s="3">
        <f>Theory!D14</f>
        <v>36</v>
      </c>
    </row>
    <row r="25" spans="1:23" ht="16.5" customHeight="1">
      <c r="A25" s="103">
        <f>Theory!A15</f>
        <v>10</v>
      </c>
      <c r="B25" s="103" t="str">
        <f>Theory!B15</f>
        <v>7376231EE111</v>
      </c>
      <c r="C25" s="104">
        <v>20</v>
      </c>
      <c r="D25" s="104">
        <v>20</v>
      </c>
      <c r="E25" s="104">
        <v>10</v>
      </c>
      <c r="F25" s="105"/>
      <c r="G25" s="105"/>
      <c r="H25" s="106">
        <v>6</v>
      </c>
      <c r="I25" s="106">
        <v>5</v>
      </c>
      <c r="J25" s="107">
        <v>3</v>
      </c>
      <c r="K25" s="108"/>
      <c r="L25" s="108"/>
      <c r="M25" s="104">
        <f t="shared" ref="M25:Q25" si="21">IF(C25="","",H25*100/C25)</f>
        <v>30</v>
      </c>
      <c r="N25" s="104">
        <f t="shared" si="21"/>
        <v>25</v>
      </c>
      <c r="O25" s="104">
        <f t="shared" si="21"/>
        <v>30</v>
      </c>
      <c r="P25" s="104" t="str">
        <f t="shared" si="21"/>
        <v/>
      </c>
      <c r="Q25" s="104" t="str">
        <f t="shared" si="21"/>
        <v/>
      </c>
      <c r="R25" s="105" t="str">
        <f t="shared" ref="R25:T25" si="22">IF(M25&gt;=$E$10,"1","0")</f>
        <v>0</v>
      </c>
      <c r="S25" s="105" t="str">
        <f t="shared" si="22"/>
        <v>0</v>
      </c>
      <c r="T25" s="105" t="str">
        <f t="shared" si="22"/>
        <v>0</v>
      </c>
      <c r="U25" s="105"/>
      <c r="V25" s="105"/>
      <c r="W25" s="3">
        <f>Theory!D15</f>
        <v>14</v>
      </c>
    </row>
    <row r="26" spans="1:23" ht="16.5" customHeight="1">
      <c r="A26" s="103">
        <f>Theory!A16</f>
        <v>11</v>
      </c>
      <c r="B26" s="103" t="str">
        <f>Theory!B16</f>
        <v>7376231EE112</v>
      </c>
      <c r="C26" s="104">
        <v>20</v>
      </c>
      <c r="D26" s="104">
        <v>20</v>
      </c>
      <c r="E26" s="104">
        <v>10</v>
      </c>
      <c r="F26" s="105"/>
      <c r="G26" s="105"/>
      <c r="H26" s="106">
        <v>13</v>
      </c>
      <c r="I26" s="106">
        <v>13</v>
      </c>
      <c r="J26" s="107">
        <v>6</v>
      </c>
      <c r="K26" s="108"/>
      <c r="L26" s="108"/>
      <c r="M26" s="104">
        <f t="shared" ref="M26:Q26" si="23">IF(C26="","",H26*100/C26)</f>
        <v>65</v>
      </c>
      <c r="N26" s="104">
        <f t="shared" si="23"/>
        <v>65</v>
      </c>
      <c r="O26" s="104">
        <f t="shared" si="23"/>
        <v>60</v>
      </c>
      <c r="P26" s="104" t="str">
        <f t="shared" si="23"/>
        <v/>
      </c>
      <c r="Q26" s="104" t="str">
        <f t="shared" si="23"/>
        <v/>
      </c>
      <c r="R26" s="105" t="str">
        <f t="shared" ref="R26:T26" si="24">IF(M26&gt;=$E$10,"1","0")</f>
        <v>1</v>
      </c>
      <c r="S26" s="105" t="str">
        <f t="shared" si="24"/>
        <v>1</v>
      </c>
      <c r="T26" s="105" t="str">
        <f t="shared" si="24"/>
        <v>1</v>
      </c>
      <c r="U26" s="105"/>
      <c r="V26" s="105"/>
      <c r="W26" s="3">
        <f>Theory!D16</f>
        <v>32</v>
      </c>
    </row>
    <row r="27" spans="1:23" ht="16.5" customHeight="1">
      <c r="A27" s="103">
        <f>Theory!A17</f>
        <v>12</v>
      </c>
      <c r="B27" s="103" t="str">
        <f>Theory!B17</f>
        <v>7376231EE113</v>
      </c>
      <c r="C27" s="104">
        <v>20</v>
      </c>
      <c r="D27" s="104">
        <v>20</v>
      </c>
      <c r="E27" s="104">
        <v>10</v>
      </c>
      <c r="F27" s="105"/>
      <c r="G27" s="105"/>
      <c r="H27" s="106">
        <v>12</v>
      </c>
      <c r="I27" s="106">
        <v>13</v>
      </c>
      <c r="J27" s="107">
        <v>5</v>
      </c>
      <c r="K27" s="108"/>
      <c r="L27" s="108"/>
      <c r="M27" s="104">
        <f t="shared" ref="M27:Q27" si="25">IF(C27="","",H27*100/C27)</f>
        <v>60</v>
      </c>
      <c r="N27" s="104">
        <f t="shared" si="25"/>
        <v>65</v>
      </c>
      <c r="O27" s="104">
        <f t="shared" si="25"/>
        <v>50</v>
      </c>
      <c r="P27" s="104" t="str">
        <f t="shared" si="25"/>
        <v/>
      </c>
      <c r="Q27" s="104" t="str">
        <f t="shared" si="25"/>
        <v/>
      </c>
      <c r="R27" s="105" t="str">
        <f t="shared" ref="R27:T27" si="26">IF(M27&gt;=$E$10,"1","0")</f>
        <v>1</v>
      </c>
      <c r="S27" s="105" t="str">
        <f t="shared" si="26"/>
        <v>1</v>
      </c>
      <c r="T27" s="105" t="str">
        <f t="shared" si="26"/>
        <v>0</v>
      </c>
      <c r="U27" s="105"/>
      <c r="V27" s="105"/>
      <c r="W27" s="3">
        <f>Theory!D17</f>
        <v>30</v>
      </c>
    </row>
    <row r="28" spans="1:23" ht="16.5" customHeight="1">
      <c r="A28" s="103">
        <f>Theory!A18</f>
        <v>13</v>
      </c>
      <c r="B28" s="103" t="str">
        <f>Theory!B18</f>
        <v>7376231EE114</v>
      </c>
      <c r="C28" s="104">
        <v>20</v>
      </c>
      <c r="D28" s="104">
        <v>20</v>
      </c>
      <c r="E28" s="104">
        <v>10</v>
      </c>
      <c r="F28" s="105"/>
      <c r="G28" s="105"/>
      <c r="H28" s="106">
        <v>12</v>
      </c>
      <c r="I28" s="106">
        <v>13</v>
      </c>
      <c r="J28" s="107">
        <v>5</v>
      </c>
      <c r="K28" s="108"/>
      <c r="L28" s="108"/>
      <c r="M28" s="104">
        <f t="shared" ref="M28:Q28" si="27">IF(C28="","",H28*100/C28)</f>
        <v>60</v>
      </c>
      <c r="N28" s="104">
        <f t="shared" si="27"/>
        <v>65</v>
      </c>
      <c r="O28" s="104">
        <f t="shared" si="27"/>
        <v>50</v>
      </c>
      <c r="P28" s="104" t="str">
        <f t="shared" si="27"/>
        <v/>
      </c>
      <c r="Q28" s="104" t="str">
        <f t="shared" si="27"/>
        <v/>
      </c>
      <c r="R28" s="105" t="str">
        <f t="shared" ref="R28:T28" si="28">IF(M28&gt;=$E$10,"1","0")</f>
        <v>1</v>
      </c>
      <c r="S28" s="105" t="str">
        <f t="shared" si="28"/>
        <v>1</v>
      </c>
      <c r="T28" s="105" t="str">
        <f t="shared" si="28"/>
        <v>0</v>
      </c>
      <c r="U28" s="105"/>
      <c r="V28" s="105"/>
      <c r="W28" s="3">
        <f>Theory!D18</f>
        <v>30</v>
      </c>
    </row>
    <row r="29" spans="1:23" ht="16.5" customHeight="1">
      <c r="A29" s="103">
        <f>Theory!A19</f>
        <v>14</v>
      </c>
      <c r="B29" s="103" t="str">
        <f>Theory!B19</f>
        <v>7376231EE115</v>
      </c>
      <c r="C29" s="104">
        <v>20</v>
      </c>
      <c r="D29" s="104">
        <v>20</v>
      </c>
      <c r="E29" s="104">
        <v>10</v>
      </c>
      <c r="F29" s="105"/>
      <c r="G29" s="105"/>
      <c r="H29" s="106">
        <v>9</v>
      </c>
      <c r="I29" s="106">
        <v>7</v>
      </c>
      <c r="J29" s="107">
        <v>4</v>
      </c>
      <c r="K29" s="108"/>
      <c r="L29" s="108"/>
      <c r="M29" s="104">
        <f t="shared" ref="M29:Q29" si="29">IF(C29="","",H29*100/C29)</f>
        <v>45</v>
      </c>
      <c r="N29" s="104">
        <f t="shared" si="29"/>
        <v>35</v>
      </c>
      <c r="O29" s="104">
        <f t="shared" si="29"/>
        <v>40</v>
      </c>
      <c r="P29" s="104" t="str">
        <f t="shared" si="29"/>
        <v/>
      </c>
      <c r="Q29" s="104" t="str">
        <f t="shared" si="29"/>
        <v/>
      </c>
      <c r="R29" s="105" t="str">
        <f t="shared" ref="R29:T29" si="30">IF(M29&gt;=$E$10,"1","0")</f>
        <v>0</v>
      </c>
      <c r="S29" s="105" t="str">
        <f t="shared" si="30"/>
        <v>0</v>
      </c>
      <c r="T29" s="105" t="str">
        <f t="shared" si="30"/>
        <v>0</v>
      </c>
      <c r="U29" s="105"/>
      <c r="V29" s="105"/>
      <c r="W29" s="3">
        <f>Theory!D19</f>
        <v>20</v>
      </c>
    </row>
    <row r="30" spans="1:23" ht="16.5" customHeight="1">
      <c r="A30" s="103">
        <f>Theory!A20</f>
        <v>15</v>
      </c>
      <c r="B30" s="103" t="str">
        <f>Theory!B20</f>
        <v>7376231EE116</v>
      </c>
      <c r="C30" s="104">
        <v>20</v>
      </c>
      <c r="D30" s="104">
        <v>20</v>
      </c>
      <c r="E30" s="104">
        <v>10</v>
      </c>
      <c r="F30" s="105"/>
      <c r="G30" s="105"/>
      <c r="H30" s="106">
        <v>11</v>
      </c>
      <c r="I30" s="106">
        <v>11</v>
      </c>
      <c r="J30" s="107">
        <v>6</v>
      </c>
      <c r="K30" s="108"/>
      <c r="L30" s="108"/>
      <c r="M30" s="104">
        <f t="shared" ref="M30:Q30" si="31">IF(C30="","",H30*100/C30)</f>
        <v>55</v>
      </c>
      <c r="N30" s="104">
        <f t="shared" si="31"/>
        <v>55</v>
      </c>
      <c r="O30" s="104">
        <f t="shared" si="31"/>
        <v>60</v>
      </c>
      <c r="P30" s="104" t="str">
        <f t="shared" si="31"/>
        <v/>
      </c>
      <c r="Q30" s="104" t="str">
        <f t="shared" si="31"/>
        <v/>
      </c>
      <c r="R30" s="105" t="str">
        <f t="shared" ref="R30:T30" si="32">IF(M30&gt;=$E$10,"1","0")</f>
        <v>0</v>
      </c>
      <c r="S30" s="105" t="str">
        <f t="shared" si="32"/>
        <v>0</v>
      </c>
      <c r="T30" s="105" t="str">
        <f t="shared" si="32"/>
        <v>1</v>
      </c>
      <c r="U30" s="105"/>
      <c r="V30" s="105"/>
      <c r="W30" s="3">
        <f>Theory!D20</f>
        <v>28</v>
      </c>
    </row>
    <row r="31" spans="1:23" ht="16.5" customHeight="1">
      <c r="A31" s="103">
        <f>Theory!A21</f>
        <v>16</v>
      </c>
      <c r="B31" s="103" t="str">
        <f>Theory!B21</f>
        <v>7376231EE117</v>
      </c>
      <c r="C31" s="104">
        <v>20</v>
      </c>
      <c r="D31" s="104">
        <v>20</v>
      </c>
      <c r="E31" s="104">
        <v>10</v>
      </c>
      <c r="F31" s="105"/>
      <c r="G31" s="105"/>
      <c r="H31" s="106">
        <v>11</v>
      </c>
      <c r="I31" s="106">
        <v>8</v>
      </c>
      <c r="J31" s="107">
        <v>3</v>
      </c>
      <c r="K31" s="108"/>
      <c r="L31" s="108"/>
      <c r="M31" s="104">
        <f t="shared" ref="M31:Q31" si="33">IF(C31="","",H31*100/C31)</f>
        <v>55</v>
      </c>
      <c r="N31" s="104">
        <f t="shared" si="33"/>
        <v>40</v>
      </c>
      <c r="O31" s="104">
        <f t="shared" si="33"/>
        <v>30</v>
      </c>
      <c r="P31" s="104" t="str">
        <f t="shared" si="33"/>
        <v/>
      </c>
      <c r="Q31" s="104" t="str">
        <f t="shared" si="33"/>
        <v/>
      </c>
      <c r="R31" s="105" t="str">
        <f t="shared" ref="R31:T31" si="34">IF(M31&gt;=$E$10,"1","0")</f>
        <v>0</v>
      </c>
      <c r="S31" s="105" t="str">
        <f t="shared" si="34"/>
        <v>0</v>
      </c>
      <c r="T31" s="105" t="str">
        <f t="shared" si="34"/>
        <v>0</v>
      </c>
      <c r="U31" s="105"/>
      <c r="V31" s="105"/>
      <c r="W31" s="3">
        <f>Theory!D21</f>
        <v>22</v>
      </c>
    </row>
    <row r="32" spans="1:23" ht="16.5" customHeight="1">
      <c r="A32" s="103">
        <f>Theory!A22</f>
        <v>17</v>
      </c>
      <c r="B32" s="103" t="str">
        <f>Theory!B22</f>
        <v>7376231EE118</v>
      </c>
      <c r="C32" s="104">
        <v>20</v>
      </c>
      <c r="D32" s="104">
        <v>20</v>
      </c>
      <c r="E32" s="104">
        <v>10</v>
      </c>
      <c r="F32" s="105"/>
      <c r="G32" s="105"/>
      <c r="H32" s="106">
        <v>12</v>
      </c>
      <c r="I32" s="106">
        <v>13</v>
      </c>
      <c r="J32" s="107">
        <v>5</v>
      </c>
      <c r="K32" s="108"/>
      <c r="L32" s="108"/>
      <c r="M32" s="104">
        <f t="shared" ref="M32:Q32" si="35">IF(C32="","",H32*100/C32)</f>
        <v>60</v>
      </c>
      <c r="N32" s="104">
        <f t="shared" si="35"/>
        <v>65</v>
      </c>
      <c r="O32" s="104">
        <f t="shared" si="35"/>
        <v>50</v>
      </c>
      <c r="P32" s="104" t="str">
        <f t="shared" si="35"/>
        <v/>
      </c>
      <c r="Q32" s="104" t="str">
        <f t="shared" si="35"/>
        <v/>
      </c>
      <c r="R32" s="105" t="str">
        <f t="shared" ref="R32:T32" si="36">IF(M32&gt;=$E$10,"1","0")</f>
        <v>1</v>
      </c>
      <c r="S32" s="105" t="str">
        <f t="shared" si="36"/>
        <v>1</v>
      </c>
      <c r="T32" s="105" t="str">
        <f t="shared" si="36"/>
        <v>0</v>
      </c>
      <c r="U32" s="105"/>
      <c r="V32" s="105"/>
      <c r="W32" s="3">
        <f>Theory!D22</f>
        <v>30</v>
      </c>
    </row>
    <row r="33" spans="1:23" ht="16.5" customHeight="1">
      <c r="A33" s="103">
        <f>Theory!A23</f>
        <v>18</v>
      </c>
      <c r="B33" s="103" t="str">
        <f>Theory!B23</f>
        <v>7376231EE119</v>
      </c>
      <c r="C33" s="104">
        <v>20</v>
      </c>
      <c r="D33" s="104">
        <v>20</v>
      </c>
      <c r="E33" s="104">
        <v>10</v>
      </c>
      <c r="F33" s="105"/>
      <c r="G33" s="105"/>
      <c r="H33" s="106">
        <v>13</v>
      </c>
      <c r="I33" s="106">
        <v>12</v>
      </c>
      <c r="J33" s="107">
        <v>6</v>
      </c>
      <c r="K33" s="108"/>
      <c r="L33" s="108"/>
      <c r="M33" s="104">
        <f t="shared" ref="M33:Q33" si="37">IF(C33="","",H33*100/C33)</f>
        <v>65</v>
      </c>
      <c r="N33" s="104">
        <f t="shared" si="37"/>
        <v>60</v>
      </c>
      <c r="O33" s="104">
        <f t="shared" si="37"/>
        <v>60</v>
      </c>
      <c r="P33" s="104" t="str">
        <f t="shared" si="37"/>
        <v/>
      </c>
      <c r="Q33" s="104" t="str">
        <f t="shared" si="37"/>
        <v/>
      </c>
      <c r="R33" s="105" t="str">
        <f t="shared" ref="R33:T33" si="38">IF(M33&gt;=$E$10,"1","0")</f>
        <v>1</v>
      </c>
      <c r="S33" s="105" t="str">
        <f t="shared" si="38"/>
        <v>1</v>
      </c>
      <c r="T33" s="105" t="str">
        <f t="shared" si="38"/>
        <v>1</v>
      </c>
      <c r="U33" s="105"/>
      <c r="V33" s="105"/>
      <c r="W33" s="3">
        <f>Theory!D23</f>
        <v>31</v>
      </c>
    </row>
    <row r="34" spans="1:23" ht="16.5" customHeight="1">
      <c r="A34" s="103">
        <f>Theory!A24</f>
        <v>19</v>
      </c>
      <c r="B34" s="103" t="str">
        <f>Theory!B24</f>
        <v>7376231EE120</v>
      </c>
      <c r="C34" s="104">
        <v>20</v>
      </c>
      <c r="D34" s="104">
        <v>20</v>
      </c>
      <c r="E34" s="104">
        <v>10</v>
      </c>
      <c r="F34" s="105"/>
      <c r="G34" s="105"/>
      <c r="H34" s="106">
        <v>13</v>
      </c>
      <c r="I34" s="106">
        <v>13</v>
      </c>
      <c r="J34" s="107">
        <v>7</v>
      </c>
      <c r="K34" s="108"/>
      <c r="L34" s="108"/>
      <c r="M34" s="104">
        <f t="shared" ref="M34:Q34" si="39">IF(C34="","",H34*100/C34)</f>
        <v>65</v>
      </c>
      <c r="N34" s="104">
        <f t="shared" si="39"/>
        <v>65</v>
      </c>
      <c r="O34" s="104">
        <f t="shared" si="39"/>
        <v>70</v>
      </c>
      <c r="P34" s="104" t="str">
        <f t="shared" si="39"/>
        <v/>
      </c>
      <c r="Q34" s="104" t="str">
        <f t="shared" si="39"/>
        <v/>
      </c>
      <c r="R34" s="105" t="str">
        <f t="shared" ref="R34:T34" si="40">IF(M34&gt;=$E$10,"1","0")</f>
        <v>1</v>
      </c>
      <c r="S34" s="105" t="str">
        <f t="shared" si="40"/>
        <v>1</v>
      </c>
      <c r="T34" s="105" t="str">
        <f t="shared" si="40"/>
        <v>1</v>
      </c>
      <c r="U34" s="105"/>
      <c r="V34" s="105"/>
      <c r="W34" s="3">
        <f>Theory!D24</f>
        <v>33</v>
      </c>
    </row>
    <row r="35" spans="1:23" ht="16.5" customHeight="1">
      <c r="A35" s="103">
        <f>Theory!A25</f>
        <v>20</v>
      </c>
      <c r="B35" s="103" t="str">
        <f>Theory!B25</f>
        <v>7376231EE121</v>
      </c>
      <c r="C35" s="104">
        <v>20</v>
      </c>
      <c r="D35" s="104">
        <v>20</v>
      </c>
      <c r="E35" s="104">
        <v>10</v>
      </c>
      <c r="F35" s="105"/>
      <c r="G35" s="105"/>
      <c r="H35" s="106">
        <v>13</v>
      </c>
      <c r="I35" s="106">
        <v>13</v>
      </c>
      <c r="J35" s="107">
        <v>7</v>
      </c>
      <c r="K35" s="108"/>
      <c r="L35" s="108"/>
      <c r="M35" s="104">
        <f t="shared" ref="M35:Q35" si="41">IF(C35="","",H35*100/C35)</f>
        <v>65</v>
      </c>
      <c r="N35" s="104">
        <f t="shared" si="41"/>
        <v>65</v>
      </c>
      <c r="O35" s="104">
        <f t="shared" si="41"/>
        <v>70</v>
      </c>
      <c r="P35" s="104" t="str">
        <f t="shared" si="41"/>
        <v/>
      </c>
      <c r="Q35" s="104" t="str">
        <f t="shared" si="41"/>
        <v/>
      </c>
      <c r="R35" s="105" t="str">
        <f t="shared" ref="R35:T35" si="42">IF(M35&gt;=$E$10,"1","0")</f>
        <v>1</v>
      </c>
      <c r="S35" s="105" t="str">
        <f t="shared" si="42"/>
        <v>1</v>
      </c>
      <c r="T35" s="105" t="str">
        <f t="shared" si="42"/>
        <v>1</v>
      </c>
      <c r="U35" s="105"/>
      <c r="V35" s="105"/>
      <c r="W35" s="3">
        <f>Theory!D25</f>
        <v>33</v>
      </c>
    </row>
    <row r="36" spans="1:23" ht="16.5" customHeight="1">
      <c r="A36" s="103">
        <f>Theory!A26</f>
        <v>21</v>
      </c>
      <c r="B36" s="103" t="str">
        <f>Theory!B26</f>
        <v>7376231EE122</v>
      </c>
      <c r="C36" s="104">
        <v>20</v>
      </c>
      <c r="D36" s="104">
        <v>20</v>
      </c>
      <c r="E36" s="104">
        <v>10</v>
      </c>
      <c r="F36" s="105"/>
      <c r="G36" s="105"/>
      <c r="H36" s="106">
        <v>14</v>
      </c>
      <c r="I36" s="106">
        <v>14</v>
      </c>
      <c r="J36" s="107">
        <v>7</v>
      </c>
      <c r="K36" s="108"/>
      <c r="L36" s="108"/>
      <c r="M36" s="104">
        <f t="shared" ref="M36:Q36" si="43">IF(C36="","",H36*100/C36)</f>
        <v>70</v>
      </c>
      <c r="N36" s="104">
        <f t="shared" si="43"/>
        <v>70</v>
      </c>
      <c r="O36" s="104">
        <f t="shared" si="43"/>
        <v>70</v>
      </c>
      <c r="P36" s="104" t="str">
        <f t="shared" si="43"/>
        <v/>
      </c>
      <c r="Q36" s="104" t="str">
        <f t="shared" si="43"/>
        <v/>
      </c>
      <c r="R36" s="105" t="str">
        <f t="shared" ref="R36:T36" si="44">IF(M36&gt;=$E$10,"1","0")</f>
        <v>1</v>
      </c>
      <c r="S36" s="105" t="str">
        <f t="shared" si="44"/>
        <v>1</v>
      </c>
      <c r="T36" s="105" t="str">
        <f t="shared" si="44"/>
        <v>1</v>
      </c>
      <c r="U36" s="105"/>
      <c r="V36" s="105"/>
      <c r="W36" s="3">
        <f>Theory!D26</f>
        <v>35</v>
      </c>
    </row>
    <row r="37" spans="1:23" ht="16.5" customHeight="1">
      <c r="A37" s="103">
        <f>Theory!A27</f>
        <v>22</v>
      </c>
      <c r="B37" s="103" t="str">
        <f>Theory!B27</f>
        <v>7376231EE123</v>
      </c>
      <c r="C37" s="104">
        <v>20</v>
      </c>
      <c r="D37" s="104">
        <v>20</v>
      </c>
      <c r="E37" s="104">
        <v>10</v>
      </c>
      <c r="F37" s="105"/>
      <c r="G37" s="105"/>
      <c r="H37" s="106">
        <v>13</v>
      </c>
      <c r="I37" s="106">
        <v>13</v>
      </c>
      <c r="J37" s="107">
        <v>7</v>
      </c>
      <c r="K37" s="108"/>
      <c r="L37" s="108"/>
      <c r="M37" s="104">
        <f t="shared" ref="M37:Q37" si="45">IF(C37="","",H37*100/C37)</f>
        <v>65</v>
      </c>
      <c r="N37" s="104">
        <f t="shared" si="45"/>
        <v>65</v>
      </c>
      <c r="O37" s="104">
        <f t="shared" si="45"/>
        <v>70</v>
      </c>
      <c r="P37" s="104" t="str">
        <f t="shared" si="45"/>
        <v/>
      </c>
      <c r="Q37" s="104" t="str">
        <f t="shared" si="45"/>
        <v/>
      </c>
      <c r="R37" s="105" t="str">
        <f t="shared" ref="R37:T37" si="46">IF(M37&gt;=$E$10,"1","0")</f>
        <v>1</v>
      </c>
      <c r="S37" s="105" t="str">
        <f t="shared" si="46"/>
        <v>1</v>
      </c>
      <c r="T37" s="105" t="str">
        <f t="shared" si="46"/>
        <v>1</v>
      </c>
      <c r="U37" s="105"/>
      <c r="V37" s="105"/>
      <c r="W37" s="3">
        <f>Theory!D27</f>
        <v>33</v>
      </c>
    </row>
    <row r="38" spans="1:23" ht="16.5" customHeight="1">
      <c r="A38" s="103">
        <f>Theory!A28</f>
        <v>23</v>
      </c>
      <c r="B38" s="103" t="str">
        <f>Theory!B28</f>
        <v>7376231EE124</v>
      </c>
      <c r="C38" s="104">
        <v>20</v>
      </c>
      <c r="D38" s="104">
        <v>20</v>
      </c>
      <c r="E38" s="104">
        <v>10</v>
      </c>
      <c r="F38" s="105"/>
      <c r="G38" s="105"/>
      <c r="H38" s="106">
        <v>13</v>
      </c>
      <c r="I38" s="106">
        <v>12</v>
      </c>
      <c r="J38" s="107">
        <v>6</v>
      </c>
      <c r="K38" s="108"/>
      <c r="L38" s="108"/>
      <c r="M38" s="104">
        <f t="shared" ref="M38:Q38" si="47">IF(C38="","",H38*100/C38)</f>
        <v>65</v>
      </c>
      <c r="N38" s="104">
        <f t="shared" si="47"/>
        <v>60</v>
      </c>
      <c r="O38" s="104">
        <f t="shared" si="47"/>
        <v>60</v>
      </c>
      <c r="P38" s="104" t="str">
        <f t="shared" si="47"/>
        <v/>
      </c>
      <c r="Q38" s="104" t="str">
        <f t="shared" si="47"/>
        <v/>
      </c>
      <c r="R38" s="105" t="str">
        <f t="shared" ref="R38:T38" si="48">IF(M38&gt;=$E$10,"1","0")</f>
        <v>1</v>
      </c>
      <c r="S38" s="105" t="str">
        <f t="shared" si="48"/>
        <v>1</v>
      </c>
      <c r="T38" s="105" t="str">
        <f t="shared" si="48"/>
        <v>1</v>
      </c>
      <c r="U38" s="105"/>
      <c r="V38" s="105"/>
      <c r="W38" s="3">
        <f>Theory!D28</f>
        <v>31</v>
      </c>
    </row>
    <row r="39" spans="1:23" ht="16.5" customHeight="1">
      <c r="A39" s="103">
        <f>Theory!A29</f>
        <v>24</v>
      </c>
      <c r="B39" s="103" t="str">
        <f>Theory!B29</f>
        <v>7376231EE125</v>
      </c>
      <c r="C39" s="104">
        <v>20</v>
      </c>
      <c r="D39" s="104">
        <v>20</v>
      </c>
      <c r="E39" s="104">
        <v>10</v>
      </c>
      <c r="F39" s="105"/>
      <c r="G39" s="105"/>
      <c r="H39" s="106">
        <v>13</v>
      </c>
      <c r="I39" s="106">
        <v>13</v>
      </c>
      <c r="J39" s="107">
        <v>6</v>
      </c>
      <c r="K39" s="108"/>
      <c r="L39" s="108"/>
      <c r="M39" s="104">
        <f t="shared" ref="M39:Q39" si="49">IF(C39="","",H39*100/C39)</f>
        <v>65</v>
      </c>
      <c r="N39" s="104">
        <f t="shared" si="49"/>
        <v>65</v>
      </c>
      <c r="O39" s="104">
        <f t="shared" si="49"/>
        <v>60</v>
      </c>
      <c r="P39" s="104" t="str">
        <f t="shared" si="49"/>
        <v/>
      </c>
      <c r="Q39" s="104" t="str">
        <f t="shared" si="49"/>
        <v/>
      </c>
      <c r="R39" s="105" t="str">
        <f t="shared" ref="R39:T39" si="50">IF(M39&gt;=$E$10,"1","0")</f>
        <v>1</v>
      </c>
      <c r="S39" s="105" t="str">
        <f t="shared" si="50"/>
        <v>1</v>
      </c>
      <c r="T39" s="105" t="str">
        <f t="shared" si="50"/>
        <v>1</v>
      </c>
      <c r="U39" s="105"/>
      <c r="V39" s="105"/>
      <c r="W39" s="3">
        <f>Theory!D29</f>
        <v>32</v>
      </c>
    </row>
    <row r="40" spans="1:23" ht="15.75" customHeight="1">
      <c r="A40" s="103">
        <f>Theory!A30</f>
        <v>25</v>
      </c>
      <c r="B40" s="103" t="str">
        <f>Theory!B30</f>
        <v>7376231EE126</v>
      </c>
      <c r="C40" s="104">
        <v>20</v>
      </c>
      <c r="D40" s="104">
        <v>20</v>
      </c>
      <c r="E40" s="104">
        <v>10</v>
      </c>
      <c r="F40" s="105"/>
      <c r="G40" s="105"/>
      <c r="H40" s="106">
        <v>14</v>
      </c>
      <c r="I40" s="106">
        <v>14</v>
      </c>
      <c r="J40" s="107">
        <v>6</v>
      </c>
      <c r="K40" s="108"/>
      <c r="L40" s="108"/>
      <c r="M40" s="104">
        <f t="shared" ref="M40:Q40" si="51">IF(C40="","",H40*100/C40)</f>
        <v>70</v>
      </c>
      <c r="N40" s="104">
        <f t="shared" si="51"/>
        <v>70</v>
      </c>
      <c r="O40" s="104">
        <f t="shared" si="51"/>
        <v>60</v>
      </c>
      <c r="P40" s="104" t="str">
        <f t="shared" si="51"/>
        <v/>
      </c>
      <c r="Q40" s="104" t="str">
        <f t="shared" si="51"/>
        <v/>
      </c>
      <c r="R40" s="105" t="str">
        <f t="shared" ref="R40:T40" si="52">IF(M40&gt;=$E$10,"1","0")</f>
        <v>1</v>
      </c>
      <c r="S40" s="105" t="str">
        <f t="shared" si="52"/>
        <v>1</v>
      </c>
      <c r="T40" s="105" t="str">
        <f t="shared" si="52"/>
        <v>1</v>
      </c>
      <c r="U40" s="105"/>
      <c r="V40" s="105"/>
      <c r="W40" s="3">
        <f>Theory!D30</f>
        <v>34</v>
      </c>
    </row>
    <row r="41" spans="1:23" ht="15.75" customHeight="1">
      <c r="A41" s="103">
        <f>Theory!A31</f>
        <v>26</v>
      </c>
      <c r="B41" s="103" t="str">
        <f>Theory!B31</f>
        <v>7376231EE127</v>
      </c>
      <c r="C41" s="104">
        <v>20</v>
      </c>
      <c r="D41" s="104">
        <v>20</v>
      </c>
      <c r="E41" s="104">
        <v>10</v>
      </c>
      <c r="F41" s="105"/>
      <c r="G41" s="105"/>
      <c r="H41" s="106">
        <v>12</v>
      </c>
      <c r="I41" s="106">
        <v>11</v>
      </c>
      <c r="J41" s="107">
        <v>6</v>
      </c>
      <c r="K41" s="108"/>
      <c r="L41" s="108"/>
      <c r="M41" s="104">
        <f t="shared" ref="M41:Q41" si="53">IF(C41="","",H41*100/C41)</f>
        <v>60</v>
      </c>
      <c r="N41" s="104">
        <f t="shared" si="53"/>
        <v>55</v>
      </c>
      <c r="O41" s="104">
        <f t="shared" si="53"/>
        <v>60</v>
      </c>
      <c r="P41" s="104" t="str">
        <f t="shared" si="53"/>
        <v/>
      </c>
      <c r="Q41" s="104" t="str">
        <f t="shared" si="53"/>
        <v/>
      </c>
      <c r="R41" s="105" t="str">
        <f t="shared" ref="R41:T41" si="54">IF(M41&gt;=$E$10,"1","0")</f>
        <v>1</v>
      </c>
      <c r="S41" s="105" t="str">
        <f t="shared" si="54"/>
        <v>0</v>
      </c>
      <c r="T41" s="105" t="str">
        <f t="shared" si="54"/>
        <v>1</v>
      </c>
      <c r="U41" s="105"/>
      <c r="V41" s="105"/>
      <c r="W41" s="3">
        <f>Theory!D31</f>
        <v>29</v>
      </c>
    </row>
    <row r="42" spans="1:23" ht="15.75" customHeight="1">
      <c r="A42" s="103">
        <f>Theory!A32</f>
        <v>27</v>
      </c>
      <c r="B42" s="103" t="str">
        <f>Theory!B32</f>
        <v>7376231EE128</v>
      </c>
      <c r="C42" s="104">
        <v>20</v>
      </c>
      <c r="D42" s="104">
        <v>20</v>
      </c>
      <c r="E42" s="104">
        <v>10</v>
      </c>
      <c r="F42" s="105"/>
      <c r="G42" s="105"/>
      <c r="H42" s="106">
        <v>9</v>
      </c>
      <c r="I42" s="106">
        <v>7</v>
      </c>
      <c r="J42" s="107">
        <v>4</v>
      </c>
      <c r="K42" s="108"/>
      <c r="L42" s="108"/>
      <c r="M42" s="104">
        <f t="shared" ref="M42:Q42" si="55">IF(C42="","",H42*100/C42)</f>
        <v>45</v>
      </c>
      <c r="N42" s="104">
        <f t="shared" si="55"/>
        <v>35</v>
      </c>
      <c r="O42" s="104">
        <f t="shared" si="55"/>
        <v>40</v>
      </c>
      <c r="P42" s="104" t="str">
        <f t="shared" si="55"/>
        <v/>
      </c>
      <c r="Q42" s="104" t="str">
        <f t="shared" si="55"/>
        <v/>
      </c>
      <c r="R42" s="105" t="str">
        <f t="shared" ref="R42:T42" si="56">IF(M42&gt;=$E$10,"1","0")</f>
        <v>0</v>
      </c>
      <c r="S42" s="105" t="str">
        <f t="shared" si="56"/>
        <v>0</v>
      </c>
      <c r="T42" s="105" t="str">
        <f t="shared" si="56"/>
        <v>0</v>
      </c>
      <c r="U42" s="105"/>
      <c r="V42" s="105"/>
      <c r="W42" s="3">
        <f>Theory!D32</f>
        <v>20</v>
      </c>
    </row>
    <row r="43" spans="1:23" ht="15.75" customHeight="1">
      <c r="A43" s="103">
        <f>Theory!A33</f>
        <v>28</v>
      </c>
      <c r="B43" s="103" t="str">
        <f>Theory!B33</f>
        <v>7376231EE129</v>
      </c>
      <c r="C43" s="104">
        <v>20</v>
      </c>
      <c r="D43" s="104">
        <v>20</v>
      </c>
      <c r="E43" s="104">
        <v>10</v>
      </c>
      <c r="F43" s="105"/>
      <c r="G43" s="105"/>
      <c r="H43" s="106">
        <v>12</v>
      </c>
      <c r="I43" s="106">
        <v>11</v>
      </c>
      <c r="J43" s="107">
        <v>6</v>
      </c>
      <c r="K43" s="108"/>
      <c r="L43" s="108"/>
      <c r="M43" s="104">
        <f t="shared" ref="M43:Q43" si="57">IF(C43="","",H43*100/C43)</f>
        <v>60</v>
      </c>
      <c r="N43" s="104">
        <f t="shared" si="57"/>
        <v>55</v>
      </c>
      <c r="O43" s="104">
        <f t="shared" si="57"/>
        <v>60</v>
      </c>
      <c r="P43" s="104" t="str">
        <f t="shared" si="57"/>
        <v/>
      </c>
      <c r="Q43" s="104" t="str">
        <f t="shared" si="57"/>
        <v/>
      </c>
      <c r="R43" s="105" t="str">
        <f t="shared" ref="R43:T43" si="58">IF(M43&gt;=$E$10,"1","0")</f>
        <v>1</v>
      </c>
      <c r="S43" s="105" t="str">
        <f t="shared" si="58"/>
        <v>0</v>
      </c>
      <c r="T43" s="105" t="str">
        <f t="shared" si="58"/>
        <v>1</v>
      </c>
      <c r="U43" s="105"/>
      <c r="V43" s="105"/>
      <c r="W43" s="3">
        <f>Theory!D33</f>
        <v>29</v>
      </c>
    </row>
    <row r="44" spans="1:23" ht="15.75" customHeight="1">
      <c r="A44" s="103">
        <f>Theory!A34</f>
        <v>29</v>
      </c>
      <c r="B44" s="103" t="str">
        <f>Theory!B34</f>
        <v>7376231EE130</v>
      </c>
      <c r="C44" s="104">
        <v>20</v>
      </c>
      <c r="D44" s="104">
        <v>20</v>
      </c>
      <c r="E44" s="104">
        <v>10</v>
      </c>
      <c r="F44" s="105"/>
      <c r="G44" s="105"/>
      <c r="H44" s="106">
        <v>13</v>
      </c>
      <c r="I44" s="106">
        <v>12</v>
      </c>
      <c r="J44" s="107">
        <v>6</v>
      </c>
      <c r="K44" s="108"/>
      <c r="L44" s="108"/>
      <c r="M44" s="104">
        <f t="shared" ref="M44:Q44" si="59">IF(C44="","",H44*100/C44)</f>
        <v>65</v>
      </c>
      <c r="N44" s="104">
        <f t="shared" si="59"/>
        <v>60</v>
      </c>
      <c r="O44" s="104">
        <f t="shared" si="59"/>
        <v>60</v>
      </c>
      <c r="P44" s="104" t="str">
        <f t="shared" si="59"/>
        <v/>
      </c>
      <c r="Q44" s="104" t="str">
        <f t="shared" si="59"/>
        <v/>
      </c>
      <c r="R44" s="105" t="str">
        <f t="shared" ref="R44:T44" si="60">IF(M44&gt;=$E$10,"1","0")</f>
        <v>1</v>
      </c>
      <c r="S44" s="105" t="str">
        <f t="shared" si="60"/>
        <v>1</v>
      </c>
      <c r="T44" s="105" t="str">
        <f t="shared" si="60"/>
        <v>1</v>
      </c>
      <c r="U44" s="105"/>
      <c r="V44" s="105"/>
      <c r="W44" s="3">
        <f>Theory!D34</f>
        <v>31</v>
      </c>
    </row>
    <row r="45" spans="1:23" ht="15.75" customHeight="1">
      <c r="A45" s="103">
        <f>Theory!A35</f>
        <v>30</v>
      </c>
      <c r="B45" s="103" t="str">
        <f>Theory!B35</f>
        <v>7376231EE131</v>
      </c>
      <c r="C45" s="104">
        <v>20</v>
      </c>
      <c r="D45" s="104">
        <v>20</v>
      </c>
      <c r="E45" s="104">
        <v>10</v>
      </c>
      <c r="F45" s="105"/>
      <c r="G45" s="105"/>
      <c r="H45" s="106">
        <v>8</v>
      </c>
      <c r="I45" s="106">
        <v>7</v>
      </c>
      <c r="J45" s="107">
        <v>4</v>
      </c>
      <c r="K45" s="108"/>
      <c r="L45" s="108"/>
      <c r="M45" s="104">
        <f t="shared" ref="M45:Q45" si="61">IF(C45="","",H45*100/C45)</f>
        <v>40</v>
      </c>
      <c r="N45" s="104">
        <f t="shared" si="61"/>
        <v>35</v>
      </c>
      <c r="O45" s="104">
        <f t="shared" si="61"/>
        <v>40</v>
      </c>
      <c r="P45" s="104" t="str">
        <f t="shared" si="61"/>
        <v/>
      </c>
      <c r="Q45" s="104" t="str">
        <f t="shared" si="61"/>
        <v/>
      </c>
      <c r="R45" s="105" t="str">
        <f t="shared" ref="R45:T45" si="62">IF(M45&gt;=$E$10,"1","0")</f>
        <v>0</v>
      </c>
      <c r="S45" s="105" t="str">
        <f t="shared" si="62"/>
        <v>0</v>
      </c>
      <c r="T45" s="105" t="str">
        <f t="shared" si="62"/>
        <v>0</v>
      </c>
      <c r="U45" s="105"/>
      <c r="V45" s="105"/>
      <c r="W45" s="3">
        <f>Theory!D35</f>
        <v>19</v>
      </c>
    </row>
    <row r="46" spans="1:23" ht="15.75" customHeight="1">
      <c r="A46" s="103">
        <f>Theory!A36</f>
        <v>31</v>
      </c>
      <c r="B46" s="103" t="str">
        <f>Theory!B36</f>
        <v>7376231EE132</v>
      </c>
      <c r="C46" s="104">
        <v>20</v>
      </c>
      <c r="D46" s="104">
        <v>20</v>
      </c>
      <c r="E46" s="104">
        <v>10</v>
      </c>
      <c r="F46" s="105"/>
      <c r="G46" s="105"/>
      <c r="H46" s="106">
        <v>14</v>
      </c>
      <c r="I46" s="106">
        <v>14</v>
      </c>
      <c r="J46" s="107">
        <v>6</v>
      </c>
      <c r="K46" s="108"/>
      <c r="L46" s="108"/>
      <c r="M46" s="104">
        <f t="shared" ref="M46:Q46" si="63">IF(C46="","",H46*100/C46)</f>
        <v>70</v>
      </c>
      <c r="N46" s="104">
        <f t="shared" si="63"/>
        <v>70</v>
      </c>
      <c r="O46" s="104">
        <f t="shared" si="63"/>
        <v>60</v>
      </c>
      <c r="P46" s="104" t="str">
        <f t="shared" si="63"/>
        <v/>
      </c>
      <c r="Q46" s="104" t="str">
        <f t="shared" si="63"/>
        <v/>
      </c>
      <c r="R46" s="105" t="str">
        <f t="shared" ref="R46:T46" si="64">IF(M46&gt;=$E$10,"1","0")</f>
        <v>1</v>
      </c>
      <c r="S46" s="105" t="str">
        <f t="shared" si="64"/>
        <v>1</v>
      </c>
      <c r="T46" s="105" t="str">
        <f t="shared" si="64"/>
        <v>1</v>
      </c>
      <c r="U46" s="105"/>
      <c r="V46" s="105"/>
      <c r="W46" s="3">
        <f>Theory!D36</f>
        <v>34</v>
      </c>
    </row>
    <row r="47" spans="1:23" ht="15.75" customHeight="1">
      <c r="A47" s="103">
        <f>Theory!A37</f>
        <v>32</v>
      </c>
      <c r="B47" s="103" t="str">
        <f>Theory!B37</f>
        <v>7376231EE133</v>
      </c>
      <c r="C47" s="104">
        <v>20</v>
      </c>
      <c r="D47" s="104">
        <v>20</v>
      </c>
      <c r="E47" s="104">
        <v>10</v>
      </c>
      <c r="F47" s="105"/>
      <c r="G47" s="105"/>
      <c r="H47" s="106">
        <v>11</v>
      </c>
      <c r="I47" s="106">
        <v>11</v>
      </c>
      <c r="J47" s="107">
        <v>6</v>
      </c>
      <c r="K47" s="108"/>
      <c r="L47" s="108"/>
      <c r="M47" s="104">
        <f t="shared" ref="M47:Q47" si="65">IF(C47="","",H47*100/C47)</f>
        <v>55</v>
      </c>
      <c r="N47" s="104">
        <f t="shared" si="65"/>
        <v>55</v>
      </c>
      <c r="O47" s="104">
        <f t="shared" si="65"/>
        <v>60</v>
      </c>
      <c r="P47" s="104" t="str">
        <f t="shared" si="65"/>
        <v/>
      </c>
      <c r="Q47" s="104" t="str">
        <f t="shared" si="65"/>
        <v/>
      </c>
      <c r="R47" s="105" t="str">
        <f t="shared" ref="R47:T47" si="66">IF(M47&gt;=$E$10,"1","0")</f>
        <v>0</v>
      </c>
      <c r="S47" s="105" t="str">
        <f t="shared" si="66"/>
        <v>0</v>
      </c>
      <c r="T47" s="105" t="str">
        <f t="shared" si="66"/>
        <v>1</v>
      </c>
      <c r="U47" s="105"/>
      <c r="V47" s="105"/>
      <c r="W47" s="3">
        <f>Theory!D37</f>
        <v>28</v>
      </c>
    </row>
    <row r="48" spans="1:23" ht="15.75" customHeight="1">
      <c r="A48" s="103">
        <f>Theory!A38</f>
        <v>33</v>
      </c>
      <c r="B48" s="103" t="str">
        <f>Theory!B38</f>
        <v>7376231EE134</v>
      </c>
      <c r="C48" s="104">
        <v>20</v>
      </c>
      <c r="D48" s="104">
        <v>20</v>
      </c>
      <c r="E48" s="104">
        <v>10</v>
      </c>
      <c r="F48" s="105"/>
      <c r="G48" s="105"/>
      <c r="H48" s="106">
        <v>12</v>
      </c>
      <c r="I48" s="106">
        <v>13</v>
      </c>
      <c r="J48" s="107">
        <v>5</v>
      </c>
      <c r="K48" s="108"/>
      <c r="L48" s="108"/>
      <c r="M48" s="104">
        <f t="shared" ref="M48:Q48" si="67">IF(C48="","",H48*100/C48)</f>
        <v>60</v>
      </c>
      <c r="N48" s="104">
        <f t="shared" si="67"/>
        <v>65</v>
      </c>
      <c r="O48" s="104">
        <f t="shared" si="67"/>
        <v>50</v>
      </c>
      <c r="P48" s="104" t="str">
        <f t="shared" si="67"/>
        <v/>
      </c>
      <c r="Q48" s="104" t="str">
        <f t="shared" si="67"/>
        <v/>
      </c>
      <c r="R48" s="105" t="str">
        <f t="shared" ref="R48:T48" si="68">IF(M48&gt;=$E$10,"1","0")</f>
        <v>1</v>
      </c>
      <c r="S48" s="105" t="str">
        <f t="shared" si="68"/>
        <v>1</v>
      </c>
      <c r="T48" s="105" t="str">
        <f t="shared" si="68"/>
        <v>0</v>
      </c>
      <c r="U48" s="105"/>
      <c r="V48" s="105"/>
      <c r="W48" s="3">
        <f>Theory!D38</f>
        <v>30</v>
      </c>
    </row>
    <row r="49" spans="1:23" ht="15.75" customHeight="1">
      <c r="A49" s="103">
        <f>Theory!A39</f>
        <v>34</v>
      </c>
      <c r="B49" s="103" t="str">
        <f>Theory!B39</f>
        <v>7376231EE135</v>
      </c>
      <c r="C49" s="104">
        <v>20</v>
      </c>
      <c r="D49" s="104">
        <v>20</v>
      </c>
      <c r="E49" s="104">
        <v>10</v>
      </c>
      <c r="F49" s="105"/>
      <c r="G49" s="105"/>
      <c r="H49" s="106">
        <v>13</v>
      </c>
      <c r="I49" s="106">
        <v>13</v>
      </c>
      <c r="J49" s="107">
        <v>6</v>
      </c>
      <c r="K49" s="108"/>
      <c r="L49" s="108"/>
      <c r="M49" s="104">
        <f t="shared" ref="M49:Q49" si="69">IF(C49="","",H49*100/C49)</f>
        <v>65</v>
      </c>
      <c r="N49" s="104">
        <f t="shared" si="69"/>
        <v>65</v>
      </c>
      <c r="O49" s="104">
        <f t="shared" si="69"/>
        <v>60</v>
      </c>
      <c r="P49" s="104" t="str">
        <f t="shared" si="69"/>
        <v/>
      </c>
      <c r="Q49" s="104" t="str">
        <f t="shared" si="69"/>
        <v/>
      </c>
      <c r="R49" s="105" t="str">
        <f t="shared" ref="R49:T49" si="70">IF(M49&gt;=$E$10,"1","0")</f>
        <v>1</v>
      </c>
      <c r="S49" s="105" t="str">
        <f t="shared" si="70"/>
        <v>1</v>
      </c>
      <c r="T49" s="105" t="str">
        <f t="shared" si="70"/>
        <v>1</v>
      </c>
      <c r="U49" s="105"/>
      <c r="V49" s="105"/>
      <c r="W49" s="3">
        <f>Theory!D39</f>
        <v>32</v>
      </c>
    </row>
    <row r="50" spans="1:23" ht="15.75" customHeight="1">
      <c r="A50" s="103">
        <f>Theory!A40</f>
        <v>35</v>
      </c>
      <c r="B50" s="103" t="str">
        <f>Theory!B40</f>
        <v>7376231EE136</v>
      </c>
      <c r="C50" s="104">
        <v>20</v>
      </c>
      <c r="D50" s="104">
        <v>20</v>
      </c>
      <c r="E50" s="104">
        <v>10</v>
      </c>
      <c r="F50" s="105"/>
      <c r="G50" s="105"/>
      <c r="H50" s="106">
        <v>13</v>
      </c>
      <c r="I50" s="106">
        <v>13</v>
      </c>
      <c r="J50" s="107">
        <v>7</v>
      </c>
      <c r="K50" s="108"/>
      <c r="L50" s="108"/>
      <c r="M50" s="104">
        <f t="shared" ref="M50:Q50" si="71">IF(C50="","",H50*100/C50)</f>
        <v>65</v>
      </c>
      <c r="N50" s="104">
        <f t="shared" si="71"/>
        <v>65</v>
      </c>
      <c r="O50" s="104">
        <f t="shared" si="71"/>
        <v>70</v>
      </c>
      <c r="P50" s="104" t="str">
        <f t="shared" si="71"/>
        <v/>
      </c>
      <c r="Q50" s="104" t="str">
        <f t="shared" si="71"/>
        <v/>
      </c>
      <c r="R50" s="105" t="str">
        <f t="shared" ref="R50:T50" si="72">IF(M50&gt;=$E$10,"1","0")</f>
        <v>1</v>
      </c>
      <c r="S50" s="105" t="str">
        <f t="shared" si="72"/>
        <v>1</v>
      </c>
      <c r="T50" s="105" t="str">
        <f t="shared" si="72"/>
        <v>1</v>
      </c>
      <c r="U50" s="105"/>
      <c r="V50" s="105"/>
      <c r="W50" s="3">
        <f>Theory!D40</f>
        <v>33</v>
      </c>
    </row>
    <row r="51" spans="1:23" ht="15.75" customHeight="1">
      <c r="A51" s="103">
        <f>Theory!A41</f>
        <v>36</v>
      </c>
      <c r="B51" s="103" t="str">
        <f>Theory!B41</f>
        <v>7376231EE137</v>
      </c>
      <c r="C51" s="104">
        <v>20</v>
      </c>
      <c r="D51" s="104">
        <v>20</v>
      </c>
      <c r="E51" s="104">
        <v>10</v>
      </c>
      <c r="F51" s="105"/>
      <c r="G51" s="105"/>
      <c r="H51" s="106">
        <v>14</v>
      </c>
      <c r="I51" s="106">
        <v>14</v>
      </c>
      <c r="J51" s="107">
        <v>6</v>
      </c>
      <c r="K51" s="108"/>
      <c r="L51" s="108"/>
      <c r="M51" s="104">
        <f t="shared" ref="M51:Q51" si="73">IF(C51="","",H51*100/C51)</f>
        <v>70</v>
      </c>
      <c r="N51" s="104">
        <f t="shared" si="73"/>
        <v>70</v>
      </c>
      <c r="O51" s="104">
        <f t="shared" si="73"/>
        <v>60</v>
      </c>
      <c r="P51" s="104" t="str">
        <f t="shared" si="73"/>
        <v/>
      </c>
      <c r="Q51" s="104" t="str">
        <f t="shared" si="73"/>
        <v/>
      </c>
      <c r="R51" s="105" t="str">
        <f t="shared" ref="R51:T51" si="74">IF(M51&gt;=$E$10,"1","0")</f>
        <v>1</v>
      </c>
      <c r="S51" s="105" t="str">
        <f t="shared" si="74"/>
        <v>1</v>
      </c>
      <c r="T51" s="105" t="str">
        <f t="shared" si="74"/>
        <v>1</v>
      </c>
      <c r="U51" s="105"/>
      <c r="V51" s="105"/>
      <c r="W51" s="3">
        <f>Theory!D41</f>
        <v>34</v>
      </c>
    </row>
    <row r="52" spans="1:23" ht="15.75" customHeight="1">
      <c r="A52" s="103">
        <f>Theory!A42</f>
        <v>37</v>
      </c>
      <c r="B52" s="103" t="str">
        <f>Theory!B42</f>
        <v>7376231EE138</v>
      </c>
      <c r="C52" s="104">
        <v>20</v>
      </c>
      <c r="D52" s="104">
        <v>20</v>
      </c>
      <c r="E52" s="104">
        <v>10</v>
      </c>
      <c r="F52" s="105"/>
      <c r="G52" s="105"/>
      <c r="H52" s="106">
        <v>13</v>
      </c>
      <c r="I52" s="106">
        <v>12</v>
      </c>
      <c r="J52" s="107">
        <v>6</v>
      </c>
      <c r="K52" s="108"/>
      <c r="L52" s="108"/>
      <c r="M52" s="104">
        <f t="shared" ref="M52:Q52" si="75">IF(C52="","",H52*100/C52)</f>
        <v>65</v>
      </c>
      <c r="N52" s="104">
        <f t="shared" si="75"/>
        <v>60</v>
      </c>
      <c r="O52" s="104">
        <f t="shared" si="75"/>
        <v>60</v>
      </c>
      <c r="P52" s="104" t="str">
        <f t="shared" si="75"/>
        <v/>
      </c>
      <c r="Q52" s="104" t="str">
        <f t="shared" si="75"/>
        <v/>
      </c>
      <c r="R52" s="105" t="str">
        <f t="shared" ref="R52:T52" si="76">IF(M52&gt;=$E$10,"1","0")</f>
        <v>1</v>
      </c>
      <c r="S52" s="105" t="str">
        <f t="shared" si="76"/>
        <v>1</v>
      </c>
      <c r="T52" s="105" t="str">
        <f t="shared" si="76"/>
        <v>1</v>
      </c>
      <c r="U52" s="105"/>
      <c r="V52" s="105"/>
      <c r="W52" s="3">
        <f>Theory!D42</f>
        <v>31</v>
      </c>
    </row>
    <row r="53" spans="1:23" ht="15.75" customHeight="1">
      <c r="A53" s="103">
        <f>Theory!A43</f>
        <v>38</v>
      </c>
      <c r="B53" s="103" t="str">
        <f>Theory!B43</f>
        <v>7376231EE139</v>
      </c>
      <c r="C53" s="104">
        <v>20</v>
      </c>
      <c r="D53" s="104">
        <v>20</v>
      </c>
      <c r="E53" s="104">
        <v>10</v>
      </c>
      <c r="F53" s="105"/>
      <c r="G53" s="105"/>
      <c r="H53" s="106">
        <v>14</v>
      </c>
      <c r="I53" s="106">
        <v>14</v>
      </c>
      <c r="J53" s="107">
        <v>6</v>
      </c>
      <c r="K53" s="108"/>
      <c r="L53" s="108"/>
      <c r="M53" s="104">
        <f t="shared" ref="M53:Q53" si="77">IF(C53="","",H53*100/C53)</f>
        <v>70</v>
      </c>
      <c r="N53" s="104">
        <f t="shared" si="77"/>
        <v>70</v>
      </c>
      <c r="O53" s="104">
        <f t="shared" si="77"/>
        <v>60</v>
      </c>
      <c r="P53" s="104" t="str">
        <f t="shared" si="77"/>
        <v/>
      </c>
      <c r="Q53" s="104" t="str">
        <f t="shared" si="77"/>
        <v/>
      </c>
      <c r="R53" s="105" t="str">
        <f t="shared" ref="R53:T53" si="78">IF(M53&gt;=$E$10,"1","0")</f>
        <v>1</v>
      </c>
      <c r="S53" s="105" t="str">
        <f t="shared" si="78"/>
        <v>1</v>
      </c>
      <c r="T53" s="105" t="str">
        <f t="shared" si="78"/>
        <v>1</v>
      </c>
      <c r="U53" s="105"/>
      <c r="V53" s="105"/>
      <c r="W53" s="3">
        <f>Theory!D43</f>
        <v>34</v>
      </c>
    </row>
    <row r="54" spans="1:23" ht="15.75" customHeight="1">
      <c r="A54" s="103">
        <f>Theory!A44</f>
        <v>39</v>
      </c>
      <c r="B54" s="103" t="str">
        <f>Theory!B44</f>
        <v>7376231EE140</v>
      </c>
      <c r="C54" s="104">
        <v>20</v>
      </c>
      <c r="D54" s="104">
        <v>20</v>
      </c>
      <c r="E54" s="104">
        <v>10</v>
      </c>
      <c r="F54" s="105"/>
      <c r="G54" s="105"/>
      <c r="H54" s="106">
        <v>14</v>
      </c>
      <c r="I54" s="106">
        <v>14</v>
      </c>
      <c r="J54" s="107">
        <v>6</v>
      </c>
      <c r="K54" s="108"/>
      <c r="L54" s="108"/>
      <c r="M54" s="104">
        <f t="shared" ref="M54:Q54" si="79">IF(C54="","",H54*100/C54)</f>
        <v>70</v>
      </c>
      <c r="N54" s="104">
        <f t="shared" si="79"/>
        <v>70</v>
      </c>
      <c r="O54" s="104">
        <f t="shared" si="79"/>
        <v>60</v>
      </c>
      <c r="P54" s="104" t="str">
        <f t="shared" si="79"/>
        <v/>
      </c>
      <c r="Q54" s="104" t="str">
        <f t="shared" si="79"/>
        <v/>
      </c>
      <c r="R54" s="105" t="str">
        <f t="shared" ref="R54:T54" si="80">IF(M54&gt;=$E$10,"1","0")</f>
        <v>1</v>
      </c>
      <c r="S54" s="105" t="str">
        <f t="shared" si="80"/>
        <v>1</v>
      </c>
      <c r="T54" s="105" t="str">
        <f t="shared" si="80"/>
        <v>1</v>
      </c>
      <c r="U54" s="105"/>
      <c r="V54" s="105"/>
      <c r="W54" s="3">
        <f>Theory!D44</f>
        <v>34</v>
      </c>
    </row>
    <row r="55" spans="1:23" ht="15.75" customHeight="1">
      <c r="A55" s="103">
        <f>Theory!A45</f>
        <v>40</v>
      </c>
      <c r="B55" s="103" t="str">
        <f>Theory!B45</f>
        <v>7376231EE141</v>
      </c>
      <c r="C55" s="104">
        <v>20</v>
      </c>
      <c r="D55" s="104">
        <v>20</v>
      </c>
      <c r="E55" s="104">
        <v>10</v>
      </c>
      <c r="F55" s="105"/>
      <c r="G55" s="105"/>
      <c r="H55" s="106">
        <v>8</v>
      </c>
      <c r="I55" s="106">
        <v>7</v>
      </c>
      <c r="J55" s="107">
        <v>4</v>
      </c>
      <c r="K55" s="108"/>
      <c r="L55" s="108"/>
      <c r="M55" s="104">
        <f t="shared" ref="M55:Q55" si="81">IF(C55="","",H55*100/C55)</f>
        <v>40</v>
      </c>
      <c r="N55" s="104">
        <f t="shared" si="81"/>
        <v>35</v>
      </c>
      <c r="O55" s="104">
        <f t="shared" si="81"/>
        <v>40</v>
      </c>
      <c r="P55" s="104" t="str">
        <f t="shared" si="81"/>
        <v/>
      </c>
      <c r="Q55" s="104" t="str">
        <f t="shared" si="81"/>
        <v/>
      </c>
      <c r="R55" s="105" t="str">
        <f t="shared" ref="R55:T55" si="82">IF(M55&gt;=$E$10,"1","0")</f>
        <v>0</v>
      </c>
      <c r="S55" s="105" t="str">
        <f t="shared" si="82"/>
        <v>0</v>
      </c>
      <c r="T55" s="105" t="str">
        <f t="shared" si="82"/>
        <v>0</v>
      </c>
      <c r="U55" s="105"/>
      <c r="V55" s="105"/>
      <c r="W55" s="3">
        <f>Theory!D45</f>
        <v>19</v>
      </c>
    </row>
    <row r="56" spans="1:23" ht="15.75" customHeight="1">
      <c r="A56" s="103">
        <f>Theory!A46</f>
        <v>41</v>
      </c>
      <c r="B56" s="103" t="str">
        <f>Theory!B46</f>
        <v>7376231EE142</v>
      </c>
      <c r="C56" s="104">
        <v>20</v>
      </c>
      <c r="D56" s="104">
        <v>20</v>
      </c>
      <c r="E56" s="104">
        <v>10</v>
      </c>
      <c r="F56" s="105"/>
      <c r="G56" s="105"/>
      <c r="H56" s="106">
        <v>14</v>
      </c>
      <c r="I56" s="106">
        <v>14</v>
      </c>
      <c r="J56" s="107">
        <v>7</v>
      </c>
      <c r="K56" s="108"/>
      <c r="L56" s="108"/>
      <c r="M56" s="104">
        <f t="shared" ref="M56:Q56" si="83">IF(C56="","",H56*100/C56)</f>
        <v>70</v>
      </c>
      <c r="N56" s="104">
        <f t="shared" si="83"/>
        <v>70</v>
      </c>
      <c r="O56" s="104">
        <f t="shared" si="83"/>
        <v>70</v>
      </c>
      <c r="P56" s="104" t="str">
        <f t="shared" si="83"/>
        <v/>
      </c>
      <c r="Q56" s="104" t="str">
        <f t="shared" si="83"/>
        <v/>
      </c>
      <c r="R56" s="105" t="str">
        <f t="shared" ref="R56:T56" si="84">IF(M56&gt;=$E$10,"1","0")</f>
        <v>1</v>
      </c>
      <c r="S56" s="105" t="str">
        <f t="shared" si="84"/>
        <v>1</v>
      </c>
      <c r="T56" s="105" t="str">
        <f t="shared" si="84"/>
        <v>1</v>
      </c>
      <c r="U56" s="105"/>
      <c r="V56" s="105"/>
      <c r="W56" s="3">
        <f>Theory!D46</f>
        <v>35</v>
      </c>
    </row>
    <row r="57" spans="1:23" ht="15.75" customHeight="1">
      <c r="A57" s="103">
        <f>Theory!A47</f>
        <v>42</v>
      </c>
      <c r="B57" s="103" t="str">
        <f>Theory!B47</f>
        <v>7376231EE143</v>
      </c>
      <c r="C57" s="104">
        <v>20</v>
      </c>
      <c r="D57" s="104">
        <v>20</v>
      </c>
      <c r="E57" s="104">
        <v>10</v>
      </c>
      <c r="F57" s="105"/>
      <c r="G57" s="105"/>
      <c r="H57" s="106">
        <v>13</v>
      </c>
      <c r="I57" s="106">
        <v>13</v>
      </c>
      <c r="J57" s="107">
        <v>6</v>
      </c>
      <c r="K57" s="108"/>
      <c r="L57" s="108"/>
      <c r="M57" s="104">
        <f t="shared" ref="M57:Q57" si="85">IF(C57="","",H57*100/C57)</f>
        <v>65</v>
      </c>
      <c r="N57" s="104">
        <f t="shared" si="85"/>
        <v>65</v>
      </c>
      <c r="O57" s="104">
        <f t="shared" si="85"/>
        <v>60</v>
      </c>
      <c r="P57" s="104" t="str">
        <f t="shared" si="85"/>
        <v/>
      </c>
      <c r="Q57" s="104" t="str">
        <f t="shared" si="85"/>
        <v/>
      </c>
      <c r="R57" s="105" t="str">
        <f t="shared" ref="R57:T57" si="86">IF(M57&gt;=$E$10,"1","0")</f>
        <v>1</v>
      </c>
      <c r="S57" s="105" t="str">
        <f t="shared" si="86"/>
        <v>1</v>
      </c>
      <c r="T57" s="105" t="str">
        <f t="shared" si="86"/>
        <v>1</v>
      </c>
      <c r="U57" s="105"/>
      <c r="V57" s="105"/>
      <c r="W57" s="3">
        <f>Theory!D47</f>
        <v>32</v>
      </c>
    </row>
    <row r="58" spans="1:23" ht="15.75" customHeight="1">
      <c r="A58" s="103">
        <f>Theory!A48</f>
        <v>43</v>
      </c>
      <c r="B58" s="103" t="str">
        <f>Theory!B48</f>
        <v>7376231EE144</v>
      </c>
      <c r="C58" s="104">
        <v>20</v>
      </c>
      <c r="D58" s="104">
        <v>20</v>
      </c>
      <c r="E58" s="104">
        <v>10</v>
      </c>
      <c r="F58" s="105"/>
      <c r="G58" s="105"/>
      <c r="H58" s="106">
        <v>13</v>
      </c>
      <c r="I58" s="106">
        <v>13</v>
      </c>
      <c r="J58" s="107">
        <v>7</v>
      </c>
      <c r="K58" s="108"/>
      <c r="L58" s="108"/>
      <c r="M58" s="104">
        <f t="shared" ref="M58:Q58" si="87">IF(C58="","",H58*100/C58)</f>
        <v>65</v>
      </c>
      <c r="N58" s="104">
        <f t="shared" si="87"/>
        <v>65</v>
      </c>
      <c r="O58" s="104">
        <f t="shared" si="87"/>
        <v>70</v>
      </c>
      <c r="P58" s="104" t="str">
        <f t="shared" si="87"/>
        <v/>
      </c>
      <c r="Q58" s="104" t="str">
        <f t="shared" si="87"/>
        <v/>
      </c>
      <c r="R58" s="105" t="str">
        <f t="shared" ref="R58:T58" si="88">IF(M58&gt;=$E$10,"1","0")</f>
        <v>1</v>
      </c>
      <c r="S58" s="105" t="str">
        <f t="shared" si="88"/>
        <v>1</v>
      </c>
      <c r="T58" s="105" t="str">
        <f t="shared" si="88"/>
        <v>1</v>
      </c>
      <c r="U58" s="105"/>
      <c r="V58" s="105"/>
      <c r="W58" s="3">
        <f>Theory!D48</f>
        <v>33</v>
      </c>
    </row>
    <row r="59" spans="1:23" ht="15.75" customHeight="1">
      <c r="A59" s="103">
        <f>Theory!A49</f>
        <v>44</v>
      </c>
      <c r="B59" s="103" t="str">
        <f>Theory!B49</f>
        <v>7376231EE145</v>
      </c>
      <c r="C59" s="104">
        <v>20</v>
      </c>
      <c r="D59" s="104">
        <v>20</v>
      </c>
      <c r="E59" s="104">
        <v>10</v>
      </c>
      <c r="F59" s="105"/>
      <c r="G59" s="105"/>
      <c r="H59" s="106">
        <v>13</v>
      </c>
      <c r="I59" s="106">
        <v>13</v>
      </c>
      <c r="J59" s="107">
        <v>6</v>
      </c>
      <c r="K59" s="108"/>
      <c r="L59" s="108"/>
      <c r="M59" s="104">
        <f t="shared" ref="M59:Q59" si="89">IF(C59="","",H59*100/C59)</f>
        <v>65</v>
      </c>
      <c r="N59" s="104">
        <f t="shared" si="89"/>
        <v>65</v>
      </c>
      <c r="O59" s="104">
        <f t="shared" si="89"/>
        <v>60</v>
      </c>
      <c r="P59" s="104" t="str">
        <f t="shared" si="89"/>
        <v/>
      </c>
      <c r="Q59" s="104" t="str">
        <f t="shared" si="89"/>
        <v/>
      </c>
      <c r="R59" s="105" t="str">
        <f t="shared" ref="R59:T59" si="90">IF(M59&gt;=$E$10,"1","0")</f>
        <v>1</v>
      </c>
      <c r="S59" s="105" t="str">
        <f t="shared" si="90"/>
        <v>1</v>
      </c>
      <c r="T59" s="105" t="str">
        <f t="shared" si="90"/>
        <v>1</v>
      </c>
      <c r="U59" s="105"/>
      <c r="V59" s="105"/>
      <c r="W59" s="3">
        <f>Theory!D49</f>
        <v>32</v>
      </c>
    </row>
    <row r="60" spans="1:23" ht="15.75" customHeight="1">
      <c r="A60" s="103">
        <f>Theory!A50</f>
        <v>45</v>
      </c>
      <c r="B60" s="103" t="str">
        <f>Theory!B50</f>
        <v>7376231EE146</v>
      </c>
      <c r="C60" s="104">
        <v>20</v>
      </c>
      <c r="D60" s="104">
        <v>20</v>
      </c>
      <c r="E60" s="104">
        <v>10</v>
      </c>
      <c r="F60" s="105"/>
      <c r="G60" s="105"/>
      <c r="H60" s="106">
        <v>14</v>
      </c>
      <c r="I60" s="106">
        <v>14</v>
      </c>
      <c r="J60" s="107">
        <v>6</v>
      </c>
      <c r="K60" s="108"/>
      <c r="L60" s="108"/>
      <c r="M60" s="104">
        <f t="shared" ref="M60:Q60" si="91">IF(C60="","",H60*100/C60)</f>
        <v>70</v>
      </c>
      <c r="N60" s="104">
        <f t="shared" si="91"/>
        <v>70</v>
      </c>
      <c r="O60" s="104">
        <f t="shared" si="91"/>
        <v>60</v>
      </c>
      <c r="P60" s="104" t="str">
        <f t="shared" si="91"/>
        <v/>
      </c>
      <c r="Q60" s="104" t="str">
        <f t="shared" si="91"/>
        <v/>
      </c>
      <c r="R60" s="105" t="str">
        <f t="shared" ref="R60:T60" si="92">IF(M60&gt;=$E$10,"1","0")</f>
        <v>1</v>
      </c>
      <c r="S60" s="105" t="str">
        <f t="shared" si="92"/>
        <v>1</v>
      </c>
      <c r="T60" s="105" t="str">
        <f t="shared" si="92"/>
        <v>1</v>
      </c>
      <c r="U60" s="105"/>
      <c r="V60" s="105"/>
      <c r="W60" s="3">
        <f>Theory!D50</f>
        <v>34</v>
      </c>
    </row>
    <row r="61" spans="1:23" ht="15.75" customHeight="1">
      <c r="A61" s="103">
        <f>Theory!A51</f>
        <v>46</v>
      </c>
      <c r="B61" s="103" t="str">
        <f>Theory!B51</f>
        <v>7376231EE147</v>
      </c>
      <c r="C61" s="104">
        <v>20</v>
      </c>
      <c r="D61" s="104">
        <v>20</v>
      </c>
      <c r="E61" s="104">
        <v>10</v>
      </c>
      <c r="F61" s="105"/>
      <c r="G61" s="105"/>
      <c r="H61" s="106">
        <v>13</v>
      </c>
      <c r="I61" s="106">
        <v>13</v>
      </c>
      <c r="J61" s="107">
        <v>7</v>
      </c>
      <c r="K61" s="108"/>
      <c r="L61" s="108"/>
      <c r="M61" s="104">
        <f t="shared" ref="M61:Q61" si="93">IF(C61="","",H61*100/C61)</f>
        <v>65</v>
      </c>
      <c r="N61" s="104">
        <f t="shared" si="93"/>
        <v>65</v>
      </c>
      <c r="O61" s="104">
        <f t="shared" si="93"/>
        <v>70</v>
      </c>
      <c r="P61" s="104" t="str">
        <f t="shared" si="93"/>
        <v/>
      </c>
      <c r="Q61" s="104" t="str">
        <f t="shared" si="93"/>
        <v/>
      </c>
      <c r="R61" s="105" t="str">
        <f t="shared" ref="R61:T61" si="94">IF(M61&gt;=$E$10,"1","0")</f>
        <v>1</v>
      </c>
      <c r="S61" s="105" t="str">
        <f t="shared" si="94"/>
        <v>1</v>
      </c>
      <c r="T61" s="105" t="str">
        <f t="shared" si="94"/>
        <v>1</v>
      </c>
      <c r="U61" s="105"/>
      <c r="V61" s="105"/>
      <c r="W61" s="3">
        <f>Theory!D51</f>
        <v>33</v>
      </c>
    </row>
    <row r="62" spans="1:23" ht="15.75" customHeight="1">
      <c r="A62" s="103">
        <f>Theory!A52</f>
        <v>47</v>
      </c>
      <c r="B62" s="103" t="str">
        <f>Theory!B52</f>
        <v>7376231EE148</v>
      </c>
      <c r="C62" s="104">
        <v>20</v>
      </c>
      <c r="D62" s="104">
        <v>20</v>
      </c>
      <c r="E62" s="104">
        <v>10</v>
      </c>
      <c r="F62" s="105"/>
      <c r="G62" s="105"/>
      <c r="H62" s="106">
        <v>13</v>
      </c>
      <c r="I62" s="106">
        <v>12</v>
      </c>
      <c r="J62" s="107">
        <v>6</v>
      </c>
      <c r="K62" s="108"/>
      <c r="L62" s="108"/>
      <c r="M62" s="104">
        <f t="shared" ref="M62:Q62" si="95">IF(C62="","",H62*100/C62)</f>
        <v>65</v>
      </c>
      <c r="N62" s="104">
        <f t="shared" si="95"/>
        <v>60</v>
      </c>
      <c r="O62" s="104">
        <f t="shared" si="95"/>
        <v>60</v>
      </c>
      <c r="P62" s="104" t="str">
        <f t="shared" si="95"/>
        <v/>
      </c>
      <c r="Q62" s="104" t="str">
        <f t="shared" si="95"/>
        <v/>
      </c>
      <c r="R62" s="105" t="str">
        <f t="shared" ref="R62:T62" si="96">IF(M62&gt;=$E$10,"1","0")</f>
        <v>1</v>
      </c>
      <c r="S62" s="105" t="str">
        <f t="shared" si="96"/>
        <v>1</v>
      </c>
      <c r="T62" s="105" t="str">
        <f t="shared" si="96"/>
        <v>1</v>
      </c>
      <c r="U62" s="105"/>
      <c r="V62" s="105"/>
      <c r="W62" s="3">
        <f>Theory!D52</f>
        <v>31</v>
      </c>
    </row>
    <row r="63" spans="1:23" ht="15.75" customHeight="1">
      <c r="A63" s="103">
        <f>Theory!A53</f>
        <v>48</v>
      </c>
      <c r="B63" s="103" t="str">
        <f>Theory!B53</f>
        <v>7376231EE149</v>
      </c>
      <c r="C63" s="104">
        <v>20</v>
      </c>
      <c r="D63" s="104">
        <v>20</v>
      </c>
      <c r="E63" s="104">
        <v>10</v>
      </c>
      <c r="F63" s="105"/>
      <c r="G63" s="105"/>
      <c r="H63" s="106">
        <v>7</v>
      </c>
      <c r="I63" s="106">
        <v>7</v>
      </c>
      <c r="J63" s="107">
        <v>4</v>
      </c>
      <c r="K63" s="108"/>
      <c r="L63" s="108"/>
      <c r="M63" s="104">
        <f t="shared" ref="M63:Q63" si="97">IF(C63="","",H63*100/C63)</f>
        <v>35</v>
      </c>
      <c r="N63" s="104">
        <f t="shared" si="97"/>
        <v>35</v>
      </c>
      <c r="O63" s="104">
        <f t="shared" si="97"/>
        <v>40</v>
      </c>
      <c r="P63" s="104" t="str">
        <f t="shared" si="97"/>
        <v/>
      </c>
      <c r="Q63" s="104" t="str">
        <f t="shared" si="97"/>
        <v/>
      </c>
      <c r="R63" s="105" t="str">
        <f t="shared" ref="R63:T63" si="98">IF(M63&gt;=$E$10,"1","0")</f>
        <v>0</v>
      </c>
      <c r="S63" s="105" t="str">
        <f t="shared" si="98"/>
        <v>0</v>
      </c>
      <c r="T63" s="105" t="str">
        <f t="shared" si="98"/>
        <v>0</v>
      </c>
      <c r="U63" s="105"/>
      <c r="V63" s="105"/>
      <c r="W63" s="3">
        <f>Theory!D53</f>
        <v>18</v>
      </c>
    </row>
    <row r="64" spans="1:23" ht="15.75" customHeight="1">
      <c r="A64" s="103">
        <f>Theory!A54</f>
        <v>49</v>
      </c>
      <c r="B64" s="103" t="str">
        <f>Theory!B54</f>
        <v>7376231EE150</v>
      </c>
      <c r="C64" s="104">
        <v>20</v>
      </c>
      <c r="D64" s="104">
        <v>20</v>
      </c>
      <c r="E64" s="104">
        <v>10</v>
      </c>
      <c r="F64" s="105"/>
      <c r="G64" s="105"/>
      <c r="H64" s="106">
        <v>11</v>
      </c>
      <c r="I64" s="106">
        <v>11</v>
      </c>
      <c r="J64" s="107">
        <v>6</v>
      </c>
      <c r="K64" s="108"/>
      <c r="L64" s="108"/>
      <c r="M64" s="104">
        <f t="shared" ref="M64:Q64" si="99">IF(C64="","",H64*100/C64)</f>
        <v>55</v>
      </c>
      <c r="N64" s="104">
        <f t="shared" si="99"/>
        <v>55</v>
      </c>
      <c r="O64" s="104">
        <f t="shared" si="99"/>
        <v>60</v>
      </c>
      <c r="P64" s="104" t="str">
        <f t="shared" si="99"/>
        <v/>
      </c>
      <c r="Q64" s="104" t="str">
        <f t="shared" si="99"/>
        <v/>
      </c>
      <c r="R64" s="105" t="str">
        <f t="shared" ref="R64:T64" si="100">IF(M64&gt;=$E$10,"1","0")</f>
        <v>0</v>
      </c>
      <c r="S64" s="105" t="str">
        <f t="shared" si="100"/>
        <v>0</v>
      </c>
      <c r="T64" s="105" t="str">
        <f t="shared" si="100"/>
        <v>1</v>
      </c>
      <c r="U64" s="105"/>
      <c r="V64" s="105"/>
      <c r="W64" s="3">
        <f>Theory!D54</f>
        <v>28</v>
      </c>
    </row>
    <row r="65" spans="1:23" ht="15.75" customHeight="1">
      <c r="A65" s="103">
        <f>Theory!A55</f>
        <v>50</v>
      </c>
      <c r="B65" s="103" t="str">
        <f>Theory!B55</f>
        <v>7376231EE151</v>
      </c>
      <c r="C65" s="104">
        <v>20</v>
      </c>
      <c r="D65" s="104">
        <v>20</v>
      </c>
      <c r="E65" s="104">
        <v>10</v>
      </c>
      <c r="F65" s="105"/>
      <c r="G65" s="105"/>
      <c r="H65" s="106">
        <v>9</v>
      </c>
      <c r="I65" s="106">
        <v>9</v>
      </c>
      <c r="J65" s="107">
        <v>3</v>
      </c>
      <c r="K65" s="108"/>
      <c r="L65" s="108"/>
      <c r="M65" s="104">
        <f t="shared" ref="M65:Q65" si="101">IF(C65="","",H65*100/C65)</f>
        <v>45</v>
      </c>
      <c r="N65" s="104">
        <f t="shared" si="101"/>
        <v>45</v>
      </c>
      <c r="O65" s="104">
        <f t="shared" si="101"/>
        <v>30</v>
      </c>
      <c r="P65" s="104" t="str">
        <f t="shared" si="101"/>
        <v/>
      </c>
      <c r="Q65" s="104" t="str">
        <f t="shared" si="101"/>
        <v/>
      </c>
      <c r="R65" s="105" t="str">
        <f t="shared" ref="R65:T65" si="102">IF(M65&gt;=$E$10,"1","0")</f>
        <v>0</v>
      </c>
      <c r="S65" s="105" t="str">
        <f t="shared" si="102"/>
        <v>0</v>
      </c>
      <c r="T65" s="105" t="str">
        <f t="shared" si="102"/>
        <v>0</v>
      </c>
      <c r="U65" s="105"/>
      <c r="V65" s="105"/>
      <c r="W65" s="3">
        <f>Theory!D55</f>
        <v>21</v>
      </c>
    </row>
    <row r="66" spans="1:23" ht="15.75" customHeight="1">
      <c r="A66" s="103">
        <f>Theory!A56</f>
        <v>51</v>
      </c>
      <c r="B66" s="103" t="str">
        <f>Theory!B56</f>
        <v>7376231EE152</v>
      </c>
      <c r="C66" s="104">
        <v>20</v>
      </c>
      <c r="D66" s="104">
        <v>20</v>
      </c>
      <c r="E66" s="104">
        <v>10</v>
      </c>
      <c r="F66" s="105"/>
      <c r="G66" s="105"/>
      <c r="H66" s="106">
        <v>13</v>
      </c>
      <c r="I66" s="106">
        <v>13</v>
      </c>
      <c r="J66" s="107">
        <v>7</v>
      </c>
      <c r="K66" s="108"/>
      <c r="L66" s="108"/>
      <c r="M66" s="104">
        <f t="shared" ref="M66:Q66" si="103">IF(C66="","",H66*100/C66)</f>
        <v>65</v>
      </c>
      <c r="N66" s="104">
        <f t="shared" si="103"/>
        <v>65</v>
      </c>
      <c r="O66" s="104">
        <f t="shared" si="103"/>
        <v>70</v>
      </c>
      <c r="P66" s="104" t="str">
        <f t="shared" si="103"/>
        <v/>
      </c>
      <c r="Q66" s="104" t="str">
        <f t="shared" si="103"/>
        <v/>
      </c>
      <c r="R66" s="105" t="str">
        <f t="shared" ref="R66:T66" si="104">IF(M66&gt;=$E$10,"1","0")</f>
        <v>1</v>
      </c>
      <c r="S66" s="105" t="str">
        <f t="shared" si="104"/>
        <v>1</v>
      </c>
      <c r="T66" s="105" t="str">
        <f t="shared" si="104"/>
        <v>1</v>
      </c>
      <c r="U66" s="105"/>
      <c r="V66" s="105"/>
      <c r="W66" s="3">
        <f>Theory!D56</f>
        <v>33</v>
      </c>
    </row>
    <row r="67" spans="1:23" ht="15.75" customHeight="1">
      <c r="A67" s="103">
        <f>Theory!A57</f>
        <v>52</v>
      </c>
      <c r="B67" s="103" t="str">
        <f>Theory!B57</f>
        <v>7376231EE153</v>
      </c>
      <c r="C67" s="104">
        <v>20</v>
      </c>
      <c r="D67" s="104">
        <v>20</v>
      </c>
      <c r="E67" s="104">
        <v>10</v>
      </c>
      <c r="F67" s="105"/>
      <c r="G67" s="105"/>
      <c r="H67" s="106">
        <v>11</v>
      </c>
      <c r="I67" s="106">
        <v>11</v>
      </c>
      <c r="J67" s="107">
        <v>6</v>
      </c>
      <c r="K67" s="108"/>
      <c r="L67" s="108"/>
      <c r="M67" s="104">
        <f t="shared" ref="M67:Q67" si="105">IF(C67="","",H67*100/C67)</f>
        <v>55</v>
      </c>
      <c r="N67" s="104">
        <f t="shared" si="105"/>
        <v>55</v>
      </c>
      <c r="O67" s="104">
        <f t="shared" si="105"/>
        <v>60</v>
      </c>
      <c r="P67" s="104" t="str">
        <f t="shared" si="105"/>
        <v/>
      </c>
      <c r="Q67" s="104" t="str">
        <f t="shared" si="105"/>
        <v/>
      </c>
      <c r="R67" s="105" t="str">
        <f t="shared" ref="R67:T67" si="106">IF(M67&gt;=$E$10,"1","0")</f>
        <v>0</v>
      </c>
      <c r="S67" s="105" t="str">
        <f t="shared" si="106"/>
        <v>0</v>
      </c>
      <c r="T67" s="105" t="str">
        <f t="shared" si="106"/>
        <v>1</v>
      </c>
      <c r="U67" s="105"/>
      <c r="V67" s="105"/>
      <c r="W67" s="3">
        <f>Theory!D57</f>
        <v>28</v>
      </c>
    </row>
    <row r="68" spans="1:23" ht="15.75" customHeight="1">
      <c r="A68" s="103">
        <f>Theory!A58</f>
        <v>53</v>
      </c>
      <c r="B68" s="103" t="str">
        <f>Theory!B58</f>
        <v>7376231EE154</v>
      </c>
      <c r="C68" s="104">
        <v>20</v>
      </c>
      <c r="D68" s="104">
        <v>20</v>
      </c>
      <c r="E68" s="104">
        <v>10</v>
      </c>
      <c r="F68" s="105"/>
      <c r="G68" s="105"/>
      <c r="H68" s="106">
        <v>11</v>
      </c>
      <c r="I68" s="106">
        <v>11</v>
      </c>
      <c r="J68" s="107">
        <v>6</v>
      </c>
      <c r="K68" s="108"/>
      <c r="L68" s="108"/>
      <c r="M68" s="104">
        <f t="shared" ref="M68:Q68" si="107">IF(C68="","",H68*100/C68)</f>
        <v>55</v>
      </c>
      <c r="N68" s="104">
        <f t="shared" si="107"/>
        <v>55</v>
      </c>
      <c r="O68" s="104">
        <f t="shared" si="107"/>
        <v>60</v>
      </c>
      <c r="P68" s="104" t="str">
        <f t="shared" si="107"/>
        <v/>
      </c>
      <c r="Q68" s="104" t="str">
        <f t="shared" si="107"/>
        <v/>
      </c>
      <c r="R68" s="105" t="str">
        <f t="shared" ref="R68:T68" si="108">IF(M68&gt;=$E$10,"1","0")</f>
        <v>0</v>
      </c>
      <c r="S68" s="105" t="str">
        <f t="shared" si="108"/>
        <v>0</v>
      </c>
      <c r="T68" s="105" t="str">
        <f t="shared" si="108"/>
        <v>1</v>
      </c>
      <c r="U68" s="105"/>
      <c r="V68" s="105"/>
      <c r="W68" s="3">
        <f>Theory!D58</f>
        <v>28</v>
      </c>
    </row>
    <row r="69" spans="1:23" ht="15.75" customHeight="1">
      <c r="A69" s="103">
        <f>Theory!A59</f>
        <v>54</v>
      </c>
      <c r="B69" s="103" t="str">
        <f>Theory!B59</f>
        <v>7376231EE155</v>
      </c>
      <c r="C69" s="104">
        <v>20</v>
      </c>
      <c r="D69" s="104">
        <v>20</v>
      </c>
      <c r="E69" s="104">
        <v>10</v>
      </c>
      <c r="F69" s="105"/>
      <c r="G69" s="105"/>
      <c r="H69" s="106">
        <v>12</v>
      </c>
      <c r="I69" s="106">
        <v>11</v>
      </c>
      <c r="J69" s="107">
        <v>6</v>
      </c>
      <c r="K69" s="108"/>
      <c r="L69" s="108"/>
      <c r="M69" s="104">
        <f t="shared" ref="M69:Q69" si="109">IF(C69="","",H69*100/C69)</f>
        <v>60</v>
      </c>
      <c r="N69" s="104">
        <f t="shared" si="109"/>
        <v>55</v>
      </c>
      <c r="O69" s="104">
        <f t="shared" si="109"/>
        <v>60</v>
      </c>
      <c r="P69" s="104" t="str">
        <f t="shared" si="109"/>
        <v/>
      </c>
      <c r="Q69" s="104" t="str">
        <f t="shared" si="109"/>
        <v/>
      </c>
      <c r="R69" s="105" t="str">
        <f t="shared" ref="R69:T69" si="110">IF(M69&gt;=$E$10,"1","0")</f>
        <v>1</v>
      </c>
      <c r="S69" s="105" t="str">
        <f t="shared" si="110"/>
        <v>0</v>
      </c>
      <c r="T69" s="105" t="str">
        <f t="shared" si="110"/>
        <v>1</v>
      </c>
      <c r="U69" s="105"/>
      <c r="V69" s="105"/>
      <c r="W69" s="3">
        <f>Theory!D59</f>
        <v>29</v>
      </c>
    </row>
    <row r="70" spans="1:23" ht="15.75" customHeight="1">
      <c r="A70" s="103">
        <f>Theory!A60</f>
        <v>55</v>
      </c>
      <c r="B70" s="103" t="str">
        <f>Theory!B60</f>
        <v>7376231EE156</v>
      </c>
      <c r="C70" s="104">
        <v>20</v>
      </c>
      <c r="D70" s="104">
        <v>20</v>
      </c>
      <c r="E70" s="104">
        <v>10</v>
      </c>
      <c r="F70" s="105"/>
      <c r="G70" s="105"/>
      <c r="H70" s="106">
        <v>14</v>
      </c>
      <c r="I70" s="106">
        <v>14</v>
      </c>
      <c r="J70" s="107">
        <v>6</v>
      </c>
      <c r="K70" s="108"/>
      <c r="L70" s="108"/>
      <c r="M70" s="104">
        <f t="shared" ref="M70:Q70" si="111">IF(C70="","",H70*100/C70)</f>
        <v>70</v>
      </c>
      <c r="N70" s="104">
        <f t="shared" si="111"/>
        <v>70</v>
      </c>
      <c r="O70" s="104">
        <f t="shared" si="111"/>
        <v>60</v>
      </c>
      <c r="P70" s="104" t="str">
        <f t="shared" si="111"/>
        <v/>
      </c>
      <c r="Q70" s="104" t="str">
        <f t="shared" si="111"/>
        <v/>
      </c>
      <c r="R70" s="105" t="str">
        <f t="shared" ref="R70:T70" si="112">IF(M70&gt;=$E$10,"1","0")</f>
        <v>1</v>
      </c>
      <c r="S70" s="105" t="str">
        <f t="shared" si="112"/>
        <v>1</v>
      </c>
      <c r="T70" s="105" t="str">
        <f t="shared" si="112"/>
        <v>1</v>
      </c>
      <c r="U70" s="105"/>
      <c r="V70" s="105"/>
      <c r="W70" s="3">
        <f>Theory!D60</f>
        <v>34</v>
      </c>
    </row>
    <row r="71" spans="1:23" ht="15.75" customHeight="1">
      <c r="A71" s="103">
        <f>Theory!A61</f>
        <v>56</v>
      </c>
      <c r="B71" s="103" t="str">
        <f>Theory!B61</f>
        <v>7376231EE157</v>
      </c>
      <c r="C71" s="104">
        <v>20</v>
      </c>
      <c r="D71" s="104">
        <v>20</v>
      </c>
      <c r="E71" s="104">
        <v>10</v>
      </c>
      <c r="F71" s="105"/>
      <c r="G71" s="105"/>
      <c r="H71" s="106">
        <v>13</v>
      </c>
      <c r="I71" s="106">
        <v>13</v>
      </c>
      <c r="J71" s="107">
        <v>7</v>
      </c>
      <c r="K71" s="108"/>
      <c r="L71" s="108"/>
      <c r="M71" s="104">
        <f t="shared" ref="M71:Q71" si="113">IF(C71="","",H71*100/C71)</f>
        <v>65</v>
      </c>
      <c r="N71" s="104">
        <f t="shared" si="113"/>
        <v>65</v>
      </c>
      <c r="O71" s="104">
        <f t="shared" si="113"/>
        <v>70</v>
      </c>
      <c r="P71" s="104" t="str">
        <f t="shared" si="113"/>
        <v/>
      </c>
      <c r="Q71" s="104" t="str">
        <f t="shared" si="113"/>
        <v/>
      </c>
      <c r="R71" s="105" t="str">
        <f t="shared" ref="R71:T71" si="114">IF(M71&gt;=$E$10,"1","0")</f>
        <v>1</v>
      </c>
      <c r="S71" s="105" t="str">
        <f t="shared" si="114"/>
        <v>1</v>
      </c>
      <c r="T71" s="105" t="str">
        <f t="shared" si="114"/>
        <v>1</v>
      </c>
      <c r="U71" s="105"/>
      <c r="V71" s="105"/>
      <c r="W71" s="3">
        <f>Theory!D61</f>
        <v>33</v>
      </c>
    </row>
    <row r="72" spans="1:23" ht="15.75" customHeight="1">
      <c r="A72" s="103">
        <f>Theory!A62</f>
        <v>57</v>
      </c>
      <c r="B72" s="103" t="str">
        <f>Theory!B62</f>
        <v>7376231EE158</v>
      </c>
      <c r="C72" s="104">
        <v>20</v>
      </c>
      <c r="D72" s="104">
        <v>20</v>
      </c>
      <c r="E72" s="104">
        <v>10</v>
      </c>
      <c r="F72" s="105"/>
      <c r="G72" s="105"/>
      <c r="H72" s="106">
        <v>11</v>
      </c>
      <c r="I72" s="106">
        <v>10</v>
      </c>
      <c r="J72" s="107">
        <v>5</v>
      </c>
      <c r="K72" s="108"/>
      <c r="L72" s="108"/>
      <c r="M72" s="104">
        <f t="shared" ref="M72:Q72" si="115">IF(C72="","",H72*100/C72)</f>
        <v>55</v>
      </c>
      <c r="N72" s="104">
        <f t="shared" si="115"/>
        <v>50</v>
      </c>
      <c r="O72" s="104">
        <f t="shared" si="115"/>
        <v>50</v>
      </c>
      <c r="P72" s="104" t="str">
        <f t="shared" si="115"/>
        <v/>
      </c>
      <c r="Q72" s="104" t="str">
        <f t="shared" si="115"/>
        <v/>
      </c>
      <c r="R72" s="105" t="str">
        <f t="shared" ref="R72:T72" si="116">IF(M72&gt;=$E$10,"1","0")</f>
        <v>0</v>
      </c>
      <c r="S72" s="105" t="str">
        <f t="shared" si="116"/>
        <v>0</v>
      </c>
      <c r="T72" s="105" t="str">
        <f t="shared" si="116"/>
        <v>0</v>
      </c>
      <c r="U72" s="105"/>
      <c r="V72" s="105"/>
      <c r="W72" s="3">
        <f>Theory!D62</f>
        <v>26</v>
      </c>
    </row>
    <row r="73" spans="1:23" ht="15.75" customHeight="1">
      <c r="A73" s="103">
        <f>Theory!A63</f>
        <v>58</v>
      </c>
      <c r="B73" s="103" t="str">
        <f>Theory!B63</f>
        <v>7376231EE159</v>
      </c>
      <c r="C73" s="104">
        <v>20</v>
      </c>
      <c r="D73" s="104">
        <v>20</v>
      </c>
      <c r="E73" s="104">
        <v>10</v>
      </c>
      <c r="F73" s="105"/>
      <c r="G73" s="105"/>
      <c r="H73" s="106">
        <v>11</v>
      </c>
      <c r="I73" s="106">
        <v>10</v>
      </c>
      <c r="J73" s="107">
        <v>5</v>
      </c>
      <c r="K73" s="108"/>
      <c r="L73" s="108"/>
      <c r="M73" s="104">
        <f t="shared" ref="M73:Q73" si="117">IF(C73="","",H73*100/C73)</f>
        <v>55</v>
      </c>
      <c r="N73" s="104">
        <f t="shared" si="117"/>
        <v>50</v>
      </c>
      <c r="O73" s="104">
        <f t="shared" si="117"/>
        <v>50</v>
      </c>
      <c r="P73" s="104" t="str">
        <f t="shared" si="117"/>
        <v/>
      </c>
      <c r="Q73" s="104" t="str">
        <f t="shared" si="117"/>
        <v/>
      </c>
      <c r="R73" s="105" t="str">
        <f t="shared" ref="R73:T73" si="118">IF(M73&gt;=$E$10,"1","0")</f>
        <v>0</v>
      </c>
      <c r="S73" s="105" t="str">
        <f t="shared" si="118"/>
        <v>0</v>
      </c>
      <c r="T73" s="105" t="str">
        <f t="shared" si="118"/>
        <v>0</v>
      </c>
      <c r="U73" s="105"/>
      <c r="V73" s="105"/>
      <c r="W73" s="3">
        <f>Theory!D63</f>
        <v>26</v>
      </c>
    </row>
    <row r="74" spans="1:23" ht="15.75" customHeight="1">
      <c r="A74" s="103">
        <f>Theory!A64</f>
        <v>59</v>
      </c>
      <c r="B74" s="103" t="str">
        <f>Theory!B64</f>
        <v>7376231EE160</v>
      </c>
      <c r="C74" s="104">
        <v>20</v>
      </c>
      <c r="D74" s="104">
        <v>20</v>
      </c>
      <c r="E74" s="104">
        <v>10</v>
      </c>
      <c r="F74" s="105"/>
      <c r="G74" s="105"/>
      <c r="H74" s="106">
        <v>9</v>
      </c>
      <c r="I74" s="106">
        <v>10</v>
      </c>
      <c r="J74" s="107">
        <v>6</v>
      </c>
      <c r="K74" s="108"/>
      <c r="L74" s="108"/>
      <c r="M74" s="104">
        <f t="shared" ref="M74:Q74" si="119">IF(C74="","",H74*100/C74)</f>
        <v>45</v>
      </c>
      <c r="N74" s="104">
        <f t="shared" si="119"/>
        <v>50</v>
      </c>
      <c r="O74" s="104">
        <f t="shared" si="119"/>
        <v>60</v>
      </c>
      <c r="P74" s="104" t="str">
        <f t="shared" si="119"/>
        <v/>
      </c>
      <c r="Q74" s="104" t="str">
        <f t="shared" si="119"/>
        <v/>
      </c>
      <c r="R74" s="105" t="str">
        <f t="shared" ref="R74:T74" si="120">IF(M74&gt;=$E$10,"1","0")</f>
        <v>0</v>
      </c>
      <c r="S74" s="105" t="str">
        <f t="shared" si="120"/>
        <v>0</v>
      </c>
      <c r="T74" s="105" t="str">
        <f t="shared" si="120"/>
        <v>1</v>
      </c>
      <c r="U74" s="105"/>
      <c r="V74" s="105"/>
      <c r="W74" s="3">
        <f>Theory!D64</f>
        <v>25</v>
      </c>
    </row>
    <row r="75" spans="1:23" ht="15.75" customHeight="1">
      <c r="A75" s="103">
        <f>Theory!A65</f>
        <v>60</v>
      </c>
      <c r="B75" s="103" t="str">
        <f>Theory!B65</f>
        <v>7376231EE161</v>
      </c>
      <c r="C75" s="104">
        <v>20</v>
      </c>
      <c r="D75" s="104">
        <v>20</v>
      </c>
      <c r="E75" s="104">
        <v>10</v>
      </c>
      <c r="F75" s="105"/>
      <c r="G75" s="105"/>
      <c r="H75" s="106">
        <v>11</v>
      </c>
      <c r="I75" s="106">
        <v>11</v>
      </c>
      <c r="J75" s="107">
        <v>6</v>
      </c>
      <c r="K75" s="108"/>
      <c r="L75" s="108"/>
      <c r="M75" s="104">
        <f t="shared" ref="M75:Q75" si="121">IF(C75="","",H75*100/C75)</f>
        <v>55</v>
      </c>
      <c r="N75" s="104">
        <f t="shared" si="121"/>
        <v>55</v>
      </c>
      <c r="O75" s="104">
        <f t="shared" si="121"/>
        <v>60</v>
      </c>
      <c r="P75" s="104" t="str">
        <f t="shared" si="121"/>
        <v/>
      </c>
      <c r="Q75" s="104" t="str">
        <f t="shared" si="121"/>
        <v/>
      </c>
      <c r="R75" s="105" t="str">
        <f t="shared" ref="R75:T75" si="122">IF(M75&gt;=$E$10,"1","0")</f>
        <v>0</v>
      </c>
      <c r="S75" s="105" t="str">
        <f t="shared" si="122"/>
        <v>0</v>
      </c>
      <c r="T75" s="105" t="str">
        <f t="shared" si="122"/>
        <v>1</v>
      </c>
      <c r="U75" s="105"/>
      <c r="V75" s="105"/>
      <c r="W75" s="3">
        <f>Theory!D65</f>
        <v>28</v>
      </c>
    </row>
    <row r="76" spans="1:23" ht="15.75" customHeight="1">
      <c r="A76" s="103">
        <f>Theory!A66</f>
        <v>61</v>
      </c>
      <c r="B76" s="103" t="str">
        <f>Theory!B66</f>
        <v>7376241EE501</v>
      </c>
      <c r="C76" s="104">
        <v>20</v>
      </c>
      <c r="D76" s="104">
        <v>20</v>
      </c>
      <c r="E76" s="104">
        <v>10</v>
      </c>
      <c r="F76" s="105"/>
      <c r="G76" s="105"/>
      <c r="H76" s="106">
        <v>11</v>
      </c>
      <c r="I76" s="106">
        <v>10</v>
      </c>
      <c r="J76" s="107">
        <v>5</v>
      </c>
      <c r="K76" s="108"/>
      <c r="L76" s="108"/>
      <c r="M76" s="104">
        <f t="shared" ref="M76:Q76" si="123">IF(C76="","",H76*100/C76)</f>
        <v>55</v>
      </c>
      <c r="N76" s="104">
        <f t="shared" si="123"/>
        <v>50</v>
      </c>
      <c r="O76" s="104">
        <f t="shared" si="123"/>
        <v>50</v>
      </c>
      <c r="P76" s="104" t="str">
        <f t="shared" si="123"/>
        <v/>
      </c>
      <c r="Q76" s="104" t="str">
        <f t="shared" si="123"/>
        <v/>
      </c>
      <c r="R76" s="105" t="str">
        <f t="shared" ref="R76:T76" si="124">IF(M76&gt;=$E$10,"1","0")</f>
        <v>0</v>
      </c>
      <c r="S76" s="105" t="str">
        <f t="shared" si="124"/>
        <v>0</v>
      </c>
      <c r="T76" s="105" t="str">
        <f t="shared" si="124"/>
        <v>0</v>
      </c>
      <c r="U76" s="105"/>
      <c r="V76" s="105"/>
      <c r="W76" s="3">
        <f>Theory!D66</f>
        <v>26</v>
      </c>
    </row>
    <row r="77" spans="1:23" ht="15.75" customHeight="1">
      <c r="A77" s="103">
        <f>Theory!A67</f>
        <v>62</v>
      </c>
      <c r="B77" s="103" t="str">
        <f>Theory!B67</f>
        <v>7376241EE502</v>
      </c>
      <c r="C77" s="104">
        <v>20</v>
      </c>
      <c r="D77" s="104">
        <v>20</v>
      </c>
      <c r="E77" s="104">
        <v>10</v>
      </c>
      <c r="F77" s="105"/>
      <c r="G77" s="105"/>
      <c r="H77" s="106">
        <v>11</v>
      </c>
      <c r="I77" s="106">
        <v>8</v>
      </c>
      <c r="J77" s="107">
        <v>3</v>
      </c>
      <c r="K77" s="108"/>
      <c r="L77" s="108"/>
      <c r="M77" s="104">
        <f t="shared" ref="M77:Q77" si="125">IF(C77="","",H77*100/C77)</f>
        <v>55</v>
      </c>
      <c r="N77" s="104">
        <f t="shared" si="125"/>
        <v>40</v>
      </c>
      <c r="O77" s="104">
        <f t="shared" si="125"/>
        <v>30</v>
      </c>
      <c r="P77" s="104" t="str">
        <f t="shared" si="125"/>
        <v/>
      </c>
      <c r="Q77" s="104" t="str">
        <f t="shared" si="125"/>
        <v/>
      </c>
      <c r="R77" s="105" t="str">
        <f t="shared" ref="R77:T77" si="126">IF(M77&gt;=$E$10,"1","0")</f>
        <v>0</v>
      </c>
      <c r="S77" s="105" t="str">
        <f t="shared" si="126"/>
        <v>0</v>
      </c>
      <c r="T77" s="105" t="str">
        <f t="shared" si="126"/>
        <v>0</v>
      </c>
      <c r="U77" s="105"/>
      <c r="V77" s="105"/>
      <c r="W77" s="3">
        <f>Theory!D67</f>
        <v>22</v>
      </c>
    </row>
    <row r="78" spans="1:23" ht="15.75" customHeight="1">
      <c r="A78" s="103">
        <f>Theory!A68</f>
        <v>63</v>
      </c>
      <c r="B78" s="103" t="str">
        <f>Theory!B68</f>
        <v>7376241EE503</v>
      </c>
      <c r="C78" s="104">
        <v>20</v>
      </c>
      <c r="D78" s="104">
        <v>20</v>
      </c>
      <c r="E78" s="104">
        <v>10</v>
      </c>
      <c r="F78" s="105"/>
      <c r="G78" s="105"/>
      <c r="H78" s="106">
        <v>11</v>
      </c>
      <c r="I78" s="106">
        <v>8</v>
      </c>
      <c r="J78" s="107">
        <v>3</v>
      </c>
      <c r="K78" s="108"/>
      <c r="L78" s="108"/>
      <c r="M78" s="104">
        <f t="shared" ref="M78:Q78" si="127">IF(C78="","",H78*100/C78)</f>
        <v>55</v>
      </c>
      <c r="N78" s="104">
        <f t="shared" si="127"/>
        <v>40</v>
      </c>
      <c r="O78" s="104">
        <f t="shared" si="127"/>
        <v>30</v>
      </c>
      <c r="P78" s="104" t="str">
        <f t="shared" si="127"/>
        <v/>
      </c>
      <c r="Q78" s="104" t="str">
        <f t="shared" si="127"/>
        <v/>
      </c>
      <c r="R78" s="105" t="str">
        <f t="shared" ref="R78:T78" si="128">IF(M78&gt;=$E$10,"1","0")</f>
        <v>0</v>
      </c>
      <c r="S78" s="105" t="str">
        <f t="shared" si="128"/>
        <v>0</v>
      </c>
      <c r="T78" s="105" t="str">
        <f t="shared" si="128"/>
        <v>0</v>
      </c>
      <c r="U78" s="105"/>
      <c r="V78" s="105"/>
      <c r="W78" s="3">
        <f>Theory!D68</f>
        <v>22</v>
      </c>
    </row>
    <row r="79" spans="1:23" ht="15.75" customHeight="1">
      <c r="A79" s="103">
        <f>Theory!A69</f>
        <v>64</v>
      </c>
      <c r="B79" s="103" t="str">
        <f>Theory!B69</f>
        <v>7376241EE504</v>
      </c>
      <c r="C79" s="104">
        <v>20</v>
      </c>
      <c r="D79" s="104">
        <v>20</v>
      </c>
      <c r="E79" s="104">
        <v>10</v>
      </c>
      <c r="F79" s="105"/>
      <c r="G79" s="105"/>
      <c r="H79" s="106">
        <v>12</v>
      </c>
      <c r="I79" s="106">
        <v>11</v>
      </c>
      <c r="J79" s="107">
        <v>6</v>
      </c>
      <c r="K79" s="108"/>
      <c r="L79" s="108"/>
      <c r="M79" s="104">
        <f t="shared" ref="M79:Q79" si="129">IF(C79="","",H79*100/C79)</f>
        <v>60</v>
      </c>
      <c r="N79" s="104">
        <f t="shared" si="129"/>
        <v>55</v>
      </c>
      <c r="O79" s="104">
        <f t="shared" si="129"/>
        <v>60</v>
      </c>
      <c r="P79" s="104" t="str">
        <f t="shared" si="129"/>
        <v/>
      </c>
      <c r="Q79" s="104" t="str">
        <f t="shared" si="129"/>
        <v/>
      </c>
      <c r="R79" s="105" t="str">
        <f t="shared" ref="R79:T79" si="130">IF(M79&gt;=$E$10,"1","0")</f>
        <v>1</v>
      </c>
      <c r="S79" s="105" t="str">
        <f t="shared" si="130"/>
        <v>0</v>
      </c>
      <c r="T79" s="105" t="str">
        <f t="shared" si="130"/>
        <v>1</v>
      </c>
      <c r="U79" s="105"/>
      <c r="V79" s="105"/>
      <c r="W79" s="3">
        <f>Theory!D69</f>
        <v>29</v>
      </c>
    </row>
    <row r="80" spans="1:23" ht="15.75" customHeight="1">
      <c r="A80" s="103">
        <f>Theory!A70</f>
        <v>65</v>
      </c>
      <c r="B80" s="103" t="str">
        <f>Theory!B70</f>
        <v>7376241EE505</v>
      </c>
      <c r="C80" s="104">
        <v>20</v>
      </c>
      <c r="D80" s="104">
        <v>20</v>
      </c>
      <c r="E80" s="104">
        <v>10</v>
      </c>
      <c r="F80" s="105"/>
      <c r="G80" s="105"/>
      <c r="H80" s="106">
        <v>13</v>
      </c>
      <c r="I80" s="106">
        <v>12</v>
      </c>
      <c r="J80" s="107">
        <v>6</v>
      </c>
      <c r="K80" s="108"/>
      <c r="L80" s="108"/>
      <c r="M80" s="104">
        <f t="shared" ref="M80:Q80" si="131">IF(C80="","",H80*100/C80)</f>
        <v>65</v>
      </c>
      <c r="N80" s="104">
        <f t="shared" si="131"/>
        <v>60</v>
      </c>
      <c r="O80" s="104">
        <f t="shared" si="131"/>
        <v>60</v>
      </c>
      <c r="P80" s="104" t="str">
        <f t="shared" si="131"/>
        <v/>
      </c>
      <c r="Q80" s="104" t="str">
        <f t="shared" si="131"/>
        <v/>
      </c>
      <c r="R80" s="105" t="str">
        <f t="shared" ref="R80:T80" si="132">IF(M80&gt;=$E$10,"1","0")</f>
        <v>1</v>
      </c>
      <c r="S80" s="105" t="str">
        <f t="shared" si="132"/>
        <v>1</v>
      </c>
      <c r="T80" s="105" t="str">
        <f t="shared" si="132"/>
        <v>1</v>
      </c>
      <c r="U80" s="105"/>
      <c r="V80" s="105"/>
      <c r="W80" s="3">
        <f>Theory!D70</f>
        <v>31</v>
      </c>
    </row>
    <row r="81" spans="1:23" ht="15.75" customHeight="1">
      <c r="A81" s="103">
        <f>Theory!A71</f>
        <v>66</v>
      </c>
      <c r="B81" s="103" t="str">
        <f>Theory!B71</f>
        <v>7376241EE506</v>
      </c>
      <c r="C81" s="104">
        <v>20</v>
      </c>
      <c r="D81" s="104">
        <v>20</v>
      </c>
      <c r="E81" s="104">
        <v>10</v>
      </c>
      <c r="F81" s="105"/>
      <c r="G81" s="105"/>
      <c r="H81" s="106">
        <v>11</v>
      </c>
      <c r="I81" s="106">
        <v>11</v>
      </c>
      <c r="J81" s="107">
        <v>5</v>
      </c>
      <c r="K81" s="108"/>
      <c r="L81" s="108"/>
      <c r="M81" s="104">
        <f t="shared" ref="M81:Q81" si="133">IF(C81="","",H81*100/C81)</f>
        <v>55</v>
      </c>
      <c r="N81" s="104">
        <f t="shared" si="133"/>
        <v>55</v>
      </c>
      <c r="O81" s="104">
        <f t="shared" si="133"/>
        <v>50</v>
      </c>
      <c r="P81" s="104" t="str">
        <f t="shared" si="133"/>
        <v/>
      </c>
      <c r="Q81" s="104" t="str">
        <f t="shared" si="133"/>
        <v/>
      </c>
      <c r="R81" s="105" t="str">
        <f t="shared" ref="R81:T81" si="134">IF(M81&gt;=$E$10,"1","0")</f>
        <v>0</v>
      </c>
      <c r="S81" s="105" t="str">
        <f t="shared" si="134"/>
        <v>0</v>
      </c>
      <c r="T81" s="105" t="str">
        <f t="shared" si="134"/>
        <v>0</v>
      </c>
      <c r="U81" s="105"/>
      <c r="V81" s="105"/>
      <c r="W81" s="3">
        <f>Theory!D71</f>
        <v>27</v>
      </c>
    </row>
    <row r="82" spans="1:23" ht="15.75" hidden="1" customHeight="1">
      <c r="A82" s="103"/>
      <c r="B82" s="103"/>
      <c r="C82" s="104"/>
      <c r="D82" s="104"/>
      <c r="E82" s="104"/>
      <c r="F82" s="105"/>
      <c r="G82" s="105"/>
      <c r="H82" s="106"/>
      <c r="I82" s="106"/>
      <c r="J82" s="107"/>
      <c r="K82" s="108"/>
      <c r="L82" s="108"/>
      <c r="M82" s="104"/>
      <c r="N82" s="104"/>
      <c r="O82" s="104"/>
      <c r="P82" s="104"/>
      <c r="Q82" s="104"/>
      <c r="R82" s="105"/>
      <c r="S82" s="105"/>
      <c r="T82" s="105"/>
      <c r="U82" s="105"/>
      <c r="V82" s="105"/>
      <c r="W82" s="3"/>
    </row>
    <row r="83" spans="1:23" ht="15.75" hidden="1" customHeight="1">
      <c r="A83" s="103"/>
      <c r="B83" s="103"/>
      <c r="C83" s="104"/>
      <c r="D83" s="104"/>
      <c r="E83" s="104"/>
      <c r="F83" s="105"/>
      <c r="G83" s="105"/>
      <c r="H83" s="106"/>
      <c r="I83" s="106"/>
      <c r="J83" s="107"/>
      <c r="K83" s="108"/>
      <c r="L83" s="108"/>
      <c r="M83" s="104"/>
      <c r="N83" s="104"/>
      <c r="O83" s="104"/>
      <c r="P83" s="104"/>
      <c r="Q83" s="104"/>
      <c r="R83" s="105"/>
      <c r="S83" s="105"/>
      <c r="T83" s="105"/>
      <c r="U83" s="105"/>
      <c r="V83" s="105"/>
      <c r="W83" s="3"/>
    </row>
    <row r="84" spans="1:23" ht="15.75" hidden="1" customHeight="1">
      <c r="A84" s="103"/>
      <c r="B84" s="103"/>
      <c r="C84" s="104"/>
      <c r="D84" s="104"/>
      <c r="E84" s="104"/>
      <c r="F84" s="105"/>
      <c r="G84" s="105"/>
      <c r="H84" s="106"/>
      <c r="I84" s="106"/>
      <c r="J84" s="107"/>
      <c r="K84" s="108"/>
      <c r="L84" s="108"/>
      <c r="M84" s="104"/>
      <c r="N84" s="104"/>
      <c r="O84" s="104"/>
      <c r="P84" s="104"/>
      <c r="Q84" s="104"/>
      <c r="R84" s="105"/>
      <c r="S84" s="105"/>
      <c r="T84" s="105"/>
      <c r="U84" s="105"/>
      <c r="V84" s="105"/>
      <c r="W84" s="3"/>
    </row>
    <row r="85" spans="1:23" ht="15.75" hidden="1" customHeight="1">
      <c r="A85" s="103"/>
      <c r="B85" s="103"/>
      <c r="C85" s="104"/>
      <c r="D85" s="104"/>
      <c r="E85" s="104"/>
      <c r="F85" s="105"/>
      <c r="G85" s="105"/>
      <c r="H85" s="106"/>
      <c r="I85" s="106"/>
      <c r="J85" s="107"/>
      <c r="K85" s="108"/>
      <c r="L85" s="108"/>
      <c r="M85" s="104"/>
      <c r="N85" s="104"/>
      <c r="O85" s="104"/>
      <c r="P85" s="104"/>
      <c r="Q85" s="104"/>
      <c r="R85" s="105"/>
      <c r="S85" s="105"/>
      <c r="T85" s="105"/>
      <c r="U85" s="105"/>
      <c r="V85" s="105"/>
      <c r="W85" s="3"/>
    </row>
    <row r="86" spans="1:23" ht="15.75" hidden="1" customHeight="1">
      <c r="A86" s="103"/>
      <c r="B86" s="103"/>
      <c r="C86" s="104"/>
      <c r="D86" s="104"/>
      <c r="E86" s="104"/>
      <c r="F86" s="105"/>
      <c r="G86" s="105"/>
      <c r="H86" s="106"/>
      <c r="I86" s="106"/>
      <c r="J86" s="107"/>
      <c r="K86" s="108"/>
      <c r="L86" s="108"/>
      <c r="M86" s="104"/>
      <c r="N86" s="104"/>
      <c r="O86" s="104"/>
      <c r="P86" s="104"/>
      <c r="Q86" s="104"/>
      <c r="R86" s="105"/>
      <c r="S86" s="105"/>
      <c r="T86" s="105"/>
      <c r="U86" s="105"/>
      <c r="V86" s="105"/>
      <c r="W86" s="3"/>
    </row>
    <row r="87" spans="1:23" ht="15.75" hidden="1" customHeight="1">
      <c r="A87" s="103"/>
      <c r="B87" s="103"/>
      <c r="C87" s="104"/>
      <c r="D87" s="104"/>
      <c r="E87" s="104"/>
      <c r="F87" s="105"/>
      <c r="G87" s="105"/>
      <c r="H87" s="106"/>
      <c r="I87" s="106"/>
      <c r="J87" s="107"/>
      <c r="K87" s="108"/>
      <c r="L87" s="108"/>
      <c r="M87" s="104"/>
      <c r="N87" s="104"/>
      <c r="O87" s="104"/>
      <c r="P87" s="104"/>
      <c r="Q87" s="104"/>
      <c r="R87" s="105"/>
      <c r="S87" s="105"/>
      <c r="T87" s="105"/>
      <c r="U87" s="105"/>
      <c r="V87" s="105"/>
      <c r="W87" s="3"/>
    </row>
    <row r="88" spans="1:23" ht="15.75" hidden="1" customHeight="1">
      <c r="A88" s="103"/>
      <c r="B88" s="103"/>
      <c r="C88" s="104"/>
      <c r="D88" s="104"/>
      <c r="E88" s="104"/>
      <c r="F88" s="105"/>
      <c r="G88" s="105"/>
      <c r="H88" s="106"/>
      <c r="I88" s="106"/>
      <c r="J88" s="107"/>
      <c r="K88" s="108"/>
      <c r="L88" s="108"/>
      <c r="M88" s="104"/>
      <c r="N88" s="104"/>
      <c r="O88" s="104"/>
      <c r="P88" s="104"/>
      <c r="Q88" s="104"/>
      <c r="R88" s="105"/>
      <c r="S88" s="105"/>
      <c r="T88" s="105"/>
      <c r="U88" s="105"/>
      <c r="V88" s="105"/>
      <c r="W88" s="3"/>
    </row>
    <row r="89" spans="1:23" ht="15.75" hidden="1" customHeight="1">
      <c r="A89" s="103"/>
      <c r="B89" s="103"/>
      <c r="C89" s="104"/>
      <c r="D89" s="104"/>
      <c r="E89" s="104"/>
      <c r="F89" s="105"/>
      <c r="G89" s="105"/>
      <c r="H89" s="106"/>
      <c r="I89" s="106"/>
      <c r="J89" s="107"/>
      <c r="K89" s="108"/>
      <c r="L89" s="108"/>
      <c r="M89" s="104"/>
      <c r="N89" s="104"/>
      <c r="O89" s="104"/>
      <c r="P89" s="104"/>
      <c r="Q89" s="104"/>
      <c r="R89" s="105"/>
      <c r="S89" s="105"/>
      <c r="T89" s="105"/>
      <c r="U89" s="105"/>
      <c r="V89" s="105"/>
      <c r="W89" s="3"/>
    </row>
    <row r="90" spans="1:23" ht="15.75" hidden="1" customHeight="1">
      <c r="A90" s="103"/>
      <c r="B90" s="103"/>
      <c r="C90" s="104"/>
      <c r="D90" s="104"/>
      <c r="E90" s="104"/>
      <c r="F90" s="105"/>
      <c r="G90" s="105"/>
      <c r="H90" s="106"/>
      <c r="I90" s="106"/>
      <c r="J90" s="107"/>
      <c r="K90" s="108"/>
      <c r="L90" s="108"/>
      <c r="M90" s="104"/>
      <c r="N90" s="104"/>
      <c r="O90" s="104"/>
      <c r="P90" s="104"/>
      <c r="Q90" s="104"/>
      <c r="R90" s="105"/>
      <c r="S90" s="105"/>
      <c r="T90" s="105"/>
      <c r="U90" s="105"/>
      <c r="V90" s="105"/>
      <c r="W90" s="3"/>
    </row>
    <row r="91" spans="1:23" ht="15.75" hidden="1" customHeight="1">
      <c r="A91" s="103"/>
      <c r="B91" s="103"/>
      <c r="C91" s="104"/>
      <c r="D91" s="104"/>
      <c r="E91" s="104"/>
      <c r="F91" s="105"/>
      <c r="G91" s="105"/>
      <c r="H91" s="106"/>
      <c r="I91" s="106"/>
      <c r="J91" s="107"/>
      <c r="K91" s="108"/>
      <c r="L91" s="108"/>
      <c r="M91" s="104"/>
      <c r="N91" s="104"/>
      <c r="O91" s="104"/>
      <c r="P91" s="104"/>
      <c r="Q91" s="104"/>
      <c r="R91" s="105"/>
      <c r="S91" s="105"/>
      <c r="T91" s="105"/>
      <c r="U91" s="105"/>
      <c r="V91" s="105"/>
      <c r="W91" s="3"/>
    </row>
    <row r="92" spans="1:23" ht="15.75" hidden="1" customHeight="1">
      <c r="A92" s="103"/>
      <c r="B92" s="103"/>
      <c r="C92" s="104"/>
      <c r="D92" s="104"/>
      <c r="E92" s="104"/>
      <c r="F92" s="105"/>
      <c r="G92" s="105"/>
      <c r="H92" s="106"/>
      <c r="I92" s="106"/>
      <c r="J92" s="107"/>
      <c r="K92" s="108"/>
      <c r="L92" s="108"/>
      <c r="M92" s="104"/>
      <c r="N92" s="104"/>
      <c r="O92" s="104"/>
      <c r="P92" s="104"/>
      <c r="Q92" s="104"/>
      <c r="R92" s="105"/>
      <c r="S92" s="105"/>
      <c r="T92" s="105"/>
      <c r="U92" s="105"/>
      <c r="V92" s="105"/>
      <c r="W92" s="3"/>
    </row>
    <row r="93" spans="1:23" ht="15.75" hidden="1" customHeight="1">
      <c r="A93" s="103"/>
      <c r="B93" s="103"/>
      <c r="C93" s="104"/>
      <c r="D93" s="104"/>
      <c r="E93" s="104"/>
      <c r="F93" s="105"/>
      <c r="G93" s="105"/>
      <c r="H93" s="106"/>
      <c r="I93" s="106"/>
      <c r="J93" s="107"/>
      <c r="K93" s="108"/>
      <c r="L93" s="108"/>
      <c r="M93" s="104"/>
      <c r="N93" s="104"/>
      <c r="O93" s="104"/>
      <c r="P93" s="104"/>
      <c r="Q93" s="104"/>
      <c r="R93" s="105"/>
      <c r="S93" s="105"/>
      <c r="T93" s="105"/>
      <c r="U93" s="105"/>
      <c r="V93" s="105"/>
      <c r="W93" s="3"/>
    </row>
    <row r="94" spans="1:23" ht="15.75" hidden="1" customHeight="1">
      <c r="A94" s="103"/>
      <c r="B94" s="103"/>
      <c r="C94" s="104"/>
      <c r="D94" s="104"/>
      <c r="E94" s="104"/>
      <c r="F94" s="105"/>
      <c r="G94" s="105"/>
      <c r="H94" s="106"/>
      <c r="I94" s="106"/>
      <c r="J94" s="107"/>
      <c r="K94" s="108"/>
      <c r="L94" s="108"/>
      <c r="M94" s="104"/>
      <c r="N94" s="104"/>
      <c r="O94" s="104"/>
      <c r="P94" s="104"/>
      <c r="Q94" s="104"/>
      <c r="R94" s="105"/>
      <c r="S94" s="105"/>
      <c r="T94" s="105"/>
      <c r="U94" s="105"/>
      <c r="V94" s="105"/>
      <c r="W94" s="3"/>
    </row>
    <row r="95" spans="1:23" ht="15.75" hidden="1" customHeight="1">
      <c r="A95" s="103"/>
      <c r="B95" s="103"/>
      <c r="C95" s="104"/>
      <c r="D95" s="104"/>
      <c r="E95" s="104"/>
      <c r="F95" s="105"/>
      <c r="G95" s="105"/>
      <c r="H95" s="106"/>
      <c r="I95" s="106"/>
      <c r="J95" s="107"/>
      <c r="K95" s="108"/>
      <c r="L95" s="108"/>
      <c r="M95" s="104"/>
      <c r="N95" s="104"/>
      <c r="O95" s="104"/>
      <c r="P95" s="104"/>
      <c r="Q95" s="104"/>
      <c r="R95" s="105"/>
      <c r="S95" s="105"/>
      <c r="T95" s="105"/>
      <c r="U95" s="105"/>
      <c r="V95" s="105"/>
      <c r="W95" s="3"/>
    </row>
    <row r="96" spans="1:23" ht="15.75" hidden="1" customHeight="1">
      <c r="A96" s="103"/>
      <c r="B96" s="103"/>
      <c r="C96" s="104"/>
      <c r="D96" s="104"/>
      <c r="E96" s="104"/>
      <c r="F96" s="105"/>
      <c r="G96" s="105"/>
      <c r="H96" s="106"/>
      <c r="I96" s="106"/>
      <c r="J96" s="107"/>
      <c r="K96" s="108"/>
      <c r="L96" s="108"/>
      <c r="M96" s="104"/>
      <c r="N96" s="104"/>
      <c r="O96" s="104"/>
      <c r="P96" s="104"/>
      <c r="Q96" s="104"/>
      <c r="R96" s="105"/>
      <c r="S96" s="105"/>
      <c r="T96" s="105"/>
      <c r="U96" s="105"/>
      <c r="V96" s="105"/>
      <c r="W96" s="3"/>
    </row>
    <row r="97" spans="1:23" ht="15.75" hidden="1" customHeight="1">
      <c r="A97" s="103"/>
      <c r="B97" s="103"/>
      <c r="C97" s="104"/>
      <c r="D97" s="104"/>
      <c r="E97" s="104"/>
      <c r="F97" s="105"/>
      <c r="G97" s="105"/>
      <c r="H97" s="106"/>
      <c r="I97" s="106"/>
      <c r="J97" s="107"/>
      <c r="K97" s="108"/>
      <c r="L97" s="108"/>
      <c r="M97" s="104"/>
      <c r="N97" s="104"/>
      <c r="O97" s="104"/>
      <c r="P97" s="104"/>
      <c r="Q97" s="104"/>
      <c r="R97" s="105"/>
      <c r="S97" s="105"/>
      <c r="T97" s="105"/>
      <c r="U97" s="105"/>
      <c r="V97" s="105"/>
      <c r="W97" s="3"/>
    </row>
    <row r="98" spans="1:23" ht="15.75" hidden="1" customHeight="1">
      <c r="A98" s="103"/>
      <c r="B98" s="103"/>
      <c r="C98" s="104"/>
      <c r="D98" s="104"/>
      <c r="E98" s="104"/>
      <c r="F98" s="105"/>
      <c r="G98" s="105"/>
      <c r="H98" s="106"/>
      <c r="I98" s="106"/>
      <c r="J98" s="107"/>
      <c r="K98" s="108"/>
      <c r="L98" s="108"/>
      <c r="M98" s="104"/>
      <c r="N98" s="104"/>
      <c r="O98" s="104"/>
      <c r="P98" s="104"/>
      <c r="Q98" s="104"/>
      <c r="R98" s="105"/>
      <c r="S98" s="105"/>
      <c r="T98" s="105"/>
      <c r="U98" s="105"/>
      <c r="V98" s="105"/>
      <c r="W98" s="3"/>
    </row>
    <row r="99" spans="1:23" ht="15.75" hidden="1" customHeight="1">
      <c r="A99" s="103"/>
      <c r="B99" s="103"/>
      <c r="C99" s="104"/>
      <c r="D99" s="104"/>
      <c r="E99" s="104"/>
      <c r="F99" s="105"/>
      <c r="G99" s="105"/>
      <c r="H99" s="106"/>
      <c r="I99" s="106"/>
      <c r="J99" s="107"/>
      <c r="K99" s="108"/>
      <c r="L99" s="108"/>
      <c r="M99" s="104"/>
      <c r="N99" s="104"/>
      <c r="O99" s="104"/>
      <c r="P99" s="104"/>
      <c r="Q99" s="104"/>
      <c r="R99" s="105"/>
      <c r="S99" s="105"/>
      <c r="T99" s="105"/>
      <c r="U99" s="105"/>
      <c r="V99" s="105"/>
      <c r="W99" s="3"/>
    </row>
    <row r="100" spans="1:23" ht="15.75" hidden="1" customHeight="1">
      <c r="A100" s="103"/>
      <c r="B100" s="103"/>
      <c r="C100" s="104"/>
      <c r="D100" s="104"/>
      <c r="E100" s="104"/>
      <c r="F100" s="105"/>
      <c r="G100" s="105"/>
      <c r="H100" s="106"/>
      <c r="I100" s="106"/>
      <c r="J100" s="107"/>
      <c r="K100" s="108"/>
      <c r="L100" s="108"/>
      <c r="M100" s="104"/>
      <c r="N100" s="104"/>
      <c r="O100" s="104"/>
      <c r="P100" s="104"/>
      <c r="Q100" s="104"/>
      <c r="R100" s="105"/>
      <c r="S100" s="105"/>
      <c r="T100" s="105"/>
      <c r="U100" s="105"/>
      <c r="V100" s="105"/>
      <c r="W100" s="3"/>
    </row>
    <row r="101" spans="1:23" ht="15.75" hidden="1" customHeight="1">
      <c r="A101" s="103"/>
      <c r="B101" s="103"/>
      <c r="C101" s="104"/>
      <c r="D101" s="104"/>
      <c r="E101" s="104"/>
      <c r="F101" s="105"/>
      <c r="G101" s="105"/>
      <c r="H101" s="106"/>
      <c r="I101" s="106"/>
      <c r="J101" s="107"/>
      <c r="K101" s="108"/>
      <c r="L101" s="108"/>
      <c r="M101" s="104"/>
      <c r="N101" s="104"/>
      <c r="O101" s="104"/>
      <c r="P101" s="104"/>
      <c r="Q101" s="104"/>
      <c r="R101" s="105"/>
      <c r="S101" s="105"/>
      <c r="T101" s="105"/>
      <c r="U101" s="105"/>
      <c r="V101" s="105"/>
      <c r="W101" s="3"/>
    </row>
    <row r="102" spans="1:23" ht="15.75" hidden="1" customHeight="1">
      <c r="A102" s="103"/>
      <c r="B102" s="103"/>
      <c r="C102" s="104"/>
      <c r="D102" s="104"/>
      <c r="E102" s="104"/>
      <c r="F102" s="105"/>
      <c r="G102" s="105"/>
      <c r="H102" s="106"/>
      <c r="I102" s="106"/>
      <c r="J102" s="107"/>
      <c r="K102" s="108"/>
      <c r="L102" s="108"/>
      <c r="M102" s="104"/>
      <c r="N102" s="104"/>
      <c r="O102" s="104"/>
      <c r="P102" s="104"/>
      <c r="Q102" s="104"/>
      <c r="R102" s="105"/>
      <c r="S102" s="105"/>
      <c r="T102" s="105"/>
      <c r="U102" s="105"/>
      <c r="V102" s="105"/>
      <c r="W102" s="3"/>
    </row>
    <row r="103" spans="1:23" ht="15.75" hidden="1" customHeight="1">
      <c r="A103" s="103"/>
      <c r="B103" s="103"/>
      <c r="C103" s="104"/>
      <c r="D103" s="104"/>
      <c r="E103" s="104"/>
      <c r="F103" s="105"/>
      <c r="G103" s="105"/>
      <c r="H103" s="106"/>
      <c r="I103" s="106"/>
      <c r="J103" s="107"/>
      <c r="K103" s="108"/>
      <c r="L103" s="108"/>
      <c r="M103" s="104"/>
      <c r="N103" s="104"/>
      <c r="O103" s="104"/>
      <c r="P103" s="104"/>
      <c r="Q103" s="104"/>
      <c r="R103" s="105"/>
      <c r="S103" s="105"/>
      <c r="T103" s="105"/>
      <c r="U103" s="105"/>
      <c r="V103" s="105"/>
      <c r="W103" s="3"/>
    </row>
    <row r="104" spans="1:23" ht="15.75" hidden="1" customHeight="1">
      <c r="A104" s="103"/>
      <c r="B104" s="103"/>
      <c r="C104" s="104"/>
      <c r="D104" s="104"/>
      <c r="E104" s="104"/>
      <c r="F104" s="105"/>
      <c r="G104" s="105"/>
      <c r="H104" s="106"/>
      <c r="I104" s="106"/>
      <c r="J104" s="107"/>
      <c r="K104" s="108"/>
      <c r="L104" s="108"/>
      <c r="M104" s="104"/>
      <c r="N104" s="104"/>
      <c r="O104" s="104"/>
      <c r="P104" s="104"/>
      <c r="Q104" s="104"/>
      <c r="R104" s="105"/>
      <c r="S104" s="105"/>
      <c r="T104" s="105"/>
      <c r="U104" s="105"/>
      <c r="V104" s="105"/>
      <c r="W104" s="3"/>
    </row>
    <row r="105" spans="1:23" ht="15.75" hidden="1" customHeight="1">
      <c r="A105" s="103"/>
      <c r="B105" s="103"/>
      <c r="C105" s="104"/>
      <c r="D105" s="104"/>
      <c r="E105" s="104"/>
      <c r="F105" s="105"/>
      <c r="G105" s="105"/>
      <c r="H105" s="106"/>
      <c r="I105" s="106"/>
      <c r="J105" s="107"/>
      <c r="K105" s="108"/>
      <c r="L105" s="108"/>
      <c r="M105" s="104"/>
      <c r="N105" s="104"/>
      <c r="O105" s="104"/>
      <c r="P105" s="104"/>
      <c r="Q105" s="104"/>
      <c r="R105" s="105"/>
      <c r="S105" s="105"/>
      <c r="T105" s="105"/>
      <c r="U105" s="105"/>
      <c r="V105" s="105"/>
      <c r="W105" s="3"/>
    </row>
    <row r="106" spans="1:23" ht="15.75" hidden="1" customHeight="1">
      <c r="A106" s="103"/>
      <c r="B106" s="103"/>
      <c r="C106" s="104"/>
      <c r="D106" s="104"/>
      <c r="E106" s="104"/>
      <c r="F106" s="105"/>
      <c r="G106" s="105"/>
      <c r="H106" s="106"/>
      <c r="I106" s="106"/>
      <c r="J106" s="107"/>
      <c r="K106" s="108"/>
      <c r="L106" s="108"/>
      <c r="M106" s="104"/>
      <c r="N106" s="104"/>
      <c r="O106" s="104"/>
      <c r="P106" s="104"/>
      <c r="Q106" s="104"/>
      <c r="R106" s="105"/>
      <c r="S106" s="105"/>
      <c r="T106" s="105"/>
      <c r="U106" s="105"/>
      <c r="V106" s="105"/>
      <c r="W106" s="3"/>
    </row>
    <row r="107" spans="1:23" ht="15.75" hidden="1" customHeight="1">
      <c r="A107" s="103"/>
      <c r="B107" s="103"/>
      <c r="C107" s="104"/>
      <c r="D107" s="104"/>
      <c r="E107" s="104"/>
      <c r="F107" s="105"/>
      <c r="G107" s="105"/>
      <c r="H107" s="106"/>
      <c r="I107" s="106"/>
      <c r="J107" s="107"/>
      <c r="K107" s="108"/>
      <c r="L107" s="108"/>
      <c r="M107" s="104"/>
      <c r="N107" s="104"/>
      <c r="O107" s="104"/>
      <c r="P107" s="104"/>
      <c r="Q107" s="104"/>
      <c r="R107" s="105"/>
      <c r="S107" s="105"/>
      <c r="T107" s="105"/>
      <c r="U107" s="105"/>
      <c r="V107" s="105"/>
      <c r="W107" s="3"/>
    </row>
    <row r="108" spans="1:23" ht="15.75" hidden="1" customHeight="1">
      <c r="A108" s="103"/>
      <c r="B108" s="103"/>
      <c r="C108" s="104"/>
      <c r="D108" s="104"/>
      <c r="E108" s="104"/>
      <c r="F108" s="105"/>
      <c r="G108" s="105"/>
      <c r="H108" s="106"/>
      <c r="I108" s="106"/>
      <c r="J108" s="107"/>
      <c r="K108" s="108"/>
      <c r="L108" s="108"/>
      <c r="M108" s="104"/>
      <c r="N108" s="104"/>
      <c r="O108" s="104"/>
      <c r="P108" s="104"/>
      <c r="Q108" s="104"/>
      <c r="R108" s="105"/>
      <c r="S108" s="105"/>
      <c r="T108" s="105"/>
      <c r="U108" s="105"/>
      <c r="V108" s="105"/>
      <c r="W108" s="3"/>
    </row>
    <row r="109" spans="1:23" ht="15.75" hidden="1" customHeight="1">
      <c r="A109" s="103"/>
      <c r="B109" s="103"/>
      <c r="C109" s="104"/>
      <c r="D109" s="104"/>
      <c r="E109" s="104"/>
      <c r="F109" s="105"/>
      <c r="G109" s="105"/>
      <c r="H109" s="106"/>
      <c r="I109" s="106"/>
      <c r="J109" s="107"/>
      <c r="K109" s="108"/>
      <c r="L109" s="108"/>
      <c r="M109" s="104"/>
      <c r="N109" s="104"/>
      <c r="O109" s="104"/>
      <c r="P109" s="104"/>
      <c r="Q109" s="104"/>
      <c r="R109" s="105"/>
      <c r="S109" s="105"/>
      <c r="T109" s="105"/>
      <c r="U109" s="105"/>
      <c r="V109" s="105"/>
      <c r="W109" s="3"/>
    </row>
    <row r="110" spans="1:23" ht="15.75" hidden="1" customHeight="1">
      <c r="A110" s="103"/>
      <c r="B110" s="103"/>
      <c r="C110" s="104"/>
      <c r="D110" s="104"/>
      <c r="E110" s="104"/>
      <c r="F110" s="105"/>
      <c r="G110" s="105"/>
      <c r="H110" s="106"/>
      <c r="I110" s="106"/>
      <c r="J110" s="107"/>
      <c r="K110" s="108"/>
      <c r="L110" s="108"/>
      <c r="M110" s="104"/>
      <c r="N110" s="104"/>
      <c r="O110" s="104"/>
      <c r="P110" s="104"/>
      <c r="Q110" s="104"/>
      <c r="R110" s="105"/>
      <c r="S110" s="105"/>
      <c r="T110" s="105"/>
      <c r="U110" s="105"/>
      <c r="V110" s="105"/>
      <c r="W110" s="3"/>
    </row>
    <row r="111" spans="1:23" ht="15.75" hidden="1" customHeight="1">
      <c r="A111" s="103"/>
      <c r="B111" s="103"/>
      <c r="C111" s="104"/>
      <c r="D111" s="104"/>
      <c r="E111" s="104"/>
      <c r="F111" s="105"/>
      <c r="G111" s="105"/>
      <c r="H111" s="106"/>
      <c r="I111" s="106"/>
      <c r="J111" s="107"/>
      <c r="K111" s="108"/>
      <c r="L111" s="108"/>
      <c r="M111" s="104"/>
      <c r="N111" s="104"/>
      <c r="O111" s="104"/>
      <c r="P111" s="104"/>
      <c r="Q111" s="104"/>
      <c r="R111" s="105"/>
      <c r="S111" s="105"/>
      <c r="T111" s="105"/>
      <c r="U111" s="105"/>
      <c r="V111" s="105"/>
      <c r="W111" s="3"/>
    </row>
    <row r="112" spans="1:23" ht="15.75" hidden="1" customHeight="1">
      <c r="A112" s="103"/>
      <c r="B112" s="103"/>
      <c r="C112" s="104"/>
      <c r="D112" s="104"/>
      <c r="E112" s="104"/>
      <c r="F112" s="105"/>
      <c r="G112" s="105"/>
      <c r="H112" s="106"/>
      <c r="I112" s="106"/>
      <c r="J112" s="107"/>
      <c r="K112" s="108"/>
      <c r="L112" s="108"/>
      <c r="M112" s="104"/>
      <c r="N112" s="104"/>
      <c r="O112" s="104"/>
      <c r="P112" s="104"/>
      <c r="Q112" s="104"/>
      <c r="R112" s="105"/>
      <c r="S112" s="105"/>
      <c r="T112" s="105"/>
      <c r="U112" s="105"/>
      <c r="V112" s="105"/>
      <c r="W112" s="3"/>
    </row>
    <row r="113" spans="1:23" ht="15.75" hidden="1" customHeight="1">
      <c r="A113" s="103"/>
      <c r="B113" s="103"/>
      <c r="C113" s="104"/>
      <c r="D113" s="104"/>
      <c r="E113" s="104"/>
      <c r="F113" s="105"/>
      <c r="G113" s="105"/>
      <c r="H113" s="106"/>
      <c r="I113" s="106"/>
      <c r="J113" s="107"/>
      <c r="K113" s="108"/>
      <c r="L113" s="108"/>
      <c r="M113" s="104"/>
      <c r="N113" s="104"/>
      <c r="O113" s="104"/>
      <c r="P113" s="104"/>
      <c r="Q113" s="104"/>
      <c r="R113" s="105"/>
      <c r="S113" s="105"/>
      <c r="T113" s="105"/>
      <c r="U113" s="105"/>
      <c r="V113" s="105"/>
      <c r="W113" s="3"/>
    </row>
    <row r="114" spans="1:23" ht="15.75" hidden="1" customHeight="1">
      <c r="A114" s="103"/>
      <c r="B114" s="103"/>
      <c r="C114" s="104"/>
      <c r="D114" s="104"/>
      <c r="E114" s="104"/>
      <c r="F114" s="105"/>
      <c r="G114" s="105"/>
      <c r="H114" s="106"/>
      <c r="I114" s="106"/>
      <c r="J114" s="107"/>
      <c r="K114" s="108"/>
      <c r="L114" s="108"/>
      <c r="M114" s="104"/>
      <c r="N114" s="104"/>
      <c r="O114" s="104"/>
      <c r="P114" s="104"/>
      <c r="Q114" s="104"/>
      <c r="R114" s="105"/>
      <c r="S114" s="105"/>
      <c r="T114" s="105"/>
      <c r="U114" s="105"/>
      <c r="V114" s="105"/>
      <c r="W114" s="3"/>
    </row>
    <row r="115" spans="1:23" ht="15.75" hidden="1" customHeight="1">
      <c r="A115" s="103"/>
      <c r="B115" s="103"/>
      <c r="C115" s="104"/>
      <c r="D115" s="104"/>
      <c r="E115" s="104"/>
      <c r="F115" s="105"/>
      <c r="G115" s="105"/>
      <c r="H115" s="106"/>
      <c r="I115" s="106"/>
      <c r="J115" s="107"/>
      <c r="K115" s="108"/>
      <c r="L115" s="108"/>
      <c r="M115" s="104"/>
      <c r="N115" s="104"/>
      <c r="O115" s="104"/>
      <c r="P115" s="104"/>
      <c r="Q115" s="104"/>
      <c r="R115" s="105"/>
      <c r="S115" s="105"/>
      <c r="T115" s="105"/>
      <c r="U115" s="105"/>
      <c r="V115" s="105"/>
      <c r="W115" s="3"/>
    </row>
    <row r="116" spans="1:23" ht="15.75" hidden="1" customHeight="1">
      <c r="A116" s="103"/>
      <c r="B116" s="103"/>
      <c r="C116" s="104"/>
      <c r="D116" s="104"/>
      <c r="E116" s="104"/>
      <c r="F116" s="105"/>
      <c r="G116" s="105"/>
      <c r="H116" s="106"/>
      <c r="I116" s="106"/>
      <c r="J116" s="107"/>
      <c r="K116" s="108"/>
      <c r="L116" s="108"/>
      <c r="M116" s="104"/>
      <c r="N116" s="104"/>
      <c r="O116" s="104"/>
      <c r="P116" s="104"/>
      <c r="Q116" s="104"/>
      <c r="R116" s="105"/>
      <c r="S116" s="105"/>
      <c r="T116" s="105"/>
      <c r="U116" s="105"/>
      <c r="V116" s="105"/>
      <c r="W116" s="3"/>
    </row>
    <row r="117" spans="1:23" ht="15.75" hidden="1" customHeight="1">
      <c r="A117" s="103"/>
      <c r="B117" s="103"/>
      <c r="C117" s="104"/>
      <c r="D117" s="104"/>
      <c r="E117" s="104"/>
      <c r="F117" s="105"/>
      <c r="G117" s="105"/>
      <c r="H117" s="106"/>
      <c r="I117" s="106"/>
      <c r="J117" s="107"/>
      <c r="K117" s="108"/>
      <c r="L117" s="108"/>
      <c r="M117" s="104"/>
      <c r="N117" s="104"/>
      <c r="O117" s="104"/>
      <c r="P117" s="104"/>
      <c r="Q117" s="104"/>
      <c r="R117" s="105"/>
      <c r="S117" s="105"/>
      <c r="T117" s="105"/>
      <c r="U117" s="105"/>
      <c r="V117" s="105"/>
      <c r="W117" s="3"/>
    </row>
    <row r="118" spans="1:23" ht="15.75" hidden="1" customHeight="1">
      <c r="A118" s="103"/>
      <c r="B118" s="103"/>
      <c r="C118" s="104"/>
      <c r="D118" s="104"/>
      <c r="E118" s="104"/>
      <c r="F118" s="105"/>
      <c r="G118" s="105"/>
      <c r="H118" s="106"/>
      <c r="I118" s="106"/>
      <c r="J118" s="107"/>
      <c r="K118" s="108"/>
      <c r="L118" s="108"/>
      <c r="M118" s="104"/>
      <c r="N118" s="104"/>
      <c r="O118" s="104"/>
      <c r="P118" s="104"/>
      <c r="Q118" s="104"/>
      <c r="R118" s="105"/>
      <c r="S118" s="105"/>
      <c r="T118" s="105"/>
      <c r="U118" s="105"/>
      <c r="V118" s="105"/>
      <c r="W118" s="3"/>
    </row>
    <row r="119" spans="1:23" ht="15.75" hidden="1" customHeight="1">
      <c r="A119" s="103"/>
      <c r="B119" s="103"/>
      <c r="C119" s="104"/>
      <c r="D119" s="104"/>
      <c r="E119" s="104"/>
      <c r="F119" s="105"/>
      <c r="G119" s="105"/>
      <c r="H119" s="106"/>
      <c r="I119" s="106"/>
      <c r="J119" s="107"/>
      <c r="K119" s="108"/>
      <c r="L119" s="108"/>
      <c r="M119" s="104"/>
      <c r="N119" s="104"/>
      <c r="O119" s="104"/>
      <c r="P119" s="104"/>
      <c r="Q119" s="104"/>
      <c r="R119" s="105"/>
      <c r="S119" s="105"/>
      <c r="T119" s="105"/>
      <c r="U119" s="105"/>
      <c r="V119" s="105"/>
      <c r="W119" s="3"/>
    </row>
    <row r="120" spans="1:23" ht="15.75" hidden="1" customHeight="1">
      <c r="A120" s="103"/>
      <c r="B120" s="103"/>
      <c r="C120" s="104"/>
      <c r="D120" s="104"/>
      <c r="E120" s="104"/>
      <c r="F120" s="105"/>
      <c r="G120" s="105"/>
      <c r="H120" s="106"/>
      <c r="I120" s="106"/>
      <c r="J120" s="107"/>
      <c r="K120" s="108"/>
      <c r="L120" s="108"/>
      <c r="M120" s="104"/>
      <c r="N120" s="104"/>
      <c r="O120" s="104"/>
      <c r="P120" s="104"/>
      <c r="Q120" s="104"/>
      <c r="R120" s="105"/>
      <c r="S120" s="105"/>
      <c r="T120" s="105"/>
      <c r="U120" s="105"/>
      <c r="V120" s="105"/>
      <c r="W120" s="3"/>
    </row>
    <row r="121" spans="1:23" ht="15.75" hidden="1" customHeight="1">
      <c r="A121" s="103"/>
      <c r="B121" s="103"/>
      <c r="C121" s="104"/>
      <c r="D121" s="104"/>
      <c r="E121" s="104"/>
      <c r="F121" s="105"/>
      <c r="G121" s="105"/>
      <c r="H121" s="106"/>
      <c r="I121" s="106"/>
      <c r="J121" s="107"/>
      <c r="K121" s="108"/>
      <c r="L121" s="108"/>
      <c r="M121" s="104"/>
      <c r="N121" s="104"/>
      <c r="O121" s="104"/>
      <c r="P121" s="104"/>
      <c r="Q121" s="104"/>
      <c r="R121" s="105"/>
      <c r="S121" s="105"/>
      <c r="T121" s="105"/>
      <c r="U121" s="105"/>
      <c r="V121" s="105"/>
      <c r="W121" s="3"/>
    </row>
    <row r="122" spans="1:23" ht="15.75" hidden="1" customHeight="1">
      <c r="A122" s="103"/>
      <c r="B122" s="103"/>
      <c r="C122" s="104"/>
      <c r="D122" s="104"/>
      <c r="E122" s="104"/>
      <c r="F122" s="105"/>
      <c r="G122" s="105"/>
      <c r="H122" s="106"/>
      <c r="I122" s="106"/>
      <c r="J122" s="107"/>
      <c r="K122" s="108"/>
      <c r="L122" s="108"/>
      <c r="M122" s="104"/>
      <c r="N122" s="104"/>
      <c r="O122" s="104"/>
      <c r="P122" s="104"/>
      <c r="Q122" s="104"/>
      <c r="R122" s="105"/>
      <c r="S122" s="105"/>
      <c r="T122" s="105"/>
      <c r="U122" s="105"/>
      <c r="V122" s="105"/>
      <c r="W122" s="3"/>
    </row>
    <row r="123" spans="1:23" ht="15.75" hidden="1" customHeight="1">
      <c r="A123" s="103"/>
      <c r="B123" s="103"/>
      <c r="C123" s="104"/>
      <c r="D123" s="104"/>
      <c r="E123" s="104"/>
      <c r="F123" s="105"/>
      <c r="G123" s="105"/>
      <c r="H123" s="106"/>
      <c r="I123" s="106"/>
      <c r="J123" s="107"/>
      <c r="K123" s="108"/>
      <c r="L123" s="108"/>
      <c r="M123" s="104"/>
      <c r="N123" s="104"/>
      <c r="O123" s="104"/>
      <c r="P123" s="104"/>
      <c r="Q123" s="104"/>
      <c r="R123" s="105"/>
      <c r="S123" s="105"/>
      <c r="T123" s="105"/>
      <c r="U123" s="105"/>
      <c r="V123" s="105"/>
      <c r="W123" s="3"/>
    </row>
    <row r="124" spans="1:23" ht="15.75" hidden="1" customHeight="1">
      <c r="A124" s="103"/>
      <c r="B124" s="103"/>
      <c r="C124" s="104"/>
      <c r="D124" s="104"/>
      <c r="E124" s="104"/>
      <c r="F124" s="105"/>
      <c r="G124" s="105"/>
      <c r="H124" s="106"/>
      <c r="I124" s="106"/>
      <c r="J124" s="107"/>
      <c r="K124" s="108"/>
      <c r="L124" s="108"/>
      <c r="M124" s="104"/>
      <c r="N124" s="104"/>
      <c r="O124" s="104"/>
      <c r="P124" s="104"/>
      <c r="Q124" s="104"/>
      <c r="R124" s="105"/>
      <c r="S124" s="105"/>
      <c r="T124" s="105"/>
      <c r="U124" s="105"/>
      <c r="V124" s="105"/>
      <c r="W124" s="3"/>
    </row>
    <row r="125" spans="1:23" ht="15.75" hidden="1" customHeight="1">
      <c r="A125" s="103"/>
      <c r="B125" s="103"/>
      <c r="C125" s="104"/>
      <c r="D125" s="104"/>
      <c r="E125" s="104"/>
      <c r="F125" s="105"/>
      <c r="G125" s="105"/>
      <c r="H125" s="106"/>
      <c r="I125" s="106"/>
      <c r="J125" s="107"/>
      <c r="K125" s="108"/>
      <c r="L125" s="108"/>
      <c r="M125" s="104"/>
      <c r="N125" s="104"/>
      <c r="O125" s="104"/>
      <c r="P125" s="104"/>
      <c r="Q125" s="104"/>
      <c r="R125" s="105"/>
      <c r="S125" s="105"/>
      <c r="T125" s="105"/>
      <c r="U125" s="105"/>
      <c r="V125" s="105"/>
      <c r="W125" s="3"/>
    </row>
    <row r="126" spans="1:23" ht="15.75" hidden="1" customHeight="1">
      <c r="A126" s="103"/>
      <c r="B126" s="103"/>
      <c r="C126" s="104"/>
      <c r="D126" s="104"/>
      <c r="E126" s="104"/>
      <c r="F126" s="105"/>
      <c r="G126" s="105"/>
      <c r="H126" s="106"/>
      <c r="I126" s="106"/>
      <c r="J126" s="107"/>
      <c r="K126" s="108"/>
      <c r="L126" s="108"/>
      <c r="M126" s="104"/>
      <c r="N126" s="104"/>
      <c r="O126" s="104"/>
      <c r="P126" s="104"/>
      <c r="Q126" s="104"/>
      <c r="R126" s="105"/>
      <c r="S126" s="105"/>
      <c r="T126" s="105"/>
      <c r="U126" s="105"/>
      <c r="V126" s="105"/>
      <c r="W126" s="3"/>
    </row>
    <row r="127" spans="1:23" ht="15.75" hidden="1" customHeight="1">
      <c r="A127" s="103"/>
      <c r="B127" s="103"/>
      <c r="C127" s="104"/>
      <c r="D127" s="104"/>
      <c r="E127" s="104"/>
      <c r="F127" s="105"/>
      <c r="G127" s="105"/>
      <c r="H127" s="106"/>
      <c r="I127" s="106"/>
      <c r="J127" s="107"/>
      <c r="K127" s="108"/>
      <c r="L127" s="108"/>
      <c r="M127" s="104"/>
      <c r="N127" s="104"/>
      <c r="O127" s="104"/>
      <c r="P127" s="104"/>
      <c r="Q127" s="104"/>
      <c r="R127" s="105"/>
      <c r="S127" s="105"/>
      <c r="T127" s="105"/>
      <c r="U127" s="105"/>
      <c r="V127" s="105"/>
      <c r="W127" s="3"/>
    </row>
    <row r="128" spans="1:23" ht="15.75" hidden="1" customHeight="1">
      <c r="A128" s="103"/>
      <c r="B128" s="103"/>
      <c r="C128" s="104"/>
      <c r="D128" s="104"/>
      <c r="E128" s="104"/>
      <c r="F128" s="105"/>
      <c r="G128" s="105"/>
      <c r="H128" s="106"/>
      <c r="I128" s="106"/>
      <c r="J128" s="107"/>
      <c r="K128" s="108"/>
      <c r="L128" s="108"/>
      <c r="M128" s="104"/>
      <c r="N128" s="104"/>
      <c r="O128" s="104"/>
      <c r="P128" s="104"/>
      <c r="Q128" s="104"/>
      <c r="R128" s="105"/>
      <c r="S128" s="105"/>
      <c r="T128" s="105"/>
      <c r="U128" s="105"/>
      <c r="V128" s="105"/>
      <c r="W128" s="3"/>
    </row>
    <row r="129" spans="1:23" ht="15.75" hidden="1" customHeight="1">
      <c r="A129" s="103"/>
      <c r="B129" s="103"/>
      <c r="C129" s="104"/>
      <c r="D129" s="104"/>
      <c r="E129" s="104"/>
      <c r="F129" s="105"/>
      <c r="G129" s="105"/>
      <c r="H129" s="106"/>
      <c r="I129" s="106"/>
      <c r="J129" s="107"/>
      <c r="K129" s="108"/>
      <c r="L129" s="108"/>
      <c r="M129" s="104"/>
      <c r="N129" s="104"/>
      <c r="O129" s="104"/>
      <c r="P129" s="104"/>
      <c r="Q129" s="104"/>
      <c r="R129" s="105"/>
      <c r="S129" s="105"/>
      <c r="T129" s="105"/>
      <c r="U129" s="105"/>
      <c r="V129" s="105"/>
      <c r="W129" s="3"/>
    </row>
    <row r="130" spans="1:23" ht="15.75" hidden="1" customHeight="1">
      <c r="A130" s="103"/>
      <c r="B130" s="103"/>
      <c r="C130" s="104"/>
      <c r="D130" s="104"/>
      <c r="E130" s="104"/>
      <c r="F130" s="105"/>
      <c r="G130" s="105"/>
      <c r="H130" s="106"/>
      <c r="I130" s="106"/>
      <c r="J130" s="107"/>
      <c r="K130" s="108"/>
      <c r="L130" s="108"/>
      <c r="M130" s="104"/>
      <c r="N130" s="104"/>
      <c r="O130" s="104"/>
      <c r="P130" s="104"/>
      <c r="Q130" s="104"/>
      <c r="R130" s="105"/>
      <c r="S130" s="105"/>
      <c r="T130" s="105"/>
      <c r="U130" s="105"/>
      <c r="V130" s="105"/>
      <c r="W130" s="3"/>
    </row>
    <row r="131" spans="1:23" ht="15.75" hidden="1" customHeight="1">
      <c r="A131" s="103"/>
      <c r="B131" s="103"/>
      <c r="C131" s="104"/>
      <c r="D131" s="104"/>
      <c r="E131" s="104"/>
      <c r="F131" s="105"/>
      <c r="G131" s="105"/>
      <c r="H131" s="106"/>
      <c r="I131" s="106"/>
      <c r="J131" s="107"/>
      <c r="K131" s="108"/>
      <c r="L131" s="108"/>
      <c r="M131" s="104"/>
      <c r="N131" s="104"/>
      <c r="O131" s="104"/>
      <c r="P131" s="104"/>
      <c r="Q131" s="104"/>
      <c r="R131" s="105"/>
      <c r="S131" s="105"/>
      <c r="T131" s="105"/>
      <c r="U131" s="105"/>
      <c r="V131" s="105"/>
      <c r="W131" s="3"/>
    </row>
    <row r="132" spans="1:23" ht="15.75" hidden="1" customHeight="1">
      <c r="A132" s="103"/>
      <c r="B132" s="103"/>
      <c r="C132" s="104"/>
      <c r="D132" s="104"/>
      <c r="E132" s="104"/>
      <c r="F132" s="105"/>
      <c r="G132" s="105"/>
      <c r="H132" s="106"/>
      <c r="I132" s="106"/>
      <c r="J132" s="107"/>
      <c r="K132" s="108"/>
      <c r="L132" s="108"/>
      <c r="M132" s="104"/>
      <c r="N132" s="104"/>
      <c r="O132" s="104"/>
      <c r="P132" s="104"/>
      <c r="Q132" s="104"/>
      <c r="R132" s="105"/>
      <c r="S132" s="105"/>
      <c r="T132" s="105"/>
      <c r="U132" s="105"/>
      <c r="V132" s="105"/>
      <c r="W132" s="3"/>
    </row>
    <row r="133" spans="1:23" ht="15.75" hidden="1" customHeight="1">
      <c r="A133" s="103"/>
      <c r="B133" s="103"/>
      <c r="C133" s="104"/>
      <c r="D133" s="104"/>
      <c r="E133" s="104"/>
      <c r="F133" s="105"/>
      <c r="G133" s="105"/>
      <c r="H133" s="106"/>
      <c r="I133" s="106"/>
      <c r="J133" s="107"/>
      <c r="K133" s="108"/>
      <c r="L133" s="108"/>
      <c r="M133" s="104"/>
      <c r="N133" s="104"/>
      <c r="O133" s="104"/>
      <c r="P133" s="104"/>
      <c r="Q133" s="104"/>
      <c r="R133" s="105"/>
      <c r="S133" s="105"/>
      <c r="T133" s="105"/>
      <c r="U133" s="105"/>
      <c r="V133" s="105"/>
      <c r="W133" s="3"/>
    </row>
    <row r="134" spans="1:23" ht="15.75" hidden="1" customHeight="1">
      <c r="A134" s="103"/>
      <c r="B134" s="103"/>
      <c r="C134" s="104"/>
      <c r="D134" s="104"/>
      <c r="E134" s="104"/>
      <c r="F134" s="105"/>
      <c r="G134" s="105"/>
      <c r="H134" s="106"/>
      <c r="I134" s="106"/>
      <c r="J134" s="107"/>
      <c r="K134" s="108"/>
      <c r="L134" s="108"/>
      <c r="M134" s="104"/>
      <c r="N134" s="104"/>
      <c r="O134" s="104"/>
      <c r="P134" s="104"/>
      <c r="Q134" s="104"/>
      <c r="R134" s="105"/>
      <c r="S134" s="105"/>
      <c r="T134" s="105"/>
      <c r="U134" s="105"/>
      <c r="V134" s="105"/>
      <c r="W134" s="3"/>
    </row>
    <row r="135" spans="1:23" ht="15.75" hidden="1" customHeight="1">
      <c r="A135" s="103"/>
      <c r="B135" s="103"/>
      <c r="C135" s="104"/>
      <c r="D135" s="104"/>
      <c r="E135" s="104"/>
      <c r="F135" s="105"/>
      <c r="G135" s="105"/>
      <c r="H135" s="106"/>
      <c r="I135" s="106"/>
      <c r="J135" s="107"/>
      <c r="K135" s="108"/>
      <c r="L135" s="108"/>
      <c r="M135" s="104"/>
      <c r="N135" s="104"/>
      <c r="O135" s="104"/>
      <c r="P135" s="104"/>
      <c r="Q135" s="104"/>
      <c r="R135" s="105"/>
      <c r="S135" s="105"/>
      <c r="T135" s="105"/>
      <c r="U135" s="105"/>
      <c r="V135" s="105"/>
      <c r="W135" s="3"/>
    </row>
    <row r="136" spans="1:23" ht="15.75" hidden="1" customHeight="1">
      <c r="A136" s="103"/>
      <c r="B136" s="103"/>
      <c r="C136" s="104"/>
      <c r="D136" s="104"/>
      <c r="E136" s="104"/>
      <c r="F136" s="105"/>
      <c r="G136" s="105"/>
      <c r="H136" s="106"/>
      <c r="I136" s="106"/>
      <c r="J136" s="107"/>
      <c r="K136" s="108"/>
      <c r="L136" s="108"/>
      <c r="M136" s="104"/>
      <c r="N136" s="104"/>
      <c r="O136" s="104"/>
      <c r="P136" s="104"/>
      <c r="Q136" s="104"/>
      <c r="R136" s="105"/>
      <c r="S136" s="105"/>
      <c r="T136" s="105"/>
      <c r="U136" s="105"/>
      <c r="V136" s="105"/>
      <c r="W136" s="3"/>
    </row>
    <row r="137" spans="1:23" ht="15.75" hidden="1" customHeight="1">
      <c r="A137" s="103"/>
      <c r="B137" s="103"/>
      <c r="C137" s="104"/>
      <c r="D137" s="104"/>
      <c r="E137" s="104"/>
      <c r="F137" s="105"/>
      <c r="G137" s="105"/>
      <c r="H137" s="106"/>
      <c r="I137" s="106"/>
      <c r="J137" s="107"/>
      <c r="K137" s="108"/>
      <c r="L137" s="108"/>
      <c r="M137" s="104"/>
      <c r="N137" s="104"/>
      <c r="O137" s="104"/>
      <c r="P137" s="104"/>
      <c r="Q137" s="104"/>
      <c r="R137" s="105"/>
      <c r="S137" s="105"/>
      <c r="T137" s="105"/>
      <c r="U137" s="105"/>
      <c r="V137" s="105"/>
      <c r="W137" s="3"/>
    </row>
    <row r="138" spans="1:23" ht="15.75" hidden="1" customHeight="1">
      <c r="A138" s="103"/>
      <c r="B138" s="103"/>
      <c r="C138" s="104"/>
      <c r="D138" s="104"/>
      <c r="E138" s="104"/>
      <c r="F138" s="105"/>
      <c r="G138" s="105"/>
      <c r="H138" s="106"/>
      <c r="I138" s="106"/>
      <c r="J138" s="107"/>
      <c r="K138" s="108"/>
      <c r="L138" s="108"/>
      <c r="M138" s="104"/>
      <c r="N138" s="104"/>
      <c r="O138" s="104"/>
      <c r="P138" s="104"/>
      <c r="Q138" s="104"/>
      <c r="R138" s="105"/>
      <c r="S138" s="105"/>
      <c r="T138" s="105"/>
      <c r="U138" s="105"/>
      <c r="V138" s="105"/>
      <c r="W138" s="3"/>
    </row>
    <row r="139" spans="1:23" ht="15.75" hidden="1" customHeight="1">
      <c r="A139" s="103"/>
      <c r="B139" s="103"/>
      <c r="C139" s="104"/>
      <c r="D139" s="104"/>
      <c r="E139" s="104"/>
      <c r="F139" s="105"/>
      <c r="G139" s="105"/>
      <c r="H139" s="106"/>
      <c r="I139" s="106"/>
      <c r="J139" s="107"/>
      <c r="K139" s="108"/>
      <c r="L139" s="108"/>
      <c r="M139" s="104"/>
      <c r="N139" s="104"/>
      <c r="O139" s="104"/>
      <c r="P139" s="104"/>
      <c r="Q139" s="104"/>
      <c r="R139" s="105"/>
      <c r="S139" s="105"/>
      <c r="T139" s="105"/>
      <c r="U139" s="105"/>
      <c r="V139" s="105"/>
      <c r="W139" s="3"/>
    </row>
    <row r="140" spans="1:23" ht="15.75" hidden="1" customHeight="1">
      <c r="A140" s="103"/>
      <c r="B140" s="103"/>
      <c r="C140" s="104"/>
      <c r="D140" s="104"/>
      <c r="E140" s="104"/>
      <c r="F140" s="105"/>
      <c r="G140" s="105"/>
      <c r="H140" s="106"/>
      <c r="I140" s="106"/>
      <c r="J140" s="107"/>
      <c r="K140" s="108"/>
      <c r="L140" s="108"/>
      <c r="M140" s="104"/>
      <c r="N140" s="104"/>
      <c r="O140" s="104"/>
      <c r="P140" s="104"/>
      <c r="Q140" s="104"/>
      <c r="R140" s="105"/>
      <c r="S140" s="105"/>
      <c r="T140" s="105"/>
      <c r="U140" s="105"/>
      <c r="V140" s="105"/>
      <c r="W140" s="3"/>
    </row>
    <row r="141" spans="1:23" ht="15.75" hidden="1" customHeight="1">
      <c r="A141" s="103"/>
      <c r="B141" s="103"/>
      <c r="C141" s="104"/>
      <c r="D141" s="104"/>
      <c r="E141" s="104"/>
      <c r="F141" s="105"/>
      <c r="G141" s="105"/>
      <c r="H141" s="106"/>
      <c r="I141" s="106"/>
      <c r="J141" s="107"/>
      <c r="K141" s="108"/>
      <c r="L141" s="108"/>
      <c r="M141" s="104"/>
      <c r="N141" s="104"/>
      <c r="O141" s="104"/>
      <c r="P141" s="104"/>
      <c r="Q141" s="104"/>
      <c r="R141" s="105"/>
      <c r="S141" s="105"/>
      <c r="T141" s="105"/>
      <c r="U141" s="105"/>
      <c r="V141" s="105"/>
      <c r="W141" s="3"/>
    </row>
    <row r="142" spans="1:23" ht="15.75" hidden="1" customHeight="1">
      <c r="A142" s="103"/>
      <c r="B142" s="103"/>
      <c r="C142" s="104"/>
      <c r="D142" s="104"/>
      <c r="E142" s="104"/>
      <c r="F142" s="105"/>
      <c r="G142" s="105"/>
      <c r="H142" s="106"/>
      <c r="I142" s="106"/>
      <c r="J142" s="107"/>
      <c r="K142" s="108"/>
      <c r="L142" s="108"/>
      <c r="M142" s="104"/>
      <c r="N142" s="104"/>
      <c r="O142" s="104"/>
      <c r="P142" s="104"/>
      <c r="Q142" s="104"/>
      <c r="R142" s="105"/>
      <c r="S142" s="105"/>
      <c r="T142" s="105"/>
      <c r="U142" s="105"/>
      <c r="V142" s="105"/>
      <c r="W142" s="3"/>
    </row>
    <row r="143" spans="1:23" ht="15.75" hidden="1" customHeight="1">
      <c r="A143" s="103"/>
      <c r="B143" s="103"/>
      <c r="C143" s="104"/>
      <c r="D143" s="104"/>
      <c r="E143" s="104"/>
      <c r="F143" s="105"/>
      <c r="G143" s="105"/>
      <c r="H143" s="106"/>
      <c r="I143" s="106"/>
      <c r="J143" s="107"/>
      <c r="K143" s="108"/>
      <c r="L143" s="108"/>
      <c r="M143" s="104"/>
      <c r="N143" s="104"/>
      <c r="O143" s="104"/>
      <c r="P143" s="104"/>
      <c r="Q143" s="104"/>
      <c r="R143" s="105"/>
      <c r="S143" s="105"/>
      <c r="T143" s="105"/>
      <c r="U143" s="105"/>
      <c r="V143" s="105"/>
      <c r="W143" s="3"/>
    </row>
    <row r="144" spans="1:23" ht="15.75" hidden="1" customHeight="1">
      <c r="A144" s="103"/>
      <c r="B144" s="103"/>
      <c r="C144" s="104"/>
      <c r="D144" s="104"/>
      <c r="E144" s="104"/>
      <c r="F144" s="105"/>
      <c r="G144" s="105"/>
      <c r="H144" s="106"/>
      <c r="I144" s="106"/>
      <c r="J144" s="107"/>
      <c r="K144" s="108"/>
      <c r="L144" s="108"/>
      <c r="M144" s="104"/>
      <c r="N144" s="104"/>
      <c r="O144" s="104"/>
      <c r="P144" s="104"/>
      <c r="Q144" s="104"/>
      <c r="R144" s="105"/>
      <c r="S144" s="105"/>
      <c r="T144" s="105"/>
      <c r="U144" s="105"/>
      <c r="V144" s="105"/>
      <c r="W144" s="3"/>
    </row>
    <row r="145" spans="1:23" ht="15.75" hidden="1" customHeight="1">
      <c r="A145" s="103"/>
      <c r="B145" s="103"/>
      <c r="C145" s="104"/>
      <c r="D145" s="104"/>
      <c r="E145" s="104"/>
      <c r="F145" s="105"/>
      <c r="G145" s="105"/>
      <c r="H145" s="106"/>
      <c r="I145" s="106"/>
      <c r="J145" s="107"/>
      <c r="K145" s="108"/>
      <c r="L145" s="108"/>
      <c r="M145" s="104"/>
      <c r="N145" s="104"/>
      <c r="O145" s="104"/>
      <c r="P145" s="104"/>
      <c r="Q145" s="104"/>
      <c r="R145" s="105"/>
      <c r="S145" s="105"/>
      <c r="T145" s="105"/>
      <c r="U145" s="105"/>
      <c r="V145" s="105"/>
      <c r="W145" s="3"/>
    </row>
    <row r="146" spans="1:23" ht="15.75" hidden="1" customHeight="1">
      <c r="A146" s="103"/>
      <c r="B146" s="103"/>
      <c r="C146" s="104"/>
      <c r="D146" s="104"/>
      <c r="E146" s="104"/>
      <c r="F146" s="105"/>
      <c r="G146" s="105"/>
      <c r="H146" s="106"/>
      <c r="I146" s="106"/>
      <c r="J146" s="107"/>
      <c r="K146" s="108"/>
      <c r="L146" s="108"/>
      <c r="M146" s="104"/>
      <c r="N146" s="104"/>
      <c r="O146" s="104"/>
      <c r="P146" s="104"/>
      <c r="Q146" s="104"/>
      <c r="R146" s="105"/>
      <c r="S146" s="105"/>
      <c r="T146" s="105"/>
      <c r="U146" s="105"/>
      <c r="V146" s="105"/>
      <c r="W146" s="3"/>
    </row>
    <row r="147" spans="1:23" ht="15.75" hidden="1" customHeight="1">
      <c r="A147" s="103"/>
      <c r="B147" s="103"/>
      <c r="C147" s="104"/>
      <c r="D147" s="104"/>
      <c r="E147" s="104"/>
      <c r="F147" s="105"/>
      <c r="G147" s="105"/>
      <c r="H147" s="106"/>
      <c r="I147" s="106"/>
      <c r="J147" s="107"/>
      <c r="K147" s="108"/>
      <c r="L147" s="108"/>
      <c r="M147" s="104"/>
      <c r="N147" s="104"/>
      <c r="O147" s="104"/>
      <c r="P147" s="104"/>
      <c r="Q147" s="104"/>
      <c r="R147" s="105"/>
      <c r="S147" s="105"/>
      <c r="T147" s="105"/>
      <c r="U147" s="105"/>
      <c r="V147" s="105"/>
      <c r="W147" s="3"/>
    </row>
    <row r="148" spans="1:23" ht="15.75" hidden="1" customHeight="1">
      <c r="A148" s="103"/>
      <c r="B148" s="103"/>
      <c r="C148" s="104"/>
      <c r="D148" s="104"/>
      <c r="E148" s="104"/>
      <c r="F148" s="105"/>
      <c r="G148" s="105"/>
      <c r="H148" s="106"/>
      <c r="I148" s="106"/>
      <c r="J148" s="107"/>
      <c r="K148" s="108"/>
      <c r="L148" s="108"/>
      <c r="M148" s="104"/>
      <c r="N148" s="104"/>
      <c r="O148" s="104"/>
      <c r="P148" s="104"/>
      <c r="Q148" s="104"/>
      <c r="R148" s="105"/>
      <c r="S148" s="105"/>
      <c r="T148" s="105"/>
      <c r="U148" s="105"/>
      <c r="V148" s="105"/>
      <c r="W148" s="3"/>
    </row>
    <row r="149" spans="1:23" ht="15.75" hidden="1" customHeight="1">
      <c r="A149" s="103"/>
      <c r="B149" s="103"/>
      <c r="C149" s="104"/>
      <c r="D149" s="104"/>
      <c r="E149" s="104"/>
      <c r="F149" s="105"/>
      <c r="G149" s="105"/>
      <c r="H149" s="106"/>
      <c r="I149" s="106"/>
      <c r="J149" s="107"/>
      <c r="K149" s="108"/>
      <c r="L149" s="108"/>
      <c r="M149" s="104"/>
      <c r="N149" s="104"/>
      <c r="O149" s="104"/>
      <c r="P149" s="104"/>
      <c r="Q149" s="104"/>
      <c r="R149" s="105"/>
      <c r="S149" s="105"/>
      <c r="T149" s="105"/>
      <c r="U149" s="105"/>
      <c r="V149" s="105"/>
      <c r="W149" s="3"/>
    </row>
    <row r="150" spans="1:23" ht="15.75" hidden="1" customHeight="1">
      <c r="A150" s="103"/>
      <c r="B150" s="103"/>
      <c r="C150" s="104"/>
      <c r="D150" s="104"/>
      <c r="E150" s="104"/>
      <c r="F150" s="105"/>
      <c r="G150" s="105"/>
      <c r="H150" s="106"/>
      <c r="I150" s="106"/>
      <c r="J150" s="107"/>
      <c r="K150" s="108"/>
      <c r="L150" s="108"/>
      <c r="M150" s="104"/>
      <c r="N150" s="104"/>
      <c r="O150" s="104"/>
      <c r="P150" s="104"/>
      <c r="Q150" s="104"/>
      <c r="R150" s="105"/>
      <c r="S150" s="105"/>
      <c r="T150" s="105"/>
      <c r="U150" s="105"/>
      <c r="V150" s="105"/>
      <c r="W150" s="3"/>
    </row>
    <row r="151" spans="1:23" ht="15.75" hidden="1" customHeight="1">
      <c r="A151" s="103"/>
      <c r="B151" s="103"/>
      <c r="C151" s="104"/>
      <c r="D151" s="104"/>
      <c r="E151" s="104"/>
      <c r="F151" s="105"/>
      <c r="G151" s="105"/>
      <c r="H151" s="106"/>
      <c r="I151" s="106"/>
      <c r="J151" s="107"/>
      <c r="K151" s="108"/>
      <c r="L151" s="108"/>
      <c r="M151" s="104"/>
      <c r="N151" s="104"/>
      <c r="O151" s="104"/>
      <c r="P151" s="104"/>
      <c r="Q151" s="104"/>
      <c r="R151" s="105"/>
      <c r="S151" s="105"/>
      <c r="T151" s="105"/>
      <c r="U151" s="105"/>
      <c r="V151" s="105"/>
      <c r="W151" s="3"/>
    </row>
    <row r="152" spans="1:23" ht="15.75" hidden="1" customHeight="1">
      <c r="A152" s="103"/>
      <c r="B152" s="103"/>
      <c r="C152" s="104"/>
      <c r="D152" s="104"/>
      <c r="E152" s="104"/>
      <c r="F152" s="105"/>
      <c r="G152" s="105"/>
      <c r="H152" s="106"/>
      <c r="I152" s="106"/>
      <c r="J152" s="107"/>
      <c r="K152" s="108"/>
      <c r="L152" s="108"/>
      <c r="M152" s="104"/>
      <c r="N152" s="104"/>
      <c r="O152" s="104"/>
      <c r="P152" s="104"/>
      <c r="Q152" s="104"/>
      <c r="R152" s="105"/>
      <c r="S152" s="105"/>
      <c r="T152" s="105"/>
      <c r="U152" s="105"/>
      <c r="V152" s="105"/>
      <c r="W152" s="3"/>
    </row>
    <row r="153" spans="1:23" ht="15.75" hidden="1" customHeight="1">
      <c r="A153" s="103"/>
      <c r="B153" s="103"/>
      <c r="C153" s="104"/>
      <c r="D153" s="104"/>
      <c r="E153" s="104"/>
      <c r="F153" s="105"/>
      <c r="G153" s="105"/>
      <c r="H153" s="106"/>
      <c r="I153" s="106"/>
      <c r="J153" s="107"/>
      <c r="K153" s="108"/>
      <c r="L153" s="108"/>
      <c r="M153" s="104"/>
      <c r="N153" s="104"/>
      <c r="O153" s="104"/>
      <c r="P153" s="104"/>
      <c r="Q153" s="104"/>
      <c r="R153" s="105"/>
      <c r="S153" s="105"/>
      <c r="T153" s="105"/>
      <c r="U153" s="105"/>
      <c r="V153" s="105"/>
      <c r="W153" s="3"/>
    </row>
    <row r="154" spans="1:23" ht="15.75" hidden="1" customHeight="1">
      <c r="A154" s="103"/>
      <c r="B154" s="103"/>
      <c r="C154" s="104"/>
      <c r="D154" s="104"/>
      <c r="E154" s="104"/>
      <c r="F154" s="105"/>
      <c r="G154" s="105"/>
      <c r="H154" s="106"/>
      <c r="I154" s="106"/>
      <c r="J154" s="107"/>
      <c r="K154" s="108"/>
      <c r="L154" s="108"/>
      <c r="M154" s="104"/>
      <c r="N154" s="104"/>
      <c r="O154" s="104"/>
      <c r="P154" s="104"/>
      <c r="Q154" s="104"/>
      <c r="R154" s="105"/>
      <c r="S154" s="105"/>
      <c r="T154" s="105"/>
      <c r="U154" s="105"/>
      <c r="V154" s="105"/>
      <c r="W154" s="3"/>
    </row>
    <row r="155" spans="1:23" ht="15.75" hidden="1" customHeight="1">
      <c r="A155" s="103"/>
      <c r="B155" s="103"/>
      <c r="C155" s="104"/>
      <c r="D155" s="104"/>
      <c r="E155" s="104"/>
      <c r="F155" s="105"/>
      <c r="G155" s="105"/>
      <c r="H155" s="106"/>
      <c r="I155" s="106"/>
      <c r="J155" s="107"/>
      <c r="K155" s="108"/>
      <c r="L155" s="108"/>
      <c r="M155" s="104"/>
      <c r="N155" s="104"/>
      <c r="O155" s="104"/>
      <c r="P155" s="104"/>
      <c r="Q155" s="104"/>
      <c r="R155" s="105"/>
      <c r="S155" s="105"/>
      <c r="T155" s="105"/>
      <c r="U155" s="105"/>
      <c r="V155" s="105"/>
      <c r="W155" s="3"/>
    </row>
    <row r="156" spans="1:23" ht="15.75" hidden="1" customHeight="1">
      <c r="A156" s="103"/>
      <c r="B156" s="103"/>
      <c r="C156" s="104"/>
      <c r="D156" s="104"/>
      <c r="E156" s="104"/>
      <c r="F156" s="105"/>
      <c r="G156" s="105"/>
      <c r="H156" s="106"/>
      <c r="I156" s="106"/>
      <c r="J156" s="107"/>
      <c r="K156" s="108"/>
      <c r="L156" s="108"/>
      <c r="M156" s="104"/>
      <c r="N156" s="104"/>
      <c r="O156" s="104"/>
      <c r="P156" s="104"/>
      <c r="Q156" s="104"/>
      <c r="R156" s="105"/>
      <c r="S156" s="105"/>
      <c r="T156" s="105"/>
      <c r="U156" s="105"/>
      <c r="V156" s="105"/>
      <c r="W156" s="3"/>
    </row>
    <row r="157" spans="1:23" ht="15.75" hidden="1" customHeight="1">
      <c r="A157" s="103"/>
      <c r="B157" s="103"/>
      <c r="C157" s="104"/>
      <c r="D157" s="104"/>
      <c r="E157" s="104"/>
      <c r="F157" s="105"/>
      <c r="G157" s="105"/>
      <c r="H157" s="106"/>
      <c r="I157" s="106"/>
      <c r="J157" s="107"/>
      <c r="K157" s="108"/>
      <c r="L157" s="108"/>
      <c r="M157" s="104"/>
      <c r="N157" s="104"/>
      <c r="O157" s="104"/>
      <c r="P157" s="104"/>
      <c r="Q157" s="104"/>
      <c r="R157" s="105"/>
      <c r="S157" s="105"/>
      <c r="T157" s="105"/>
      <c r="U157" s="105"/>
      <c r="V157" s="105"/>
      <c r="W157" s="3"/>
    </row>
    <row r="158" spans="1:23" ht="15.75" hidden="1" customHeight="1">
      <c r="A158" s="103"/>
      <c r="B158" s="103"/>
      <c r="C158" s="104"/>
      <c r="D158" s="104"/>
      <c r="E158" s="104"/>
      <c r="F158" s="105"/>
      <c r="G158" s="105"/>
      <c r="H158" s="106"/>
      <c r="I158" s="106"/>
      <c r="J158" s="107"/>
      <c r="K158" s="108"/>
      <c r="L158" s="108"/>
      <c r="M158" s="104"/>
      <c r="N158" s="104"/>
      <c r="O158" s="104"/>
      <c r="P158" s="104"/>
      <c r="Q158" s="104"/>
      <c r="R158" s="105"/>
      <c r="S158" s="105"/>
      <c r="T158" s="105"/>
      <c r="U158" s="105"/>
      <c r="V158" s="105"/>
      <c r="W158" s="3"/>
    </row>
    <row r="159" spans="1:23" ht="15.75" hidden="1" customHeight="1">
      <c r="A159" s="103"/>
      <c r="B159" s="103"/>
      <c r="C159" s="104"/>
      <c r="D159" s="104"/>
      <c r="E159" s="104"/>
      <c r="F159" s="105"/>
      <c r="G159" s="105"/>
      <c r="H159" s="106"/>
      <c r="I159" s="106"/>
      <c r="J159" s="107"/>
      <c r="K159" s="108"/>
      <c r="L159" s="108"/>
      <c r="M159" s="104"/>
      <c r="N159" s="104"/>
      <c r="O159" s="104"/>
      <c r="P159" s="104"/>
      <c r="Q159" s="104"/>
      <c r="R159" s="105"/>
      <c r="S159" s="105"/>
      <c r="T159" s="105"/>
      <c r="U159" s="105"/>
      <c r="V159" s="105"/>
      <c r="W159" s="3"/>
    </row>
    <row r="160" spans="1:23" ht="15.75" hidden="1" customHeight="1">
      <c r="A160" s="103"/>
      <c r="B160" s="103"/>
      <c r="C160" s="104"/>
      <c r="D160" s="104"/>
      <c r="E160" s="104"/>
      <c r="F160" s="105"/>
      <c r="G160" s="105"/>
      <c r="H160" s="106"/>
      <c r="I160" s="106"/>
      <c r="J160" s="107"/>
      <c r="K160" s="108"/>
      <c r="L160" s="108"/>
      <c r="M160" s="104"/>
      <c r="N160" s="104"/>
      <c r="O160" s="104"/>
      <c r="P160" s="104"/>
      <c r="Q160" s="104"/>
      <c r="R160" s="105"/>
      <c r="S160" s="105"/>
      <c r="T160" s="105"/>
      <c r="U160" s="105"/>
      <c r="V160" s="105"/>
      <c r="W160" s="3"/>
    </row>
    <row r="161" spans="1:23" ht="15.75" hidden="1" customHeight="1">
      <c r="A161" s="103"/>
      <c r="B161" s="103"/>
      <c r="C161" s="104"/>
      <c r="D161" s="104"/>
      <c r="E161" s="104"/>
      <c r="F161" s="105"/>
      <c r="G161" s="105"/>
      <c r="H161" s="106"/>
      <c r="I161" s="106"/>
      <c r="J161" s="107"/>
      <c r="K161" s="108"/>
      <c r="L161" s="108"/>
      <c r="M161" s="104"/>
      <c r="N161" s="104"/>
      <c r="O161" s="104"/>
      <c r="P161" s="104"/>
      <c r="Q161" s="104"/>
      <c r="R161" s="105"/>
      <c r="S161" s="105"/>
      <c r="T161" s="105"/>
      <c r="U161" s="105"/>
      <c r="V161" s="105"/>
      <c r="W161" s="3"/>
    </row>
    <row r="162" spans="1:23" ht="15.75" hidden="1" customHeight="1">
      <c r="A162" s="103"/>
      <c r="B162" s="103"/>
      <c r="C162" s="104"/>
      <c r="D162" s="104"/>
      <c r="E162" s="104"/>
      <c r="F162" s="105"/>
      <c r="G162" s="105"/>
      <c r="H162" s="106"/>
      <c r="I162" s="106"/>
      <c r="J162" s="107"/>
      <c r="K162" s="108"/>
      <c r="L162" s="108"/>
      <c r="M162" s="104"/>
      <c r="N162" s="104"/>
      <c r="O162" s="104"/>
      <c r="P162" s="104"/>
      <c r="Q162" s="104"/>
      <c r="R162" s="105"/>
      <c r="S162" s="105"/>
      <c r="T162" s="105"/>
      <c r="U162" s="105"/>
      <c r="V162" s="105"/>
      <c r="W162" s="3"/>
    </row>
    <row r="163" spans="1:23" ht="15.75" hidden="1" customHeight="1">
      <c r="A163" s="103"/>
      <c r="B163" s="103"/>
      <c r="C163" s="104"/>
      <c r="D163" s="104"/>
      <c r="E163" s="104"/>
      <c r="F163" s="105"/>
      <c r="G163" s="105"/>
      <c r="H163" s="106"/>
      <c r="I163" s="106"/>
      <c r="J163" s="107"/>
      <c r="K163" s="108"/>
      <c r="L163" s="108"/>
      <c r="M163" s="104"/>
      <c r="N163" s="104"/>
      <c r="O163" s="104"/>
      <c r="P163" s="104"/>
      <c r="Q163" s="104"/>
      <c r="R163" s="105"/>
      <c r="S163" s="105"/>
      <c r="T163" s="105"/>
      <c r="U163" s="105"/>
      <c r="V163" s="105"/>
      <c r="W163" s="3"/>
    </row>
    <row r="164" spans="1:23" ht="15.75" hidden="1" customHeight="1">
      <c r="A164" s="103"/>
      <c r="B164" s="103"/>
      <c r="C164" s="104"/>
      <c r="D164" s="104"/>
      <c r="E164" s="104"/>
      <c r="F164" s="105"/>
      <c r="G164" s="105"/>
      <c r="H164" s="106"/>
      <c r="I164" s="106"/>
      <c r="J164" s="107"/>
      <c r="K164" s="108"/>
      <c r="L164" s="108"/>
      <c r="M164" s="104"/>
      <c r="N164" s="104"/>
      <c r="O164" s="104"/>
      <c r="P164" s="104"/>
      <c r="Q164" s="104"/>
      <c r="R164" s="105"/>
      <c r="S164" s="105"/>
      <c r="T164" s="105"/>
      <c r="U164" s="105"/>
      <c r="V164" s="105"/>
      <c r="W164" s="3"/>
    </row>
    <row r="165" spans="1:23" ht="15.75" hidden="1" customHeight="1">
      <c r="A165" s="103"/>
      <c r="B165" s="103"/>
      <c r="C165" s="104"/>
      <c r="D165" s="104"/>
      <c r="E165" s="104"/>
      <c r="F165" s="105"/>
      <c r="G165" s="105"/>
      <c r="H165" s="106"/>
      <c r="I165" s="106"/>
      <c r="J165" s="107"/>
      <c r="K165" s="108"/>
      <c r="L165" s="108"/>
      <c r="M165" s="104"/>
      <c r="N165" s="104"/>
      <c r="O165" s="104"/>
      <c r="P165" s="104"/>
      <c r="Q165" s="104"/>
      <c r="R165" s="105"/>
      <c r="S165" s="105"/>
      <c r="T165" s="105"/>
      <c r="U165" s="105"/>
      <c r="V165" s="105"/>
      <c r="W165" s="3"/>
    </row>
    <row r="166" spans="1:23" ht="15.75" hidden="1" customHeight="1">
      <c r="A166" s="103"/>
      <c r="B166" s="103"/>
      <c r="C166" s="104"/>
      <c r="D166" s="104"/>
      <c r="E166" s="104"/>
      <c r="F166" s="105"/>
      <c r="G166" s="105"/>
      <c r="H166" s="106"/>
      <c r="I166" s="106"/>
      <c r="J166" s="107"/>
      <c r="K166" s="108"/>
      <c r="L166" s="108"/>
      <c r="M166" s="104"/>
      <c r="N166" s="104"/>
      <c r="O166" s="104"/>
      <c r="P166" s="104"/>
      <c r="Q166" s="104"/>
      <c r="R166" s="105"/>
      <c r="S166" s="105"/>
      <c r="T166" s="105"/>
      <c r="U166" s="105"/>
      <c r="V166" s="105"/>
      <c r="W166" s="3"/>
    </row>
    <row r="167" spans="1:23" ht="15.75" hidden="1" customHeight="1">
      <c r="A167" s="103"/>
      <c r="B167" s="103"/>
      <c r="C167" s="104"/>
      <c r="D167" s="104"/>
      <c r="E167" s="104"/>
      <c r="F167" s="105"/>
      <c r="G167" s="105"/>
      <c r="H167" s="106"/>
      <c r="I167" s="106"/>
      <c r="J167" s="107"/>
      <c r="K167" s="108"/>
      <c r="L167" s="108"/>
      <c r="M167" s="104"/>
      <c r="N167" s="104"/>
      <c r="O167" s="104"/>
      <c r="P167" s="104"/>
      <c r="Q167" s="104"/>
      <c r="R167" s="105"/>
      <c r="S167" s="105"/>
      <c r="T167" s="105"/>
      <c r="U167" s="105"/>
      <c r="V167" s="105"/>
      <c r="W167" s="3"/>
    </row>
    <row r="168" spans="1:23" ht="15.75" hidden="1" customHeight="1">
      <c r="A168" s="103"/>
      <c r="B168" s="103"/>
      <c r="C168" s="104"/>
      <c r="D168" s="104"/>
      <c r="E168" s="104"/>
      <c r="F168" s="105"/>
      <c r="G168" s="105"/>
      <c r="H168" s="106"/>
      <c r="I168" s="106"/>
      <c r="J168" s="107"/>
      <c r="K168" s="108"/>
      <c r="L168" s="108"/>
      <c r="M168" s="104"/>
      <c r="N168" s="104"/>
      <c r="O168" s="104"/>
      <c r="P168" s="104"/>
      <c r="Q168" s="104"/>
      <c r="R168" s="105"/>
      <c r="S168" s="105"/>
      <c r="T168" s="105"/>
      <c r="U168" s="105"/>
      <c r="V168" s="105"/>
      <c r="W168" s="3"/>
    </row>
    <row r="169" spans="1:23" ht="15.75" hidden="1" customHeight="1">
      <c r="A169" s="103"/>
      <c r="B169" s="103"/>
      <c r="C169" s="104"/>
      <c r="D169" s="104"/>
      <c r="E169" s="104"/>
      <c r="F169" s="105"/>
      <c r="G169" s="105"/>
      <c r="H169" s="106"/>
      <c r="I169" s="106"/>
      <c r="J169" s="107"/>
      <c r="K169" s="108"/>
      <c r="L169" s="108"/>
      <c r="M169" s="104"/>
      <c r="N169" s="104"/>
      <c r="O169" s="104"/>
      <c r="P169" s="104"/>
      <c r="Q169" s="104"/>
      <c r="R169" s="105"/>
      <c r="S169" s="105"/>
      <c r="T169" s="105"/>
      <c r="U169" s="105"/>
      <c r="V169" s="105"/>
      <c r="W169" s="3"/>
    </row>
    <row r="170" spans="1:23" ht="15.75" hidden="1" customHeight="1">
      <c r="A170" s="103"/>
      <c r="B170" s="103"/>
      <c r="C170" s="104"/>
      <c r="D170" s="104"/>
      <c r="E170" s="104"/>
      <c r="F170" s="105"/>
      <c r="G170" s="105"/>
      <c r="H170" s="106"/>
      <c r="I170" s="106"/>
      <c r="J170" s="107"/>
      <c r="K170" s="108"/>
      <c r="L170" s="108"/>
      <c r="M170" s="104"/>
      <c r="N170" s="104"/>
      <c r="O170" s="104"/>
      <c r="P170" s="104"/>
      <c r="Q170" s="104"/>
      <c r="R170" s="105"/>
      <c r="S170" s="105"/>
      <c r="T170" s="105"/>
      <c r="U170" s="105"/>
      <c r="V170" s="105"/>
      <c r="W170" s="3"/>
    </row>
    <row r="171" spans="1:23" ht="15.75" hidden="1" customHeight="1">
      <c r="A171" s="103"/>
      <c r="B171" s="103"/>
      <c r="C171" s="104"/>
      <c r="D171" s="104"/>
      <c r="E171" s="104"/>
      <c r="F171" s="105"/>
      <c r="G171" s="105"/>
      <c r="H171" s="106"/>
      <c r="I171" s="106"/>
      <c r="J171" s="107"/>
      <c r="K171" s="108"/>
      <c r="L171" s="108"/>
      <c r="M171" s="104"/>
      <c r="N171" s="104"/>
      <c r="O171" s="104"/>
      <c r="P171" s="104"/>
      <c r="Q171" s="104"/>
      <c r="R171" s="105"/>
      <c r="S171" s="105"/>
      <c r="T171" s="105"/>
      <c r="U171" s="105"/>
      <c r="V171" s="105"/>
      <c r="W171" s="3"/>
    </row>
    <row r="172" spans="1:23" ht="15.75" hidden="1" customHeight="1">
      <c r="A172" s="103"/>
      <c r="B172" s="103"/>
      <c r="C172" s="104"/>
      <c r="D172" s="104"/>
      <c r="E172" s="104"/>
      <c r="F172" s="105"/>
      <c r="G172" s="105"/>
      <c r="H172" s="106"/>
      <c r="I172" s="106"/>
      <c r="J172" s="107"/>
      <c r="K172" s="108"/>
      <c r="L172" s="108"/>
      <c r="M172" s="104"/>
      <c r="N172" s="104"/>
      <c r="O172" s="104"/>
      <c r="P172" s="104"/>
      <c r="Q172" s="104"/>
      <c r="R172" s="105"/>
      <c r="S172" s="105"/>
      <c r="T172" s="105"/>
      <c r="U172" s="105"/>
      <c r="V172" s="105"/>
      <c r="W172" s="3"/>
    </row>
    <row r="173" spans="1:23" ht="15.75" hidden="1" customHeight="1">
      <c r="A173" s="103"/>
      <c r="B173" s="103"/>
      <c r="C173" s="104"/>
      <c r="D173" s="104"/>
      <c r="E173" s="104"/>
      <c r="F173" s="105"/>
      <c r="G173" s="105"/>
      <c r="H173" s="106"/>
      <c r="I173" s="106"/>
      <c r="J173" s="107"/>
      <c r="K173" s="108"/>
      <c r="L173" s="108"/>
      <c r="M173" s="104"/>
      <c r="N173" s="104"/>
      <c r="O173" s="104"/>
      <c r="P173" s="104"/>
      <c r="Q173" s="104"/>
      <c r="R173" s="105"/>
      <c r="S173" s="105"/>
      <c r="T173" s="105"/>
      <c r="U173" s="105"/>
      <c r="V173" s="105"/>
      <c r="W173" s="3"/>
    </row>
    <row r="174" spans="1:23" ht="15.75" hidden="1" customHeight="1">
      <c r="A174" s="103"/>
      <c r="B174" s="103"/>
      <c r="C174" s="104"/>
      <c r="D174" s="104"/>
      <c r="E174" s="104"/>
      <c r="F174" s="105"/>
      <c r="G174" s="105"/>
      <c r="H174" s="106"/>
      <c r="I174" s="106"/>
      <c r="J174" s="107"/>
      <c r="K174" s="108"/>
      <c r="L174" s="108"/>
      <c r="M174" s="104"/>
      <c r="N174" s="104"/>
      <c r="O174" s="104"/>
      <c r="P174" s="104"/>
      <c r="Q174" s="104"/>
      <c r="R174" s="105"/>
      <c r="S174" s="105"/>
      <c r="T174" s="105"/>
      <c r="U174" s="105"/>
      <c r="V174" s="105"/>
      <c r="W174" s="3"/>
    </row>
    <row r="175" spans="1:23" ht="15.75" hidden="1" customHeight="1">
      <c r="A175" s="103"/>
      <c r="B175" s="103"/>
      <c r="C175" s="104"/>
      <c r="D175" s="104"/>
      <c r="E175" s="104"/>
      <c r="F175" s="105"/>
      <c r="G175" s="105"/>
      <c r="H175" s="106"/>
      <c r="I175" s="106"/>
      <c r="J175" s="107"/>
      <c r="K175" s="108"/>
      <c r="L175" s="108"/>
      <c r="M175" s="104"/>
      <c r="N175" s="104"/>
      <c r="O175" s="104"/>
      <c r="P175" s="104"/>
      <c r="Q175" s="104"/>
      <c r="R175" s="105"/>
      <c r="S175" s="105"/>
      <c r="T175" s="105"/>
      <c r="U175" s="105"/>
      <c r="V175" s="105"/>
      <c r="W175" s="3"/>
    </row>
    <row r="176" spans="1:23" ht="15.75" hidden="1" customHeight="1">
      <c r="A176" s="103"/>
      <c r="B176" s="103"/>
      <c r="C176" s="104"/>
      <c r="D176" s="104"/>
      <c r="E176" s="104"/>
      <c r="F176" s="105"/>
      <c r="G176" s="105"/>
      <c r="H176" s="106"/>
      <c r="I176" s="106"/>
      <c r="J176" s="107"/>
      <c r="K176" s="108"/>
      <c r="L176" s="108"/>
      <c r="M176" s="104"/>
      <c r="N176" s="104"/>
      <c r="O176" s="104"/>
      <c r="P176" s="104"/>
      <c r="Q176" s="104"/>
      <c r="R176" s="105"/>
      <c r="S176" s="105"/>
      <c r="T176" s="105"/>
      <c r="U176" s="105"/>
      <c r="V176" s="105"/>
      <c r="W176" s="3"/>
    </row>
    <row r="177" spans="1:23" ht="15.75" hidden="1" customHeight="1">
      <c r="A177" s="103"/>
      <c r="B177" s="103"/>
      <c r="C177" s="104"/>
      <c r="D177" s="104"/>
      <c r="E177" s="104"/>
      <c r="F177" s="105"/>
      <c r="G177" s="105"/>
      <c r="H177" s="106"/>
      <c r="I177" s="106"/>
      <c r="J177" s="107"/>
      <c r="K177" s="108"/>
      <c r="L177" s="108"/>
      <c r="M177" s="104"/>
      <c r="N177" s="104"/>
      <c r="O177" s="104"/>
      <c r="P177" s="104"/>
      <c r="Q177" s="104"/>
      <c r="R177" s="105"/>
      <c r="S177" s="105"/>
      <c r="T177" s="105"/>
      <c r="U177" s="105"/>
      <c r="V177" s="105"/>
      <c r="W177" s="3"/>
    </row>
    <row r="178" spans="1:23" ht="15.75" hidden="1" customHeight="1">
      <c r="A178" s="103"/>
      <c r="B178" s="103"/>
      <c r="C178" s="104"/>
      <c r="D178" s="104"/>
      <c r="E178" s="104"/>
      <c r="F178" s="105"/>
      <c r="G178" s="105"/>
      <c r="H178" s="106"/>
      <c r="I178" s="106"/>
      <c r="J178" s="107"/>
      <c r="K178" s="108"/>
      <c r="L178" s="108"/>
      <c r="M178" s="104"/>
      <c r="N178" s="104"/>
      <c r="O178" s="104"/>
      <c r="P178" s="104"/>
      <c r="Q178" s="104"/>
      <c r="R178" s="105"/>
      <c r="S178" s="105"/>
      <c r="T178" s="105"/>
      <c r="U178" s="105"/>
      <c r="V178" s="105"/>
      <c r="W178" s="3"/>
    </row>
    <row r="179" spans="1:23" ht="15.75" hidden="1" customHeight="1">
      <c r="A179" s="103"/>
      <c r="B179" s="103"/>
      <c r="C179" s="104"/>
      <c r="D179" s="104"/>
      <c r="E179" s="104"/>
      <c r="F179" s="105"/>
      <c r="G179" s="105"/>
      <c r="H179" s="106"/>
      <c r="I179" s="106"/>
      <c r="J179" s="107"/>
      <c r="K179" s="108"/>
      <c r="L179" s="108"/>
      <c r="M179" s="104"/>
      <c r="N179" s="104"/>
      <c r="O179" s="104"/>
      <c r="P179" s="104"/>
      <c r="Q179" s="104"/>
      <c r="R179" s="105"/>
      <c r="S179" s="105"/>
      <c r="T179" s="105"/>
      <c r="U179" s="105"/>
      <c r="V179" s="105"/>
      <c r="W179" s="3"/>
    </row>
    <row r="180" spans="1:23" ht="15.75" hidden="1" customHeight="1">
      <c r="A180" s="103"/>
      <c r="B180" s="103"/>
      <c r="C180" s="104"/>
      <c r="D180" s="104"/>
      <c r="E180" s="104"/>
      <c r="F180" s="105"/>
      <c r="G180" s="105"/>
      <c r="H180" s="106"/>
      <c r="I180" s="106"/>
      <c r="J180" s="107"/>
      <c r="K180" s="108"/>
      <c r="L180" s="108"/>
      <c r="M180" s="104"/>
      <c r="N180" s="104"/>
      <c r="O180" s="104"/>
      <c r="P180" s="104"/>
      <c r="Q180" s="104"/>
      <c r="R180" s="105"/>
      <c r="S180" s="105"/>
      <c r="T180" s="105"/>
      <c r="U180" s="105"/>
      <c r="V180" s="105"/>
      <c r="W180" s="3"/>
    </row>
    <row r="181" spans="1:23" ht="15.75" hidden="1" customHeight="1">
      <c r="A181" s="103"/>
      <c r="B181" s="103"/>
      <c r="C181" s="104"/>
      <c r="D181" s="104"/>
      <c r="E181" s="104"/>
      <c r="F181" s="105"/>
      <c r="G181" s="105"/>
      <c r="H181" s="106"/>
      <c r="I181" s="106"/>
      <c r="J181" s="107"/>
      <c r="K181" s="108"/>
      <c r="L181" s="108"/>
      <c r="M181" s="104"/>
      <c r="N181" s="104"/>
      <c r="O181" s="104"/>
      <c r="P181" s="104"/>
      <c r="Q181" s="104"/>
      <c r="R181" s="105"/>
      <c r="S181" s="105"/>
      <c r="T181" s="105"/>
      <c r="U181" s="105"/>
      <c r="V181" s="105"/>
      <c r="W181" s="3"/>
    </row>
    <row r="182" spans="1:23" ht="15.75" hidden="1" customHeight="1">
      <c r="A182" s="103"/>
      <c r="B182" s="103"/>
      <c r="C182" s="104"/>
      <c r="D182" s="104"/>
      <c r="E182" s="104"/>
      <c r="F182" s="105"/>
      <c r="G182" s="105"/>
      <c r="H182" s="106"/>
      <c r="I182" s="106"/>
      <c r="J182" s="107"/>
      <c r="K182" s="108"/>
      <c r="L182" s="108"/>
      <c r="M182" s="104"/>
      <c r="N182" s="104"/>
      <c r="O182" s="104"/>
      <c r="P182" s="104"/>
      <c r="Q182" s="104"/>
      <c r="R182" s="105"/>
      <c r="S182" s="105"/>
      <c r="T182" s="105"/>
      <c r="U182" s="105"/>
      <c r="V182" s="105"/>
      <c r="W182" s="3"/>
    </row>
    <row r="183" spans="1:23" ht="15.75" hidden="1" customHeight="1">
      <c r="A183" s="103"/>
      <c r="B183" s="103"/>
      <c r="C183" s="104"/>
      <c r="D183" s="104"/>
      <c r="E183" s="104"/>
      <c r="F183" s="105"/>
      <c r="G183" s="105"/>
      <c r="H183" s="106"/>
      <c r="I183" s="106"/>
      <c r="J183" s="107"/>
      <c r="K183" s="108"/>
      <c r="L183" s="108"/>
      <c r="M183" s="104"/>
      <c r="N183" s="104"/>
      <c r="O183" s="104"/>
      <c r="P183" s="104"/>
      <c r="Q183" s="104"/>
      <c r="R183" s="105"/>
      <c r="S183" s="105"/>
      <c r="T183" s="105"/>
      <c r="U183" s="105"/>
      <c r="V183" s="105"/>
      <c r="W183" s="3"/>
    </row>
    <row r="184" spans="1:23" ht="15.75" hidden="1" customHeight="1">
      <c r="A184" s="103"/>
      <c r="B184" s="103"/>
      <c r="C184" s="104"/>
      <c r="D184" s="104"/>
      <c r="E184" s="104"/>
      <c r="F184" s="105"/>
      <c r="G184" s="105"/>
      <c r="H184" s="106"/>
      <c r="I184" s="106"/>
      <c r="J184" s="107"/>
      <c r="K184" s="108"/>
      <c r="L184" s="108"/>
      <c r="M184" s="104"/>
      <c r="N184" s="104"/>
      <c r="O184" s="104"/>
      <c r="P184" s="104"/>
      <c r="Q184" s="104"/>
      <c r="R184" s="105"/>
      <c r="S184" s="105"/>
      <c r="T184" s="105"/>
      <c r="U184" s="105"/>
      <c r="V184" s="105"/>
      <c r="W184" s="3"/>
    </row>
    <row r="185" spans="1:23" ht="15.75" hidden="1" customHeight="1">
      <c r="A185" s="103"/>
      <c r="B185" s="103"/>
      <c r="C185" s="104"/>
      <c r="D185" s="104"/>
      <c r="E185" s="104"/>
      <c r="F185" s="105"/>
      <c r="G185" s="105"/>
      <c r="H185" s="106"/>
      <c r="I185" s="106"/>
      <c r="J185" s="107"/>
      <c r="K185" s="108"/>
      <c r="L185" s="108"/>
      <c r="M185" s="104"/>
      <c r="N185" s="104"/>
      <c r="O185" s="104"/>
      <c r="P185" s="104"/>
      <c r="Q185" s="104"/>
      <c r="R185" s="105"/>
      <c r="S185" s="105"/>
      <c r="T185" s="105"/>
      <c r="U185" s="105"/>
      <c r="V185" s="105"/>
      <c r="W185" s="3"/>
    </row>
    <row r="186" spans="1:23" ht="15.75" hidden="1" customHeight="1">
      <c r="A186" s="103"/>
      <c r="B186" s="103"/>
      <c r="C186" s="104"/>
      <c r="D186" s="104"/>
      <c r="E186" s="104"/>
      <c r="F186" s="105"/>
      <c r="G186" s="105"/>
      <c r="H186" s="106"/>
      <c r="I186" s="106"/>
      <c r="J186" s="107"/>
      <c r="K186" s="108"/>
      <c r="L186" s="108"/>
      <c r="M186" s="104"/>
      <c r="N186" s="104"/>
      <c r="O186" s="104"/>
      <c r="P186" s="104"/>
      <c r="Q186" s="104"/>
      <c r="R186" s="105"/>
      <c r="S186" s="105"/>
      <c r="T186" s="105"/>
      <c r="U186" s="105"/>
      <c r="V186" s="105"/>
      <c r="W186" s="3"/>
    </row>
    <row r="187" spans="1:23" ht="15.75" hidden="1" customHeight="1">
      <c r="A187" s="103"/>
      <c r="B187" s="103"/>
      <c r="C187" s="104"/>
      <c r="D187" s="104"/>
      <c r="E187" s="104"/>
      <c r="F187" s="105"/>
      <c r="G187" s="105"/>
      <c r="H187" s="106"/>
      <c r="I187" s="106"/>
      <c r="J187" s="107"/>
      <c r="K187" s="108"/>
      <c r="L187" s="108"/>
      <c r="M187" s="104"/>
      <c r="N187" s="104"/>
      <c r="O187" s="104"/>
      <c r="P187" s="104"/>
      <c r="Q187" s="104"/>
      <c r="R187" s="105"/>
      <c r="S187" s="105"/>
      <c r="T187" s="105"/>
      <c r="U187" s="105"/>
      <c r="V187" s="105"/>
      <c r="W187" s="3"/>
    </row>
    <row r="188" spans="1:23" ht="15.75" hidden="1" customHeight="1">
      <c r="A188" s="103"/>
      <c r="B188" s="103"/>
      <c r="C188" s="104"/>
      <c r="D188" s="104"/>
      <c r="E188" s="104"/>
      <c r="F188" s="105"/>
      <c r="G188" s="105"/>
      <c r="H188" s="106"/>
      <c r="I188" s="106"/>
      <c r="J188" s="107"/>
      <c r="K188" s="108"/>
      <c r="L188" s="108"/>
      <c r="M188" s="104"/>
      <c r="N188" s="104"/>
      <c r="O188" s="104"/>
      <c r="P188" s="104"/>
      <c r="Q188" s="104"/>
      <c r="R188" s="105"/>
      <c r="S188" s="105"/>
      <c r="T188" s="105"/>
      <c r="U188" s="105"/>
      <c r="V188" s="105"/>
      <c r="W188" s="3"/>
    </row>
    <row r="189" spans="1:23" ht="15.75" hidden="1" customHeight="1">
      <c r="A189" s="103"/>
      <c r="B189" s="103"/>
      <c r="C189" s="104"/>
      <c r="D189" s="104"/>
      <c r="E189" s="104"/>
      <c r="F189" s="105"/>
      <c r="G189" s="105"/>
      <c r="H189" s="106"/>
      <c r="I189" s="106"/>
      <c r="J189" s="107"/>
      <c r="K189" s="108"/>
      <c r="L189" s="108"/>
      <c r="M189" s="104"/>
      <c r="N189" s="104"/>
      <c r="O189" s="104"/>
      <c r="P189" s="104"/>
      <c r="Q189" s="104"/>
      <c r="R189" s="105"/>
      <c r="S189" s="105"/>
      <c r="T189" s="105"/>
      <c r="U189" s="105"/>
      <c r="V189" s="105"/>
      <c r="W189" s="3"/>
    </row>
    <row r="190" spans="1:23" ht="15.75" hidden="1" customHeight="1">
      <c r="A190" s="103"/>
      <c r="B190" s="103"/>
      <c r="C190" s="104"/>
      <c r="D190" s="104"/>
      <c r="E190" s="104"/>
      <c r="F190" s="105"/>
      <c r="G190" s="105"/>
      <c r="H190" s="106"/>
      <c r="I190" s="106"/>
      <c r="J190" s="107"/>
      <c r="K190" s="108"/>
      <c r="L190" s="108"/>
      <c r="M190" s="104"/>
      <c r="N190" s="104"/>
      <c r="O190" s="104"/>
      <c r="P190" s="104"/>
      <c r="Q190" s="104"/>
      <c r="R190" s="105"/>
      <c r="S190" s="105"/>
      <c r="T190" s="105"/>
      <c r="U190" s="105"/>
      <c r="V190" s="105"/>
      <c r="W190" s="3"/>
    </row>
    <row r="191" spans="1:23" ht="15.75" hidden="1" customHeight="1">
      <c r="A191" s="103"/>
      <c r="B191" s="103"/>
      <c r="C191" s="104"/>
      <c r="D191" s="104"/>
      <c r="E191" s="104"/>
      <c r="F191" s="105"/>
      <c r="G191" s="105"/>
      <c r="H191" s="106"/>
      <c r="I191" s="106"/>
      <c r="J191" s="107"/>
      <c r="K191" s="108"/>
      <c r="L191" s="108"/>
      <c r="M191" s="104"/>
      <c r="N191" s="104"/>
      <c r="O191" s="104"/>
      <c r="P191" s="104"/>
      <c r="Q191" s="104"/>
      <c r="R191" s="105"/>
      <c r="S191" s="105"/>
      <c r="T191" s="105"/>
      <c r="U191" s="105"/>
      <c r="V191" s="105"/>
      <c r="W191" s="3"/>
    </row>
    <row r="192" spans="1:23" ht="15.75" hidden="1" customHeight="1">
      <c r="A192" s="103"/>
      <c r="B192" s="103"/>
      <c r="C192" s="104"/>
      <c r="D192" s="104"/>
      <c r="E192" s="104"/>
      <c r="F192" s="105"/>
      <c r="G192" s="105"/>
      <c r="H192" s="106"/>
      <c r="I192" s="106"/>
      <c r="J192" s="107"/>
      <c r="K192" s="108"/>
      <c r="L192" s="108"/>
      <c r="M192" s="104"/>
      <c r="N192" s="104"/>
      <c r="O192" s="104"/>
      <c r="P192" s="104"/>
      <c r="Q192" s="104"/>
      <c r="R192" s="105"/>
      <c r="S192" s="105"/>
      <c r="T192" s="105"/>
      <c r="U192" s="105"/>
      <c r="V192" s="105"/>
      <c r="W192" s="3"/>
    </row>
    <row r="193" spans="1:23" ht="15.75" hidden="1" customHeight="1">
      <c r="A193" s="103"/>
      <c r="B193" s="103"/>
      <c r="C193" s="104"/>
      <c r="D193" s="104"/>
      <c r="E193" s="104"/>
      <c r="F193" s="105"/>
      <c r="G193" s="105"/>
      <c r="H193" s="106"/>
      <c r="I193" s="106"/>
      <c r="J193" s="107"/>
      <c r="K193" s="108"/>
      <c r="L193" s="108"/>
      <c r="M193" s="104"/>
      <c r="N193" s="104"/>
      <c r="O193" s="104"/>
      <c r="P193" s="104"/>
      <c r="Q193" s="104"/>
      <c r="R193" s="105"/>
      <c r="S193" s="105"/>
      <c r="T193" s="105"/>
      <c r="U193" s="105"/>
      <c r="V193" s="105"/>
      <c r="W193" s="3"/>
    </row>
    <row r="194" spans="1:23" ht="15.75" hidden="1" customHeight="1">
      <c r="A194" s="103"/>
      <c r="B194" s="103"/>
      <c r="C194" s="104"/>
      <c r="D194" s="104"/>
      <c r="E194" s="104"/>
      <c r="F194" s="105"/>
      <c r="G194" s="105"/>
      <c r="H194" s="106"/>
      <c r="I194" s="106"/>
      <c r="J194" s="107"/>
      <c r="K194" s="108"/>
      <c r="L194" s="108"/>
      <c r="M194" s="104"/>
      <c r="N194" s="104"/>
      <c r="O194" s="104"/>
      <c r="P194" s="104"/>
      <c r="Q194" s="104"/>
      <c r="R194" s="105"/>
      <c r="S194" s="105"/>
      <c r="T194" s="105"/>
      <c r="U194" s="105"/>
      <c r="V194" s="105"/>
      <c r="W194" s="3"/>
    </row>
    <row r="195" spans="1:23" ht="15.75" hidden="1" customHeight="1">
      <c r="A195" s="103"/>
      <c r="B195" s="103"/>
      <c r="C195" s="104"/>
      <c r="D195" s="104"/>
      <c r="E195" s="104"/>
      <c r="F195" s="105"/>
      <c r="G195" s="105"/>
      <c r="H195" s="106"/>
      <c r="I195" s="106"/>
      <c r="J195" s="107"/>
      <c r="K195" s="108"/>
      <c r="L195" s="108"/>
      <c r="M195" s="104"/>
      <c r="N195" s="104"/>
      <c r="O195" s="104"/>
      <c r="P195" s="104"/>
      <c r="Q195" s="104"/>
      <c r="R195" s="105"/>
      <c r="S195" s="105"/>
      <c r="T195" s="105"/>
      <c r="U195" s="105"/>
      <c r="V195" s="105"/>
      <c r="W195" s="3"/>
    </row>
    <row r="196" spans="1:23" ht="15.75" hidden="1" customHeight="1">
      <c r="A196" s="103"/>
      <c r="B196" s="103"/>
      <c r="C196" s="104"/>
      <c r="D196" s="104"/>
      <c r="E196" s="104"/>
      <c r="F196" s="105"/>
      <c r="G196" s="105"/>
      <c r="H196" s="106"/>
      <c r="I196" s="106"/>
      <c r="J196" s="107"/>
      <c r="K196" s="108"/>
      <c r="L196" s="108"/>
      <c r="M196" s="104"/>
      <c r="N196" s="104"/>
      <c r="O196" s="104"/>
      <c r="P196" s="104"/>
      <c r="Q196" s="104"/>
      <c r="R196" s="105"/>
      <c r="S196" s="105"/>
      <c r="T196" s="105"/>
      <c r="U196" s="105"/>
      <c r="V196" s="105"/>
      <c r="W196" s="3"/>
    </row>
    <row r="197" spans="1:23" ht="15.75" hidden="1" customHeight="1">
      <c r="A197" s="103"/>
      <c r="B197" s="103"/>
      <c r="C197" s="104"/>
      <c r="D197" s="104"/>
      <c r="E197" s="104"/>
      <c r="F197" s="105"/>
      <c r="G197" s="105"/>
      <c r="H197" s="106"/>
      <c r="I197" s="106"/>
      <c r="J197" s="107"/>
      <c r="K197" s="108"/>
      <c r="L197" s="108"/>
      <c r="M197" s="104"/>
      <c r="N197" s="104"/>
      <c r="O197" s="104"/>
      <c r="P197" s="104"/>
      <c r="Q197" s="104"/>
      <c r="R197" s="105"/>
      <c r="S197" s="105"/>
      <c r="T197" s="105"/>
      <c r="U197" s="105"/>
      <c r="V197" s="105"/>
      <c r="W197" s="3"/>
    </row>
    <row r="198" spans="1:23" ht="15.75" hidden="1" customHeight="1">
      <c r="A198" s="103"/>
      <c r="B198" s="103"/>
      <c r="C198" s="104"/>
      <c r="D198" s="104"/>
      <c r="E198" s="104"/>
      <c r="F198" s="105"/>
      <c r="G198" s="105"/>
      <c r="H198" s="106"/>
      <c r="I198" s="106"/>
      <c r="J198" s="107"/>
      <c r="K198" s="108"/>
      <c r="L198" s="108"/>
      <c r="M198" s="104"/>
      <c r="N198" s="104"/>
      <c r="O198" s="104"/>
      <c r="P198" s="104"/>
      <c r="Q198" s="104"/>
      <c r="R198" s="105"/>
      <c r="S198" s="105"/>
      <c r="T198" s="105"/>
      <c r="U198" s="105"/>
      <c r="V198" s="105"/>
      <c r="W198" s="3"/>
    </row>
    <row r="199" spans="1:23" ht="15.75" hidden="1" customHeight="1">
      <c r="A199" s="103"/>
      <c r="B199" s="103"/>
      <c r="C199" s="104"/>
      <c r="D199" s="104"/>
      <c r="E199" s="104"/>
      <c r="F199" s="105"/>
      <c r="G199" s="105"/>
      <c r="H199" s="106"/>
      <c r="I199" s="106"/>
      <c r="J199" s="107"/>
      <c r="K199" s="108"/>
      <c r="L199" s="108"/>
      <c r="M199" s="104"/>
      <c r="N199" s="104"/>
      <c r="O199" s="104"/>
      <c r="P199" s="104"/>
      <c r="Q199" s="104"/>
      <c r="R199" s="105"/>
      <c r="S199" s="105"/>
      <c r="T199" s="105"/>
      <c r="U199" s="105"/>
      <c r="V199" s="105"/>
      <c r="W199" s="3"/>
    </row>
    <row r="200" spans="1:23" ht="15.75" hidden="1" customHeight="1">
      <c r="A200" s="103"/>
      <c r="B200" s="103"/>
      <c r="C200" s="104"/>
      <c r="D200" s="104"/>
      <c r="E200" s="104"/>
      <c r="F200" s="105"/>
      <c r="G200" s="105"/>
      <c r="H200" s="106"/>
      <c r="I200" s="106"/>
      <c r="J200" s="107"/>
      <c r="K200" s="108"/>
      <c r="L200" s="108"/>
      <c r="M200" s="104"/>
      <c r="N200" s="104"/>
      <c r="O200" s="104"/>
      <c r="P200" s="104"/>
      <c r="Q200" s="104"/>
      <c r="R200" s="105"/>
      <c r="S200" s="105"/>
      <c r="T200" s="105"/>
      <c r="U200" s="105"/>
      <c r="V200" s="105"/>
      <c r="W200" s="3"/>
    </row>
    <row r="201" spans="1:23" ht="15.75" hidden="1" customHeight="1">
      <c r="A201" s="103"/>
      <c r="B201" s="103"/>
      <c r="C201" s="104"/>
      <c r="D201" s="104"/>
      <c r="E201" s="104"/>
      <c r="F201" s="105"/>
      <c r="G201" s="105"/>
      <c r="H201" s="106"/>
      <c r="I201" s="106"/>
      <c r="J201" s="107"/>
      <c r="K201" s="108"/>
      <c r="L201" s="108"/>
      <c r="M201" s="104"/>
      <c r="N201" s="104"/>
      <c r="O201" s="104"/>
      <c r="P201" s="104"/>
      <c r="Q201" s="104"/>
      <c r="R201" s="105"/>
      <c r="S201" s="105"/>
      <c r="T201" s="105"/>
      <c r="U201" s="105"/>
      <c r="V201" s="105"/>
      <c r="W201" s="3"/>
    </row>
    <row r="202" spans="1:23" ht="15.75" hidden="1" customHeight="1">
      <c r="A202" s="103"/>
      <c r="B202" s="103"/>
      <c r="C202" s="104"/>
      <c r="D202" s="104"/>
      <c r="E202" s="104"/>
      <c r="F202" s="105"/>
      <c r="G202" s="105"/>
      <c r="H202" s="106"/>
      <c r="I202" s="106"/>
      <c r="J202" s="107"/>
      <c r="K202" s="108"/>
      <c r="L202" s="108"/>
      <c r="M202" s="104"/>
      <c r="N202" s="104"/>
      <c r="O202" s="104"/>
      <c r="P202" s="104"/>
      <c r="Q202" s="104"/>
      <c r="R202" s="105"/>
      <c r="S202" s="105"/>
      <c r="T202" s="105"/>
      <c r="U202" s="105"/>
      <c r="V202" s="105"/>
      <c r="W202" s="3"/>
    </row>
    <row r="203" spans="1:23" ht="15.75" hidden="1" customHeight="1">
      <c r="A203" s="103"/>
      <c r="B203" s="103"/>
      <c r="C203" s="104"/>
      <c r="D203" s="104"/>
      <c r="E203" s="104"/>
      <c r="F203" s="105"/>
      <c r="G203" s="105"/>
      <c r="H203" s="106"/>
      <c r="I203" s="106"/>
      <c r="J203" s="107"/>
      <c r="K203" s="108"/>
      <c r="L203" s="108"/>
      <c r="M203" s="104"/>
      <c r="N203" s="104"/>
      <c r="O203" s="104"/>
      <c r="P203" s="104"/>
      <c r="Q203" s="104"/>
      <c r="R203" s="105"/>
      <c r="S203" s="105"/>
      <c r="T203" s="105"/>
      <c r="U203" s="105"/>
      <c r="V203" s="105"/>
      <c r="W203" s="3"/>
    </row>
    <row r="204" spans="1:23" ht="15.75" hidden="1" customHeight="1">
      <c r="A204" s="103"/>
      <c r="B204" s="103"/>
      <c r="C204" s="104"/>
      <c r="D204" s="104"/>
      <c r="E204" s="104"/>
      <c r="F204" s="105"/>
      <c r="G204" s="105"/>
      <c r="H204" s="106"/>
      <c r="I204" s="106"/>
      <c r="J204" s="107"/>
      <c r="K204" s="108"/>
      <c r="L204" s="108"/>
      <c r="M204" s="104"/>
      <c r="N204" s="104"/>
      <c r="O204" s="104"/>
      <c r="P204" s="104"/>
      <c r="Q204" s="104"/>
      <c r="R204" s="105"/>
      <c r="S204" s="105"/>
      <c r="T204" s="105"/>
      <c r="U204" s="105"/>
      <c r="V204" s="105"/>
      <c r="W204" s="3"/>
    </row>
    <row r="205" spans="1:23" ht="15.75" hidden="1" customHeight="1">
      <c r="A205" s="103"/>
      <c r="B205" s="103"/>
      <c r="C205" s="104"/>
      <c r="D205" s="104"/>
      <c r="E205" s="104"/>
      <c r="F205" s="105"/>
      <c r="G205" s="105"/>
      <c r="H205" s="106"/>
      <c r="I205" s="106"/>
      <c r="J205" s="107"/>
      <c r="K205" s="108"/>
      <c r="L205" s="108"/>
      <c r="M205" s="104"/>
      <c r="N205" s="104"/>
      <c r="O205" s="104"/>
      <c r="P205" s="104"/>
      <c r="Q205" s="104"/>
      <c r="R205" s="105"/>
      <c r="S205" s="105"/>
      <c r="T205" s="105"/>
      <c r="U205" s="105"/>
      <c r="V205" s="105"/>
      <c r="W205" s="3"/>
    </row>
    <row r="206" spans="1:23" ht="15.75" hidden="1" customHeight="1">
      <c r="A206" s="103"/>
      <c r="B206" s="103"/>
      <c r="C206" s="104"/>
      <c r="D206" s="104"/>
      <c r="E206" s="104"/>
      <c r="F206" s="105"/>
      <c r="G206" s="105"/>
      <c r="H206" s="106"/>
      <c r="I206" s="106"/>
      <c r="J206" s="107"/>
      <c r="K206" s="108"/>
      <c r="L206" s="108"/>
      <c r="M206" s="104"/>
      <c r="N206" s="104"/>
      <c r="O206" s="104"/>
      <c r="P206" s="104"/>
      <c r="Q206" s="104"/>
      <c r="R206" s="105"/>
      <c r="S206" s="105"/>
      <c r="T206" s="105"/>
      <c r="U206" s="105"/>
      <c r="V206" s="105"/>
      <c r="W206" s="3"/>
    </row>
    <row r="207" spans="1:23" ht="15.75" hidden="1" customHeight="1">
      <c r="A207" s="103"/>
      <c r="B207" s="103"/>
      <c r="C207" s="104"/>
      <c r="D207" s="104"/>
      <c r="E207" s="104"/>
      <c r="F207" s="105"/>
      <c r="G207" s="105"/>
      <c r="H207" s="106"/>
      <c r="I207" s="106"/>
      <c r="J207" s="107"/>
      <c r="K207" s="108"/>
      <c r="L207" s="108"/>
      <c r="M207" s="104"/>
      <c r="N207" s="104"/>
      <c r="O207" s="104"/>
      <c r="P207" s="104"/>
      <c r="Q207" s="104"/>
      <c r="R207" s="105"/>
      <c r="S207" s="105"/>
      <c r="T207" s="105"/>
      <c r="U207" s="105"/>
      <c r="V207" s="105"/>
      <c r="W207" s="3"/>
    </row>
    <row r="208" spans="1:23" ht="15.75" hidden="1" customHeight="1">
      <c r="A208" s="103"/>
      <c r="B208" s="103"/>
      <c r="C208" s="104"/>
      <c r="D208" s="104"/>
      <c r="E208" s="104"/>
      <c r="F208" s="105"/>
      <c r="G208" s="105"/>
      <c r="H208" s="106"/>
      <c r="I208" s="106"/>
      <c r="J208" s="107"/>
      <c r="K208" s="108"/>
      <c r="L208" s="108"/>
      <c r="M208" s="104"/>
      <c r="N208" s="104"/>
      <c r="O208" s="104"/>
      <c r="P208" s="104"/>
      <c r="Q208" s="104"/>
      <c r="R208" s="105"/>
      <c r="S208" s="105"/>
      <c r="T208" s="105"/>
      <c r="U208" s="105"/>
      <c r="V208" s="105"/>
      <c r="W208" s="3"/>
    </row>
    <row r="209" spans="1:23" ht="15.75" hidden="1" customHeight="1">
      <c r="A209" s="103"/>
      <c r="B209" s="103"/>
      <c r="C209" s="104"/>
      <c r="D209" s="104"/>
      <c r="E209" s="104"/>
      <c r="F209" s="105"/>
      <c r="G209" s="105"/>
      <c r="H209" s="106"/>
      <c r="I209" s="106"/>
      <c r="J209" s="107"/>
      <c r="K209" s="108"/>
      <c r="L209" s="108"/>
      <c r="M209" s="104"/>
      <c r="N209" s="104"/>
      <c r="O209" s="104"/>
      <c r="P209" s="104"/>
      <c r="Q209" s="104"/>
      <c r="R209" s="105"/>
      <c r="S209" s="105"/>
      <c r="T209" s="105"/>
      <c r="U209" s="105"/>
      <c r="V209" s="105"/>
      <c r="W209" s="3"/>
    </row>
    <row r="210" spans="1:23" ht="15.75" hidden="1" customHeight="1">
      <c r="A210" s="103"/>
      <c r="B210" s="103"/>
      <c r="C210" s="104"/>
      <c r="D210" s="104"/>
      <c r="E210" s="104"/>
      <c r="F210" s="105"/>
      <c r="G210" s="105"/>
      <c r="H210" s="106"/>
      <c r="I210" s="106"/>
      <c r="J210" s="107"/>
      <c r="K210" s="108"/>
      <c r="L210" s="108"/>
      <c r="M210" s="104"/>
      <c r="N210" s="104"/>
      <c r="O210" s="104"/>
      <c r="P210" s="104"/>
      <c r="Q210" s="104"/>
      <c r="R210" s="105"/>
      <c r="S210" s="105"/>
      <c r="T210" s="105"/>
      <c r="U210" s="105"/>
      <c r="V210" s="105"/>
      <c r="W210" s="3"/>
    </row>
    <row r="211" spans="1:23" ht="15.75" hidden="1" customHeight="1">
      <c r="A211" s="103"/>
      <c r="B211" s="103"/>
      <c r="C211" s="104"/>
      <c r="D211" s="104"/>
      <c r="E211" s="104"/>
      <c r="F211" s="105"/>
      <c r="G211" s="105"/>
      <c r="H211" s="106"/>
      <c r="I211" s="106"/>
      <c r="J211" s="107"/>
      <c r="K211" s="108"/>
      <c r="L211" s="108"/>
      <c r="M211" s="104"/>
      <c r="N211" s="104"/>
      <c r="O211" s="104"/>
      <c r="P211" s="104"/>
      <c r="Q211" s="104"/>
      <c r="R211" s="105"/>
      <c r="S211" s="105"/>
      <c r="T211" s="105"/>
      <c r="U211" s="105"/>
      <c r="V211" s="105"/>
      <c r="W211" s="3"/>
    </row>
    <row r="212" spans="1:23" ht="15.75" hidden="1" customHeight="1">
      <c r="A212" s="103"/>
      <c r="B212" s="103"/>
      <c r="C212" s="104"/>
      <c r="D212" s="104"/>
      <c r="E212" s="104"/>
      <c r="F212" s="105"/>
      <c r="G212" s="105"/>
      <c r="H212" s="106"/>
      <c r="I212" s="106"/>
      <c r="J212" s="107"/>
      <c r="K212" s="108"/>
      <c r="L212" s="108"/>
      <c r="M212" s="104"/>
      <c r="N212" s="104"/>
      <c r="O212" s="104"/>
      <c r="P212" s="104"/>
      <c r="Q212" s="104"/>
      <c r="R212" s="105"/>
      <c r="S212" s="105"/>
      <c r="T212" s="105"/>
      <c r="U212" s="105"/>
      <c r="V212" s="105"/>
      <c r="W212" s="3"/>
    </row>
    <row r="213" spans="1:23" ht="15.75" hidden="1" customHeight="1">
      <c r="A213" s="103"/>
      <c r="B213" s="103"/>
      <c r="C213" s="104"/>
      <c r="D213" s="104"/>
      <c r="E213" s="104"/>
      <c r="F213" s="105"/>
      <c r="G213" s="105"/>
      <c r="H213" s="106"/>
      <c r="I213" s="106"/>
      <c r="J213" s="107"/>
      <c r="K213" s="108"/>
      <c r="L213" s="108"/>
      <c r="M213" s="104"/>
      <c r="N213" s="104"/>
      <c r="O213" s="104"/>
      <c r="P213" s="104"/>
      <c r="Q213" s="104"/>
      <c r="R213" s="105"/>
      <c r="S213" s="105"/>
      <c r="T213" s="105"/>
      <c r="U213" s="105"/>
      <c r="V213" s="105"/>
      <c r="W213" s="3"/>
    </row>
    <row r="214" spans="1:23" ht="15.75" hidden="1" customHeight="1">
      <c r="A214" s="103"/>
      <c r="B214" s="103"/>
      <c r="C214" s="104"/>
      <c r="D214" s="104"/>
      <c r="E214" s="104"/>
      <c r="F214" s="105"/>
      <c r="G214" s="105"/>
      <c r="H214" s="106"/>
      <c r="I214" s="106"/>
      <c r="J214" s="107"/>
      <c r="K214" s="108"/>
      <c r="L214" s="108"/>
      <c r="M214" s="104"/>
      <c r="N214" s="104"/>
      <c r="O214" s="104"/>
      <c r="P214" s="104"/>
      <c r="Q214" s="104"/>
      <c r="R214" s="105"/>
      <c r="S214" s="105"/>
      <c r="T214" s="105"/>
      <c r="U214" s="105"/>
      <c r="V214" s="105"/>
      <c r="W214" s="3"/>
    </row>
    <row r="215" spans="1:23" ht="15.75" hidden="1" customHeight="1">
      <c r="A215" s="103"/>
      <c r="B215" s="103"/>
      <c r="C215" s="104"/>
      <c r="D215" s="104"/>
      <c r="E215" s="104"/>
      <c r="F215" s="105"/>
      <c r="G215" s="105"/>
      <c r="H215" s="106"/>
      <c r="I215" s="106"/>
      <c r="J215" s="107"/>
      <c r="K215" s="108"/>
      <c r="L215" s="108"/>
      <c r="M215" s="104"/>
      <c r="N215" s="104"/>
      <c r="O215" s="104"/>
      <c r="P215" s="104"/>
      <c r="Q215" s="104"/>
      <c r="R215" s="105"/>
      <c r="S215" s="105"/>
      <c r="T215" s="105"/>
      <c r="U215" s="105"/>
      <c r="V215" s="105"/>
      <c r="W215" s="3"/>
    </row>
    <row r="216" spans="1:23" ht="15.75" hidden="1" customHeight="1">
      <c r="A216" s="103"/>
      <c r="B216" s="103"/>
      <c r="C216" s="104"/>
      <c r="D216" s="104"/>
      <c r="E216" s="104"/>
      <c r="F216" s="105"/>
      <c r="G216" s="105"/>
      <c r="H216" s="106"/>
      <c r="I216" s="106"/>
      <c r="J216" s="107"/>
      <c r="K216" s="108"/>
      <c r="L216" s="108"/>
      <c r="M216" s="104"/>
      <c r="N216" s="104"/>
      <c r="O216" s="104"/>
      <c r="P216" s="104"/>
      <c r="Q216" s="104"/>
      <c r="R216" s="105"/>
      <c r="S216" s="105"/>
      <c r="T216" s="105"/>
      <c r="U216" s="105"/>
      <c r="V216" s="105"/>
      <c r="W216" s="3"/>
    </row>
    <row r="217" spans="1:23" ht="15.75" hidden="1" customHeight="1">
      <c r="A217" s="103"/>
      <c r="B217" s="103"/>
      <c r="C217" s="104"/>
      <c r="D217" s="104"/>
      <c r="E217" s="104"/>
      <c r="F217" s="105"/>
      <c r="G217" s="105"/>
      <c r="H217" s="106"/>
      <c r="I217" s="106"/>
      <c r="J217" s="107"/>
      <c r="K217" s="108"/>
      <c r="L217" s="108"/>
      <c r="M217" s="104"/>
      <c r="N217" s="104"/>
      <c r="O217" s="104"/>
      <c r="P217" s="104"/>
      <c r="Q217" s="104"/>
      <c r="R217" s="105"/>
      <c r="S217" s="105"/>
      <c r="T217" s="105"/>
      <c r="U217" s="105"/>
      <c r="V217" s="105"/>
      <c r="W217" s="3"/>
    </row>
    <row r="218" spans="1:23" ht="15.75" hidden="1" customHeight="1">
      <c r="A218" s="103"/>
      <c r="B218" s="103"/>
      <c r="C218" s="104"/>
      <c r="D218" s="104"/>
      <c r="E218" s="104"/>
      <c r="F218" s="105"/>
      <c r="G218" s="105"/>
      <c r="H218" s="106"/>
      <c r="I218" s="106"/>
      <c r="J218" s="107"/>
      <c r="K218" s="108"/>
      <c r="L218" s="108"/>
      <c r="M218" s="104"/>
      <c r="N218" s="104"/>
      <c r="O218" s="104"/>
      <c r="P218" s="104"/>
      <c r="Q218" s="104"/>
      <c r="R218" s="105"/>
      <c r="S218" s="105"/>
      <c r="T218" s="105"/>
      <c r="U218" s="105"/>
      <c r="V218" s="105"/>
      <c r="W218" s="3"/>
    </row>
    <row r="219" spans="1:23" ht="15.75" hidden="1" customHeight="1">
      <c r="A219" s="103"/>
      <c r="B219" s="103"/>
      <c r="C219" s="104"/>
      <c r="D219" s="104"/>
      <c r="E219" s="104"/>
      <c r="F219" s="105"/>
      <c r="G219" s="105"/>
      <c r="H219" s="106"/>
      <c r="I219" s="106"/>
      <c r="J219" s="107"/>
      <c r="K219" s="108"/>
      <c r="L219" s="108"/>
      <c r="M219" s="104"/>
      <c r="N219" s="104"/>
      <c r="O219" s="104"/>
      <c r="P219" s="104"/>
      <c r="Q219" s="104"/>
      <c r="R219" s="105"/>
      <c r="S219" s="105"/>
      <c r="T219" s="105"/>
      <c r="U219" s="105"/>
      <c r="V219" s="105"/>
      <c r="W219" s="3"/>
    </row>
    <row r="220" spans="1:23" ht="15.75" hidden="1" customHeight="1">
      <c r="A220" s="103"/>
      <c r="B220" s="103"/>
      <c r="C220" s="104"/>
      <c r="D220" s="104"/>
      <c r="E220" s="104"/>
      <c r="F220" s="105"/>
      <c r="G220" s="105"/>
      <c r="H220" s="106"/>
      <c r="I220" s="106"/>
      <c r="J220" s="107"/>
      <c r="K220" s="108"/>
      <c r="L220" s="108"/>
      <c r="M220" s="104"/>
      <c r="N220" s="104"/>
      <c r="O220" s="104"/>
      <c r="P220" s="104"/>
      <c r="Q220" s="104"/>
      <c r="R220" s="105"/>
      <c r="S220" s="105"/>
      <c r="T220" s="105"/>
      <c r="U220" s="105"/>
      <c r="V220" s="105"/>
      <c r="W220" s="3"/>
    </row>
    <row r="221" spans="1:23" ht="15.75" hidden="1" customHeight="1">
      <c r="A221" s="103"/>
      <c r="B221" s="103"/>
      <c r="C221" s="104"/>
      <c r="D221" s="104"/>
      <c r="E221" s="104"/>
      <c r="F221" s="105"/>
      <c r="G221" s="105"/>
      <c r="H221" s="106"/>
      <c r="I221" s="106"/>
      <c r="J221" s="107"/>
      <c r="K221" s="108"/>
      <c r="L221" s="108"/>
      <c r="M221" s="104"/>
      <c r="N221" s="104"/>
      <c r="O221" s="104"/>
      <c r="P221" s="104"/>
      <c r="Q221" s="104"/>
      <c r="R221" s="105"/>
      <c r="S221" s="105"/>
      <c r="T221" s="105"/>
      <c r="U221" s="105"/>
      <c r="V221" s="105"/>
      <c r="W221" s="3"/>
    </row>
    <row r="222" spans="1:23" ht="15.75" hidden="1" customHeight="1">
      <c r="A222" s="103"/>
      <c r="B222" s="103"/>
      <c r="C222" s="104"/>
      <c r="D222" s="104"/>
      <c r="E222" s="104"/>
      <c r="F222" s="105"/>
      <c r="G222" s="105"/>
      <c r="H222" s="106"/>
      <c r="I222" s="106"/>
      <c r="J222" s="107"/>
      <c r="K222" s="108"/>
      <c r="L222" s="108"/>
      <c r="M222" s="104"/>
      <c r="N222" s="104"/>
      <c r="O222" s="104"/>
      <c r="P222" s="104"/>
      <c r="Q222" s="104"/>
      <c r="R222" s="105"/>
      <c r="S222" s="105"/>
      <c r="T222" s="105"/>
      <c r="U222" s="105"/>
      <c r="V222" s="105"/>
      <c r="W222" s="3"/>
    </row>
    <row r="223" spans="1:23" ht="15.75" hidden="1" customHeight="1">
      <c r="A223" s="103"/>
      <c r="B223" s="103"/>
      <c r="C223" s="104"/>
      <c r="D223" s="104"/>
      <c r="E223" s="104"/>
      <c r="F223" s="105"/>
      <c r="G223" s="105"/>
      <c r="H223" s="106"/>
      <c r="I223" s="106"/>
      <c r="J223" s="107"/>
      <c r="K223" s="108"/>
      <c r="L223" s="108"/>
      <c r="M223" s="104"/>
      <c r="N223" s="104"/>
      <c r="O223" s="104"/>
      <c r="P223" s="104"/>
      <c r="Q223" s="104"/>
      <c r="R223" s="105"/>
      <c r="S223" s="105"/>
      <c r="T223" s="105"/>
      <c r="U223" s="105"/>
      <c r="V223" s="105"/>
      <c r="W223" s="3"/>
    </row>
    <row r="224" spans="1:23" ht="15.75" hidden="1" customHeight="1">
      <c r="A224" s="103"/>
      <c r="B224" s="103"/>
      <c r="C224" s="104"/>
      <c r="D224" s="104"/>
      <c r="E224" s="104"/>
      <c r="F224" s="105"/>
      <c r="G224" s="105"/>
      <c r="H224" s="106"/>
      <c r="I224" s="106"/>
      <c r="J224" s="107"/>
      <c r="K224" s="108"/>
      <c r="L224" s="108"/>
      <c r="M224" s="104"/>
      <c r="N224" s="104"/>
      <c r="O224" s="104"/>
      <c r="P224" s="104"/>
      <c r="Q224" s="104"/>
      <c r="R224" s="105"/>
      <c r="S224" s="105"/>
      <c r="T224" s="105"/>
      <c r="U224" s="105"/>
      <c r="V224" s="105"/>
      <c r="W224" s="3"/>
    </row>
    <row r="225" spans="1:23" ht="15.75" hidden="1" customHeight="1">
      <c r="A225" s="103"/>
      <c r="B225" s="103"/>
      <c r="C225" s="104"/>
      <c r="D225" s="104"/>
      <c r="E225" s="104"/>
      <c r="F225" s="105"/>
      <c r="G225" s="105"/>
      <c r="H225" s="106"/>
      <c r="I225" s="106"/>
      <c r="J225" s="107"/>
      <c r="K225" s="108"/>
      <c r="L225" s="108"/>
      <c r="M225" s="104"/>
      <c r="N225" s="104"/>
      <c r="O225" s="104"/>
      <c r="P225" s="104"/>
      <c r="Q225" s="104"/>
      <c r="R225" s="105"/>
      <c r="S225" s="105"/>
      <c r="T225" s="105"/>
      <c r="U225" s="105"/>
      <c r="V225" s="105"/>
      <c r="W225" s="3"/>
    </row>
    <row r="226" spans="1:23" ht="15.75" hidden="1" customHeight="1">
      <c r="A226" s="103"/>
      <c r="B226" s="103"/>
      <c r="C226" s="104"/>
      <c r="D226" s="104"/>
      <c r="E226" s="104"/>
      <c r="F226" s="105"/>
      <c r="G226" s="105"/>
      <c r="H226" s="106"/>
      <c r="I226" s="106"/>
      <c r="J226" s="107"/>
      <c r="K226" s="108"/>
      <c r="L226" s="108"/>
      <c r="M226" s="104"/>
      <c r="N226" s="104"/>
      <c r="O226" s="104"/>
      <c r="P226" s="104"/>
      <c r="Q226" s="104"/>
      <c r="R226" s="105"/>
      <c r="S226" s="105"/>
      <c r="T226" s="105"/>
      <c r="U226" s="105"/>
      <c r="V226" s="105"/>
      <c r="W226" s="3"/>
    </row>
    <row r="227" spans="1:23" ht="15.75" hidden="1" customHeight="1">
      <c r="A227" s="103"/>
      <c r="B227" s="103"/>
      <c r="C227" s="104"/>
      <c r="D227" s="104"/>
      <c r="E227" s="104"/>
      <c r="F227" s="105"/>
      <c r="G227" s="105"/>
      <c r="H227" s="106"/>
      <c r="I227" s="106"/>
      <c r="J227" s="107"/>
      <c r="K227" s="108"/>
      <c r="L227" s="108"/>
      <c r="M227" s="104"/>
      <c r="N227" s="104"/>
      <c r="O227" s="104"/>
      <c r="P227" s="104"/>
      <c r="Q227" s="104"/>
      <c r="R227" s="105"/>
      <c r="S227" s="105"/>
      <c r="T227" s="105"/>
      <c r="U227" s="105"/>
      <c r="V227" s="105"/>
      <c r="W227" s="3"/>
    </row>
    <row r="228" spans="1:23" ht="15.75" hidden="1" customHeight="1">
      <c r="A228" s="103"/>
      <c r="B228" s="103"/>
      <c r="C228" s="104"/>
      <c r="D228" s="104"/>
      <c r="E228" s="104"/>
      <c r="F228" s="105"/>
      <c r="G228" s="105"/>
      <c r="H228" s="106"/>
      <c r="I228" s="106"/>
      <c r="J228" s="107"/>
      <c r="K228" s="108"/>
      <c r="L228" s="108"/>
      <c r="M228" s="104"/>
      <c r="N228" s="104"/>
      <c r="O228" s="104"/>
      <c r="P228" s="104"/>
      <c r="Q228" s="104"/>
      <c r="R228" s="105"/>
      <c r="S228" s="105"/>
      <c r="T228" s="105"/>
      <c r="U228" s="105"/>
      <c r="V228" s="105"/>
      <c r="W228" s="3"/>
    </row>
    <row r="229" spans="1:23" ht="15.75" hidden="1" customHeight="1">
      <c r="A229" s="103"/>
      <c r="B229" s="103"/>
      <c r="C229" s="104"/>
      <c r="D229" s="104"/>
      <c r="E229" s="104"/>
      <c r="F229" s="105"/>
      <c r="G229" s="105"/>
      <c r="H229" s="106"/>
      <c r="I229" s="106"/>
      <c r="J229" s="107"/>
      <c r="K229" s="108"/>
      <c r="L229" s="108"/>
      <c r="M229" s="104"/>
      <c r="N229" s="104"/>
      <c r="O229" s="104"/>
      <c r="P229" s="104"/>
      <c r="Q229" s="104"/>
      <c r="R229" s="105"/>
      <c r="S229" s="105"/>
      <c r="T229" s="105"/>
      <c r="U229" s="105"/>
      <c r="V229" s="105"/>
      <c r="W229" s="3"/>
    </row>
    <row r="230" spans="1:23" ht="15.75" hidden="1" customHeight="1">
      <c r="A230" s="103"/>
      <c r="B230" s="103"/>
      <c r="C230" s="104"/>
      <c r="D230" s="104"/>
      <c r="E230" s="104"/>
      <c r="F230" s="105"/>
      <c r="G230" s="105"/>
      <c r="H230" s="106"/>
      <c r="I230" s="106"/>
      <c r="J230" s="107"/>
      <c r="K230" s="108"/>
      <c r="L230" s="108"/>
      <c r="M230" s="104"/>
      <c r="N230" s="104"/>
      <c r="O230" s="104"/>
      <c r="P230" s="104"/>
      <c r="Q230" s="104"/>
      <c r="R230" s="105"/>
      <c r="S230" s="105"/>
      <c r="T230" s="105"/>
      <c r="U230" s="105"/>
      <c r="V230" s="105"/>
      <c r="W230" s="3"/>
    </row>
    <row r="231" spans="1:23" ht="15.75" hidden="1" customHeight="1">
      <c r="A231" s="103"/>
      <c r="B231" s="103"/>
      <c r="C231" s="104"/>
      <c r="D231" s="104"/>
      <c r="E231" s="104"/>
      <c r="F231" s="105"/>
      <c r="G231" s="105"/>
      <c r="H231" s="106"/>
      <c r="I231" s="106"/>
      <c r="J231" s="107"/>
      <c r="K231" s="108"/>
      <c r="L231" s="108"/>
      <c r="M231" s="104"/>
      <c r="N231" s="104"/>
      <c r="O231" s="104"/>
      <c r="P231" s="104"/>
      <c r="Q231" s="104"/>
      <c r="R231" s="105"/>
      <c r="S231" s="105"/>
      <c r="T231" s="105"/>
      <c r="U231" s="105"/>
      <c r="V231" s="105"/>
      <c r="W231" s="3"/>
    </row>
    <row r="232" spans="1:23" ht="15.75" hidden="1" customHeight="1">
      <c r="A232" s="103"/>
      <c r="B232" s="103"/>
      <c r="C232" s="104"/>
      <c r="D232" s="104"/>
      <c r="E232" s="104"/>
      <c r="F232" s="105"/>
      <c r="G232" s="105"/>
      <c r="H232" s="106"/>
      <c r="I232" s="106"/>
      <c r="J232" s="107"/>
      <c r="K232" s="108"/>
      <c r="L232" s="108"/>
      <c r="M232" s="104"/>
      <c r="N232" s="104"/>
      <c r="O232" s="104"/>
      <c r="P232" s="104"/>
      <c r="Q232" s="104"/>
      <c r="R232" s="105"/>
      <c r="S232" s="105"/>
      <c r="T232" s="105"/>
      <c r="U232" s="105"/>
      <c r="V232" s="105"/>
      <c r="W232" s="3"/>
    </row>
    <row r="233" spans="1:23" ht="15.75" hidden="1" customHeight="1">
      <c r="A233" s="103"/>
      <c r="B233" s="103"/>
      <c r="C233" s="104"/>
      <c r="D233" s="104"/>
      <c r="E233" s="104"/>
      <c r="F233" s="105"/>
      <c r="G233" s="105"/>
      <c r="H233" s="106"/>
      <c r="I233" s="106"/>
      <c r="J233" s="107"/>
      <c r="K233" s="108"/>
      <c r="L233" s="108"/>
      <c r="M233" s="104"/>
      <c r="N233" s="104"/>
      <c r="O233" s="104"/>
      <c r="P233" s="104"/>
      <c r="Q233" s="104"/>
      <c r="R233" s="105"/>
      <c r="S233" s="105"/>
      <c r="T233" s="105"/>
      <c r="U233" s="105"/>
      <c r="V233" s="105"/>
      <c r="W233" s="3"/>
    </row>
    <row r="234" spans="1:23" ht="15.75" hidden="1" customHeight="1">
      <c r="A234" s="103"/>
      <c r="B234" s="103"/>
      <c r="C234" s="104"/>
      <c r="D234" s="104"/>
      <c r="E234" s="104"/>
      <c r="F234" s="105"/>
      <c r="G234" s="105"/>
      <c r="H234" s="106"/>
      <c r="I234" s="106"/>
      <c r="J234" s="107"/>
      <c r="K234" s="108"/>
      <c r="L234" s="108"/>
      <c r="M234" s="104"/>
      <c r="N234" s="104"/>
      <c r="O234" s="104"/>
      <c r="P234" s="104"/>
      <c r="Q234" s="104"/>
      <c r="R234" s="105"/>
      <c r="S234" s="105"/>
      <c r="T234" s="105"/>
      <c r="U234" s="105"/>
      <c r="V234" s="105"/>
      <c r="W234" s="3"/>
    </row>
    <row r="235" spans="1:23" ht="15.75" hidden="1" customHeight="1">
      <c r="A235" s="103"/>
      <c r="B235" s="103"/>
      <c r="C235" s="104"/>
      <c r="D235" s="104"/>
      <c r="E235" s="104"/>
      <c r="F235" s="105"/>
      <c r="G235" s="105"/>
      <c r="H235" s="106"/>
      <c r="I235" s="106"/>
      <c r="J235" s="107"/>
      <c r="K235" s="108"/>
      <c r="L235" s="108"/>
      <c r="M235" s="104"/>
      <c r="N235" s="104"/>
      <c r="O235" s="104"/>
      <c r="P235" s="104"/>
      <c r="Q235" s="104"/>
      <c r="R235" s="105"/>
      <c r="S235" s="105"/>
      <c r="T235" s="105"/>
      <c r="U235" s="105"/>
      <c r="V235" s="105"/>
      <c r="W235" s="3"/>
    </row>
    <row r="236" spans="1:23" ht="15.75" hidden="1" customHeight="1">
      <c r="A236" s="103"/>
      <c r="B236" s="103"/>
      <c r="C236" s="104"/>
      <c r="D236" s="104"/>
      <c r="E236" s="104"/>
      <c r="F236" s="105"/>
      <c r="G236" s="105"/>
      <c r="H236" s="106"/>
      <c r="I236" s="106"/>
      <c r="J236" s="107"/>
      <c r="K236" s="108"/>
      <c r="L236" s="108"/>
      <c r="M236" s="104"/>
      <c r="N236" s="104"/>
      <c r="O236" s="104"/>
      <c r="P236" s="104"/>
      <c r="Q236" s="104"/>
      <c r="R236" s="105"/>
      <c r="S236" s="105"/>
      <c r="T236" s="105"/>
      <c r="U236" s="105"/>
      <c r="V236" s="105"/>
      <c r="W236" s="3"/>
    </row>
    <row r="237" spans="1:23" ht="15.75" hidden="1" customHeight="1">
      <c r="A237" s="103"/>
      <c r="B237" s="103"/>
      <c r="C237" s="104"/>
      <c r="D237" s="104"/>
      <c r="E237" s="104"/>
      <c r="F237" s="105"/>
      <c r="G237" s="105"/>
      <c r="H237" s="106"/>
      <c r="I237" s="106"/>
      <c r="J237" s="107"/>
      <c r="K237" s="108"/>
      <c r="L237" s="108"/>
      <c r="M237" s="104"/>
      <c r="N237" s="104"/>
      <c r="O237" s="104"/>
      <c r="P237" s="104"/>
      <c r="Q237" s="104"/>
      <c r="R237" s="105"/>
      <c r="S237" s="105"/>
      <c r="T237" s="105"/>
      <c r="U237" s="105"/>
      <c r="V237" s="105"/>
      <c r="W237" s="3"/>
    </row>
    <row r="238" spans="1:23" ht="15.75" hidden="1" customHeight="1">
      <c r="A238" s="103"/>
      <c r="B238" s="103"/>
      <c r="C238" s="104"/>
      <c r="D238" s="104"/>
      <c r="E238" s="104"/>
      <c r="F238" s="105"/>
      <c r="G238" s="105"/>
      <c r="H238" s="106"/>
      <c r="I238" s="106"/>
      <c r="J238" s="107"/>
      <c r="K238" s="108"/>
      <c r="L238" s="108"/>
      <c r="M238" s="104"/>
      <c r="N238" s="104"/>
      <c r="O238" s="104"/>
      <c r="P238" s="104"/>
      <c r="Q238" s="104"/>
      <c r="R238" s="105"/>
      <c r="S238" s="105"/>
      <c r="T238" s="105"/>
      <c r="U238" s="105"/>
      <c r="V238" s="105"/>
      <c r="W238" s="3"/>
    </row>
    <row r="239" spans="1:23" ht="15.75" hidden="1" customHeight="1">
      <c r="A239" s="103"/>
      <c r="B239" s="103"/>
      <c r="C239" s="104"/>
      <c r="D239" s="104"/>
      <c r="E239" s="104"/>
      <c r="F239" s="105"/>
      <c r="G239" s="105"/>
      <c r="H239" s="106"/>
      <c r="I239" s="106"/>
      <c r="J239" s="107"/>
      <c r="K239" s="108"/>
      <c r="L239" s="108"/>
      <c r="M239" s="104"/>
      <c r="N239" s="104"/>
      <c r="O239" s="104"/>
      <c r="P239" s="104"/>
      <c r="Q239" s="104"/>
      <c r="R239" s="105"/>
      <c r="S239" s="105"/>
      <c r="T239" s="105"/>
      <c r="U239" s="105"/>
      <c r="V239" s="105"/>
      <c r="W239" s="3"/>
    </row>
    <row r="240" spans="1:23" ht="15.75" hidden="1" customHeight="1">
      <c r="A240" s="103"/>
      <c r="B240" s="103"/>
      <c r="C240" s="104"/>
      <c r="D240" s="104"/>
      <c r="E240" s="104"/>
      <c r="F240" s="105"/>
      <c r="G240" s="105"/>
      <c r="H240" s="106"/>
      <c r="I240" s="106"/>
      <c r="J240" s="107"/>
      <c r="K240" s="108"/>
      <c r="L240" s="108"/>
      <c r="M240" s="104"/>
      <c r="N240" s="104"/>
      <c r="O240" s="104"/>
      <c r="P240" s="104"/>
      <c r="Q240" s="104"/>
      <c r="R240" s="105"/>
      <c r="S240" s="105"/>
      <c r="T240" s="105"/>
      <c r="U240" s="105"/>
      <c r="V240" s="105"/>
      <c r="W240" s="3"/>
    </row>
    <row r="241" spans="1:23" ht="15.75" hidden="1" customHeight="1">
      <c r="A241" s="103"/>
      <c r="B241" s="103"/>
      <c r="C241" s="104"/>
      <c r="D241" s="104"/>
      <c r="E241" s="104"/>
      <c r="F241" s="105"/>
      <c r="G241" s="105"/>
      <c r="H241" s="106"/>
      <c r="I241" s="106"/>
      <c r="J241" s="107"/>
      <c r="K241" s="108"/>
      <c r="L241" s="108"/>
      <c r="M241" s="104"/>
      <c r="N241" s="104"/>
      <c r="O241" s="104"/>
      <c r="P241" s="104"/>
      <c r="Q241" s="104"/>
      <c r="R241" s="105"/>
      <c r="S241" s="105"/>
      <c r="T241" s="105"/>
      <c r="U241" s="105"/>
      <c r="V241" s="105"/>
      <c r="W241" s="3"/>
    </row>
    <row r="242" spans="1:23" ht="15.75" hidden="1" customHeight="1">
      <c r="A242" s="103"/>
      <c r="B242" s="103"/>
      <c r="C242" s="104"/>
      <c r="D242" s="104"/>
      <c r="E242" s="104"/>
      <c r="F242" s="105"/>
      <c r="G242" s="105"/>
      <c r="H242" s="106"/>
      <c r="I242" s="106"/>
      <c r="J242" s="107"/>
      <c r="K242" s="108"/>
      <c r="L242" s="108"/>
      <c r="M242" s="104"/>
      <c r="N242" s="104"/>
      <c r="O242" s="104"/>
      <c r="P242" s="104"/>
      <c r="Q242" s="104"/>
      <c r="R242" s="105"/>
      <c r="S242" s="105"/>
      <c r="T242" s="105"/>
      <c r="U242" s="105"/>
      <c r="V242" s="105"/>
      <c r="W242" s="3"/>
    </row>
    <row r="243" spans="1:23" ht="15.75" hidden="1" customHeight="1">
      <c r="A243" s="103"/>
      <c r="B243" s="103"/>
      <c r="C243" s="104"/>
      <c r="D243" s="104"/>
      <c r="E243" s="104"/>
      <c r="F243" s="105"/>
      <c r="G243" s="105"/>
      <c r="H243" s="106"/>
      <c r="I243" s="106"/>
      <c r="J243" s="107"/>
      <c r="K243" s="108"/>
      <c r="L243" s="108"/>
      <c r="M243" s="104"/>
      <c r="N243" s="104"/>
      <c r="O243" s="104"/>
      <c r="P243" s="104"/>
      <c r="Q243" s="104"/>
      <c r="R243" s="105"/>
      <c r="S243" s="105"/>
      <c r="T243" s="105"/>
      <c r="U243" s="105"/>
      <c r="V243" s="105"/>
      <c r="W243" s="3"/>
    </row>
    <row r="244" spans="1:23" ht="15.75" hidden="1" customHeight="1">
      <c r="A244" s="103"/>
      <c r="B244" s="103"/>
      <c r="C244" s="104"/>
      <c r="D244" s="104"/>
      <c r="E244" s="104"/>
      <c r="F244" s="105"/>
      <c r="G244" s="105"/>
      <c r="H244" s="106"/>
      <c r="I244" s="106"/>
      <c r="J244" s="107"/>
      <c r="K244" s="108"/>
      <c r="L244" s="108"/>
      <c r="M244" s="104"/>
      <c r="N244" s="104"/>
      <c r="O244" s="104"/>
      <c r="P244" s="104"/>
      <c r="Q244" s="104"/>
      <c r="R244" s="105"/>
      <c r="S244" s="105"/>
      <c r="T244" s="105"/>
      <c r="U244" s="105"/>
      <c r="V244" s="105"/>
      <c r="W244" s="3"/>
    </row>
    <row r="245" spans="1:23" ht="15.75" hidden="1" customHeight="1">
      <c r="A245" s="103"/>
      <c r="B245" s="103"/>
      <c r="C245" s="104"/>
      <c r="D245" s="104"/>
      <c r="E245" s="104"/>
      <c r="F245" s="105"/>
      <c r="G245" s="105"/>
      <c r="H245" s="106"/>
      <c r="I245" s="106"/>
      <c r="J245" s="107"/>
      <c r="K245" s="108"/>
      <c r="L245" s="108"/>
      <c r="M245" s="104"/>
      <c r="N245" s="104"/>
      <c r="O245" s="104"/>
      <c r="P245" s="104"/>
      <c r="Q245" s="104"/>
      <c r="R245" s="105"/>
      <c r="S245" s="105"/>
      <c r="T245" s="105"/>
      <c r="U245" s="105"/>
      <c r="V245" s="105"/>
      <c r="W245" s="3"/>
    </row>
    <row r="246" spans="1:23" ht="15.75" hidden="1" customHeight="1">
      <c r="A246" s="103"/>
      <c r="B246" s="103"/>
      <c r="C246" s="104"/>
      <c r="D246" s="104"/>
      <c r="E246" s="104"/>
      <c r="F246" s="105"/>
      <c r="G246" s="105"/>
      <c r="H246" s="106"/>
      <c r="I246" s="106"/>
      <c r="J246" s="107"/>
      <c r="K246" s="108"/>
      <c r="L246" s="108"/>
      <c r="M246" s="104"/>
      <c r="N246" s="104"/>
      <c r="O246" s="104"/>
      <c r="P246" s="104"/>
      <c r="Q246" s="104"/>
      <c r="R246" s="105"/>
      <c r="S246" s="105"/>
      <c r="T246" s="105"/>
      <c r="U246" s="105"/>
      <c r="V246" s="105"/>
      <c r="W246" s="3"/>
    </row>
    <row r="247" spans="1:23" ht="15.75" hidden="1" customHeight="1">
      <c r="A247" s="103"/>
      <c r="B247" s="103"/>
      <c r="C247" s="104"/>
      <c r="D247" s="104"/>
      <c r="E247" s="104"/>
      <c r="F247" s="105"/>
      <c r="G247" s="105"/>
      <c r="H247" s="106"/>
      <c r="I247" s="106"/>
      <c r="J247" s="107"/>
      <c r="K247" s="108"/>
      <c r="L247" s="108"/>
      <c r="M247" s="104"/>
      <c r="N247" s="104"/>
      <c r="O247" s="104"/>
      <c r="P247" s="104"/>
      <c r="Q247" s="104"/>
      <c r="R247" s="105"/>
      <c r="S247" s="105"/>
      <c r="T247" s="105"/>
      <c r="U247" s="105"/>
      <c r="V247" s="105"/>
      <c r="W247" s="3"/>
    </row>
    <row r="248" spans="1:23" ht="15.75" hidden="1" customHeight="1">
      <c r="A248" s="103"/>
      <c r="B248" s="103"/>
      <c r="C248" s="104"/>
      <c r="D248" s="104"/>
      <c r="E248" s="104"/>
      <c r="F248" s="105"/>
      <c r="G248" s="105"/>
      <c r="H248" s="106"/>
      <c r="I248" s="106"/>
      <c r="J248" s="107"/>
      <c r="K248" s="108"/>
      <c r="L248" s="108"/>
      <c r="M248" s="104"/>
      <c r="N248" s="104"/>
      <c r="O248" s="104"/>
      <c r="P248" s="104"/>
      <c r="Q248" s="104"/>
      <c r="R248" s="105"/>
      <c r="S248" s="105"/>
      <c r="T248" s="105"/>
      <c r="U248" s="105"/>
      <c r="V248" s="105"/>
      <c r="W248" s="3"/>
    </row>
    <row r="249" spans="1:23" ht="15.75" hidden="1" customHeight="1">
      <c r="A249" s="103"/>
      <c r="B249" s="103"/>
      <c r="C249" s="104"/>
      <c r="D249" s="104"/>
      <c r="E249" s="104"/>
      <c r="F249" s="105"/>
      <c r="G249" s="105"/>
      <c r="H249" s="106"/>
      <c r="I249" s="106"/>
      <c r="J249" s="107"/>
      <c r="K249" s="108"/>
      <c r="L249" s="108"/>
      <c r="M249" s="104"/>
      <c r="N249" s="104"/>
      <c r="O249" s="104"/>
      <c r="P249" s="104"/>
      <c r="Q249" s="104"/>
      <c r="R249" s="105"/>
      <c r="S249" s="105"/>
      <c r="T249" s="105"/>
      <c r="U249" s="105"/>
      <c r="V249" s="105"/>
      <c r="W249" s="3"/>
    </row>
    <row r="250" spans="1:23" ht="15.75" hidden="1" customHeight="1">
      <c r="A250" s="103"/>
      <c r="B250" s="103"/>
      <c r="C250" s="104"/>
      <c r="D250" s="104"/>
      <c r="E250" s="104"/>
      <c r="F250" s="105"/>
      <c r="G250" s="105"/>
      <c r="H250" s="106"/>
      <c r="I250" s="106"/>
      <c r="J250" s="107"/>
      <c r="K250" s="108"/>
      <c r="L250" s="108"/>
      <c r="M250" s="104"/>
      <c r="N250" s="104"/>
      <c r="O250" s="104"/>
      <c r="P250" s="104"/>
      <c r="Q250" s="104"/>
      <c r="R250" s="105"/>
      <c r="S250" s="105"/>
      <c r="T250" s="105"/>
      <c r="U250" s="105"/>
      <c r="V250" s="105"/>
      <c r="W250" s="3"/>
    </row>
    <row r="251" spans="1:23" ht="15.75" hidden="1" customHeight="1">
      <c r="A251" s="103"/>
      <c r="B251" s="103"/>
      <c r="C251" s="104"/>
      <c r="D251" s="104"/>
      <c r="E251" s="104"/>
      <c r="F251" s="105"/>
      <c r="G251" s="105"/>
      <c r="H251" s="106"/>
      <c r="I251" s="106"/>
      <c r="J251" s="107"/>
      <c r="K251" s="108"/>
      <c r="L251" s="108"/>
      <c r="M251" s="104"/>
      <c r="N251" s="104"/>
      <c r="O251" s="104"/>
      <c r="P251" s="104"/>
      <c r="Q251" s="104"/>
      <c r="R251" s="105"/>
      <c r="S251" s="105"/>
      <c r="T251" s="105"/>
      <c r="U251" s="105"/>
      <c r="V251" s="105"/>
      <c r="W251" s="3"/>
    </row>
    <row r="252" spans="1:23" ht="15.75" hidden="1" customHeight="1">
      <c r="A252" s="103"/>
      <c r="B252" s="103"/>
      <c r="C252" s="104"/>
      <c r="D252" s="104"/>
      <c r="E252" s="104"/>
      <c r="F252" s="105"/>
      <c r="G252" s="105"/>
      <c r="H252" s="106"/>
      <c r="I252" s="106"/>
      <c r="J252" s="107"/>
      <c r="K252" s="108"/>
      <c r="L252" s="108"/>
      <c r="M252" s="104"/>
      <c r="N252" s="104"/>
      <c r="O252" s="104"/>
      <c r="P252" s="104"/>
      <c r="Q252" s="104"/>
      <c r="R252" s="105"/>
      <c r="S252" s="105"/>
      <c r="T252" s="105"/>
      <c r="U252" s="105"/>
      <c r="V252" s="105"/>
      <c r="W252" s="3"/>
    </row>
    <row r="253" spans="1:23" ht="15.75" hidden="1" customHeight="1">
      <c r="A253" s="103"/>
      <c r="B253" s="103"/>
      <c r="C253" s="104"/>
      <c r="D253" s="104"/>
      <c r="E253" s="104"/>
      <c r="F253" s="105"/>
      <c r="G253" s="105"/>
      <c r="H253" s="106"/>
      <c r="I253" s="106"/>
      <c r="J253" s="107"/>
      <c r="K253" s="108"/>
      <c r="L253" s="108"/>
      <c r="M253" s="104"/>
      <c r="N253" s="104"/>
      <c r="O253" s="104"/>
      <c r="P253" s="104"/>
      <c r="Q253" s="104"/>
      <c r="R253" s="105"/>
      <c r="S253" s="105"/>
      <c r="T253" s="105"/>
      <c r="U253" s="105"/>
      <c r="V253" s="105"/>
      <c r="W253" s="3"/>
    </row>
    <row r="254" spans="1:23" ht="15.75" hidden="1" customHeight="1">
      <c r="A254" s="103"/>
      <c r="B254" s="103"/>
      <c r="C254" s="104"/>
      <c r="D254" s="104"/>
      <c r="E254" s="104"/>
      <c r="F254" s="105"/>
      <c r="G254" s="105"/>
      <c r="H254" s="106"/>
      <c r="I254" s="106"/>
      <c r="J254" s="107"/>
      <c r="K254" s="108"/>
      <c r="L254" s="108"/>
      <c r="M254" s="104"/>
      <c r="N254" s="104"/>
      <c r="O254" s="104"/>
      <c r="P254" s="104"/>
      <c r="Q254" s="104"/>
      <c r="R254" s="105"/>
      <c r="S254" s="105"/>
      <c r="T254" s="105"/>
      <c r="U254" s="105"/>
      <c r="V254" s="105"/>
      <c r="W254" s="3"/>
    </row>
    <row r="255" spans="1:23" ht="15.75" hidden="1" customHeight="1">
      <c r="A255" s="103"/>
      <c r="B255" s="103"/>
      <c r="C255" s="104"/>
      <c r="D255" s="104"/>
      <c r="E255" s="104"/>
      <c r="F255" s="105"/>
      <c r="G255" s="105"/>
      <c r="H255" s="106"/>
      <c r="I255" s="106"/>
      <c r="J255" s="107"/>
      <c r="K255" s="108"/>
      <c r="L255" s="108"/>
      <c r="M255" s="104"/>
      <c r="N255" s="104"/>
      <c r="O255" s="104"/>
      <c r="P255" s="104"/>
      <c r="Q255" s="104"/>
      <c r="R255" s="105"/>
      <c r="S255" s="105"/>
      <c r="T255" s="105"/>
      <c r="U255" s="105"/>
      <c r="V255" s="105"/>
      <c r="W255" s="3"/>
    </row>
    <row r="256" spans="1:23" ht="15.75" hidden="1" customHeight="1">
      <c r="A256" s="103"/>
      <c r="B256" s="103"/>
      <c r="C256" s="104"/>
      <c r="D256" s="104"/>
      <c r="E256" s="104"/>
      <c r="F256" s="105"/>
      <c r="G256" s="105"/>
      <c r="H256" s="106"/>
      <c r="I256" s="106"/>
      <c r="J256" s="107"/>
      <c r="K256" s="108"/>
      <c r="L256" s="108"/>
      <c r="M256" s="104"/>
      <c r="N256" s="104"/>
      <c r="O256" s="104"/>
      <c r="P256" s="104"/>
      <c r="Q256" s="104"/>
      <c r="R256" s="105"/>
      <c r="S256" s="105"/>
      <c r="T256" s="105"/>
      <c r="U256" s="105"/>
      <c r="V256" s="105"/>
      <c r="W256" s="3"/>
    </row>
    <row r="257" spans="1:23" ht="15.75" hidden="1" customHeight="1">
      <c r="A257" s="103"/>
      <c r="B257" s="103"/>
      <c r="C257" s="104"/>
      <c r="D257" s="104"/>
      <c r="E257" s="104"/>
      <c r="F257" s="105"/>
      <c r="G257" s="105"/>
      <c r="H257" s="106"/>
      <c r="I257" s="106"/>
      <c r="J257" s="107"/>
      <c r="K257" s="108"/>
      <c r="L257" s="108"/>
      <c r="M257" s="104"/>
      <c r="N257" s="104"/>
      <c r="O257" s="104"/>
      <c r="P257" s="104"/>
      <c r="Q257" s="104"/>
      <c r="R257" s="105"/>
      <c r="S257" s="105"/>
      <c r="T257" s="105"/>
      <c r="U257" s="105"/>
      <c r="V257" s="105"/>
      <c r="W257" s="3"/>
    </row>
    <row r="258" spans="1:23" ht="15.75" hidden="1" customHeight="1">
      <c r="A258" s="103"/>
      <c r="B258" s="103"/>
      <c r="C258" s="104"/>
      <c r="D258" s="104"/>
      <c r="E258" s="104"/>
      <c r="F258" s="105"/>
      <c r="G258" s="105"/>
      <c r="H258" s="106"/>
      <c r="I258" s="106"/>
      <c r="J258" s="107"/>
      <c r="K258" s="108"/>
      <c r="L258" s="108"/>
      <c r="M258" s="104"/>
      <c r="N258" s="104"/>
      <c r="O258" s="104"/>
      <c r="P258" s="104"/>
      <c r="Q258" s="104"/>
      <c r="R258" s="105"/>
      <c r="S258" s="105"/>
      <c r="T258" s="105"/>
      <c r="U258" s="105"/>
      <c r="V258" s="105"/>
      <c r="W258" s="3"/>
    </row>
    <row r="259" spans="1:23" ht="15.75" hidden="1" customHeight="1">
      <c r="A259" s="103"/>
      <c r="B259" s="103"/>
      <c r="C259" s="104"/>
      <c r="D259" s="104"/>
      <c r="E259" s="104"/>
      <c r="F259" s="105"/>
      <c r="G259" s="105"/>
      <c r="H259" s="106"/>
      <c r="I259" s="106"/>
      <c r="J259" s="107"/>
      <c r="K259" s="108"/>
      <c r="L259" s="108"/>
      <c r="M259" s="104"/>
      <c r="N259" s="104"/>
      <c r="O259" s="104"/>
      <c r="P259" s="104"/>
      <c r="Q259" s="104"/>
      <c r="R259" s="105"/>
      <c r="S259" s="105"/>
      <c r="T259" s="105"/>
      <c r="U259" s="105"/>
      <c r="V259" s="105"/>
      <c r="W259" s="3"/>
    </row>
    <row r="260" spans="1:23" ht="15.75" hidden="1" customHeight="1">
      <c r="A260" s="103"/>
      <c r="B260" s="103"/>
      <c r="C260" s="104"/>
      <c r="D260" s="104"/>
      <c r="E260" s="104"/>
      <c r="F260" s="105"/>
      <c r="G260" s="105"/>
      <c r="H260" s="106"/>
      <c r="I260" s="106"/>
      <c r="J260" s="107"/>
      <c r="K260" s="108"/>
      <c r="L260" s="108"/>
      <c r="M260" s="104"/>
      <c r="N260" s="104"/>
      <c r="O260" s="104"/>
      <c r="P260" s="104"/>
      <c r="Q260" s="104"/>
      <c r="R260" s="105"/>
      <c r="S260" s="105"/>
      <c r="T260" s="105"/>
      <c r="U260" s="105"/>
      <c r="V260" s="105"/>
      <c r="W260" s="3"/>
    </row>
    <row r="261" spans="1:23" ht="15.75" hidden="1" customHeight="1">
      <c r="A261" s="103"/>
      <c r="B261" s="103"/>
      <c r="C261" s="104"/>
      <c r="D261" s="104"/>
      <c r="E261" s="104"/>
      <c r="F261" s="105"/>
      <c r="G261" s="105"/>
      <c r="H261" s="106"/>
      <c r="I261" s="106"/>
      <c r="J261" s="107"/>
      <c r="K261" s="108"/>
      <c r="L261" s="108"/>
      <c r="M261" s="104"/>
      <c r="N261" s="104"/>
      <c r="O261" s="104"/>
      <c r="P261" s="104"/>
      <c r="Q261" s="104"/>
      <c r="R261" s="105"/>
      <c r="S261" s="105"/>
      <c r="T261" s="105"/>
      <c r="U261" s="105"/>
      <c r="V261" s="105"/>
      <c r="W261" s="3"/>
    </row>
    <row r="262" spans="1:23" ht="15.75" hidden="1" customHeight="1">
      <c r="A262" s="103"/>
      <c r="B262" s="103"/>
      <c r="C262" s="104"/>
      <c r="D262" s="104"/>
      <c r="E262" s="104"/>
      <c r="F262" s="105"/>
      <c r="G262" s="105"/>
      <c r="H262" s="106"/>
      <c r="I262" s="106"/>
      <c r="J262" s="107"/>
      <c r="K262" s="108"/>
      <c r="L262" s="108"/>
      <c r="M262" s="104"/>
      <c r="N262" s="104"/>
      <c r="O262" s="104"/>
      <c r="P262" s="104"/>
      <c r="Q262" s="104"/>
      <c r="R262" s="105"/>
      <c r="S262" s="105"/>
      <c r="T262" s="105"/>
      <c r="U262" s="105"/>
      <c r="V262" s="105"/>
      <c r="W262" s="3"/>
    </row>
    <row r="263" spans="1:23" ht="15.75" hidden="1" customHeight="1">
      <c r="A263" s="103"/>
      <c r="B263" s="103"/>
      <c r="C263" s="104"/>
      <c r="D263" s="104"/>
      <c r="E263" s="104"/>
      <c r="F263" s="105"/>
      <c r="G263" s="105"/>
      <c r="H263" s="106"/>
      <c r="I263" s="106"/>
      <c r="J263" s="107"/>
      <c r="K263" s="108"/>
      <c r="L263" s="108"/>
      <c r="M263" s="104"/>
      <c r="N263" s="104"/>
      <c r="O263" s="104"/>
      <c r="P263" s="104"/>
      <c r="Q263" s="104"/>
      <c r="R263" s="105"/>
      <c r="S263" s="105"/>
      <c r="T263" s="105"/>
      <c r="U263" s="105"/>
      <c r="V263" s="105"/>
      <c r="W263" s="3"/>
    </row>
    <row r="264" spans="1:23" ht="15.75" hidden="1" customHeight="1">
      <c r="A264" s="103"/>
      <c r="B264" s="103"/>
      <c r="C264" s="104"/>
      <c r="D264" s="104"/>
      <c r="E264" s="104"/>
      <c r="F264" s="105"/>
      <c r="G264" s="105"/>
      <c r="H264" s="106"/>
      <c r="I264" s="106"/>
      <c r="J264" s="107"/>
      <c r="K264" s="108"/>
      <c r="L264" s="108"/>
      <c r="M264" s="104"/>
      <c r="N264" s="104"/>
      <c r="O264" s="104"/>
      <c r="P264" s="104"/>
      <c r="Q264" s="104"/>
      <c r="R264" s="105"/>
      <c r="S264" s="105"/>
      <c r="T264" s="105"/>
      <c r="U264" s="105"/>
      <c r="V264" s="105"/>
      <c r="W264" s="3"/>
    </row>
    <row r="265" spans="1:23" ht="15.75" hidden="1" customHeight="1">
      <c r="A265" s="103"/>
      <c r="B265" s="103"/>
      <c r="C265" s="104"/>
      <c r="D265" s="104"/>
      <c r="E265" s="104"/>
      <c r="F265" s="105"/>
      <c r="G265" s="105"/>
      <c r="H265" s="106"/>
      <c r="I265" s="106"/>
      <c r="J265" s="107"/>
      <c r="K265" s="108"/>
      <c r="L265" s="108"/>
      <c r="M265" s="104"/>
      <c r="N265" s="104"/>
      <c r="O265" s="104"/>
      <c r="P265" s="104"/>
      <c r="Q265" s="104"/>
      <c r="R265" s="105"/>
      <c r="S265" s="105"/>
      <c r="T265" s="105"/>
      <c r="U265" s="105"/>
      <c r="V265" s="105"/>
      <c r="W265" s="3"/>
    </row>
    <row r="266" spans="1:23" ht="15.75" hidden="1" customHeight="1">
      <c r="A266" s="103"/>
      <c r="B266" s="103"/>
      <c r="C266" s="104"/>
      <c r="D266" s="104"/>
      <c r="E266" s="104"/>
      <c r="F266" s="105"/>
      <c r="G266" s="105"/>
      <c r="H266" s="106"/>
      <c r="I266" s="106"/>
      <c r="J266" s="107"/>
      <c r="K266" s="108"/>
      <c r="L266" s="108"/>
      <c r="M266" s="104"/>
      <c r="N266" s="104"/>
      <c r="O266" s="104"/>
      <c r="P266" s="104"/>
      <c r="Q266" s="104"/>
      <c r="R266" s="105"/>
      <c r="S266" s="105"/>
      <c r="T266" s="105"/>
      <c r="U266" s="105"/>
      <c r="V266" s="105"/>
      <c r="W266" s="3"/>
    </row>
    <row r="267" spans="1:23" ht="15.75" hidden="1" customHeight="1">
      <c r="A267" s="103"/>
      <c r="B267" s="103"/>
      <c r="C267" s="104"/>
      <c r="D267" s="104"/>
      <c r="E267" s="104"/>
      <c r="F267" s="105"/>
      <c r="G267" s="105"/>
      <c r="H267" s="106"/>
      <c r="I267" s="106"/>
      <c r="J267" s="107"/>
      <c r="K267" s="108"/>
      <c r="L267" s="108"/>
      <c r="M267" s="104"/>
      <c r="N267" s="104"/>
      <c r="O267" s="104"/>
      <c r="P267" s="104"/>
      <c r="Q267" s="104"/>
      <c r="R267" s="105"/>
      <c r="S267" s="105"/>
      <c r="T267" s="105"/>
      <c r="U267" s="105"/>
      <c r="V267" s="105"/>
      <c r="W267" s="3"/>
    </row>
    <row r="268" spans="1:23" ht="15.75" hidden="1" customHeight="1">
      <c r="A268" s="103"/>
      <c r="B268" s="103"/>
      <c r="C268" s="104"/>
      <c r="D268" s="104"/>
      <c r="E268" s="104"/>
      <c r="F268" s="105"/>
      <c r="G268" s="105"/>
      <c r="H268" s="106"/>
      <c r="I268" s="106"/>
      <c r="J268" s="107"/>
      <c r="K268" s="108"/>
      <c r="L268" s="108"/>
      <c r="M268" s="104"/>
      <c r="N268" s="104"/>
      <c r="O268" s="104"/>
      <c r="P268" s="104"/>
      <c r="Q268" s="104"/>
      <c r="R268" s="105"/>
      <c r="S268" s="105"/>
      <c r="T268" s="105"/>
      <c r="U268" s="105"/>
      <c r="V268" s="105"/>
      <c r="W268" s="3"/>
    </row>
    <row r="269" spans="1:23" ht="15.75" hidden="1" customHeight="1">
      <c r="A269" s="103"/>
      <c r="B269" s="103"/>
      <c r="C269" s="104"/>
      <c r="D269" s="104"/>
      <c r="E269" s="104"/>
      <c r="F269" s="105"/>
      <c r="G269" s="105"/>
      <c r="H269" s="106"/>
      <c r="I269" s="106"/>
      <c r="J269" s="107"/>
      <c r="K269" s="108"/>
      <c r="L269" s="108"/>
      <c r="M269" s="104"/>
      <c r="N269" s="104"/>
      <c r="O269" s="104"/>
      <c r="P269" s="104"/>
      <c r="Q269" s="104"/>
      <c r="R269" s="105"/>
      <c r="S269" s="105"/>
      <c r="T269" s="105"/>
      <c r="U269" s="105"/>
      <c r="V269" s="105"/>
      <c r="W269" s="3"/>
    </row>
    <row r="270" spans="1:23" ht="15.75" hidden="1" customHeight="1">
      <c r="A270" s="103"/>
      <c r="B270" s="103"/>
      <c r="C270" s="104"/>
      <c r="D270" s="104"/>
      <c r="E270" s="104"/>
      <c r="F270" s="105"/>
      <c r="G270" s="105"/>
      <c r="H270" s="106"/>
      <c r="I270" s="106"/>
      <c r="J270" s="107"/>
      <c r="K270" s="108"/>
      <c r="L270" s="108"/>
      <c r="M270" s="104"/>
      <c r="N270" s="104"/>
      <c r="O270" s="104"/>
      <c r="P270" s="104"/>
      <c r="Q270" s="104"/>
      <c r="R270" s="105"/>
      <c r="S270" s="105"/>
      <c r="T270" s="105"/>
      <c r="U270" s="105"/>
      <c r="V270" s="105"/>
      <c r="W270" s="3"/>
    </row>
    <row r="271" spans="1:23" ht="15.75" hidden="1" customHeight="1">
      <c r="A271" s="103"/>
      <c r="B271" s="103"/>
      <c r="C271" s="104"/>
      <c r="D271" s="104"/>
      <c r="E271" s="104"/>
      <c r="F271" s="105"/>
      <c r="G271" s="105"/>
      <c r="H271" s="106"/>
      <c r="I271" s="106"/>
      <c r="J271" s="107"/>
      <c r="K271" s="108"/>
      <c r="L271" s="108"/>
      <c r="M271" s="104"/>
      <c r="N271" s="104"/>
      <c r="O271" s="104"/>
      <c r="P271" s="104"/>
      <c r="Q271" s="104"/>
      <c r="R271" s="105"/>
      <c r="S271" s="105"/>
      <c r="T271" s="105"/>
      <c r="U271" s="105"/>
      <c r="V271" s="105"/>
      <c r="W271" s="3"/>
    </row>
    <row r="272" spans="1:23" ht="15.75" hidden="1" customHeight="1">
      <c r="A272" s="103"/>
      <c r="B272" s="103"/>
      <c r="C272" s="104"/>
      <c r="D272" s="104"/>
      <c r="E272" s="104"/>
      <c r="F272" s="105"/>
      <c r="G272" s="105"/>
      <c r="H272" s="106"/>
      <c r="I272" s="106"/>
      <c r="J272" s="107"/>
      <c r="K272" s="108"/>
      <c r="L272" s="108"/>
      <c r="M272" s="104"/>
      <c r="N272" s="104"/>
      <c r="O272" s="104"/>
      <c r="P272" s="104"/>
      <c r="Q272" s="104"/>
      <c r="R272" s="105"/>
      <c r="S272" s="105"/>
      <c r="T272" s="105"/>
      <c r="U272" s="105"/>
      <c r="V272" s="105"/>
      <c r="W272" s="3"/>
    </row>
    <row r="273" spans="1:23" ht="15.75" hidden="1" customHeight="1">
      <c r="A273" s="103"/>
      <c r="B273" s="103"/>
      <c r="C273" s="104"/>
      <c r="D273" s="104"/>
      <c r="E273" s="104"/>
      <c r="F273" s="105"/>
      <c r="G273" s="105"/>
      <c r="H273" s="106"/>
      <c r="I273" s="106"/>
      <c r="J273" s="107"/>
      <c r="K273" s="108"/>
      <c r="L273" s="108"/>
      <c r="M273" s="104"/>
      <c r="N273" s="104"/>
      <c r="O273" s="104"/>
      <c r="P273" s="104"/>
      <c r="Q273" s="104"/>
      <c r="R273" s="105"/>
      <c r="S273" s="105"/>
      <c r="T273" s="105"/>
      <c r="U273" s="105"/>
      <c r="V273" s="105"/>
      <c r="W273" s="3"/>
    </row>
    <row r="274" spans="1:23" ht="15.75" hidden="1" customHeight="1">
      <c r="A274" s="103"/>
      <c r="B274" s="103"/>
      <c r="C274" s="104"/>
      <c r="D274" s="104"/>
      <c r="E274" s="104"/>
      <c r="F274" s="105"/>
      <c r="G274" s="105"/>
      <c r="H274" s="106"/>
      <c r="I274" s="106"/>
      <c r="J274" s="107"/>
      <c r="K274" s="108"/>
      <c r="L274" s="108"/>
      <c r="M274" s="104"/>
      <c r="N274" s="104"/>
      <c r="O274" s="104"/>
      <c r="P274" s="104"/>
      <c r="Q274" s="104"/>
      <c r="R274" s="105"/>
      <c r="S274" s="105"/>
      <c r="T274" s="105"/>
      <c r="U274" s="105"/>
      <c r="V274" s="105"/>
      <c r="W274" s="3"/>
    </row>
    <row r="275" spans="1:23" ht="15.75" hidden="1" customHeight="1">
      <c r="A275" s="103"/>
      <c r="B275" s="103"/>
      <c r="C275" s="104"/>
      <c r="D275" s="104"/>
      <c r="E275" s="104"/>
      <c r="F275" s="105"/>
      <c r="G275" s="105"/>
      <c r="H275" s="106"/>
      <c r="I275" s="106"/>
      <c r="J275" s="107"/>
      <c r="K275" s="108"/>
      <c r="L275" s="108"/>
      <c r="M275" s="104"/>
      <c r="N275" s="104"/>
      <c r="O275" s="104"/>
      <c r="P275" s="104"/>
      <c r="Q275" s="104"/>
      <c r="R275" s="105"/>
      <c r="S275" s="105"/>
      <c r="T275" s="105"/>
      <c r="U275" s="105"/>
      <c r="V275" s="105"/>
      <c r="W275" s="3"/>
    </row>
    <row r="276" spans="1:23" ht="15.75" hidden="1" customHeight="1">
      <c r="A276" s="103"/>
      <c r="B276" s="103"/>
      <c r="C276" s="104"/>
      <c r="D276" s="104"/>
      <c r="E276" s="104"/>
      <c r="F276" s="105"/>
      <c r="G276" s="105"/>
      <c r="H276" s="106"/>
      <c r="I276" s="106"/>
      <c r="J276" s="107"/>
      <c r="K276" s="108"/>
      <c r="L276" s="108"/>
      <c r="M276" s="104"/>
      <c r="N276" s="104"/>
      <c r="O276" s="104"/>
      <c r="P276" s="104"/>
      <c r="Q276" s="104"/>
      <c r="R276" s="105"/>
      <c r="S276" s="105"/>
      <c r="T276" s="105"/>
      <c r="U276" s="105"/>
      <c r="V276" s="105"/>
      <c r="W276" s="3"/>
    </row>
    <row r="277" spans="1:23" ht="15.75" hidden="1" customHeight="1">
      <c r="A277" s="103"/>
      <c r="B277" s="103"/>
      <c r="C277" s="104"/>
      <c r="D277" s="104"/>
      <c r="E277" s="104"/>
      <c r="F277" s="105"/>
      <c r="G277" s="105"/>
      <c r="H277" s="106"/>
      <c r="I277" s="106"/>
      <c r="J277" s="107"/>
      <c r="K277" s="108"/>
      <c r="L277" s="108"/>
      <c r="M277" s="104"/>
      <c r="N277" s="104"/>
      <c r="O277" s="104"/>
      <c r="P277" s="104"/>
      <c r="Q277" s="104"/>
      <c r="R277" s="105"/>
      <c r="S277" s="105"/>
      <c r="T277" s="105"/>
      <c r="U277" s="105"/>
      <c r="V277" s="105"/>
      <c r="W277" s="3"/>
    </row>
    <row r="278" spans="1:23" ht="15.75" hidden="1" customHeight="1">
      <c r="A278" s="103"/>
      <c r="B278" s="103"/>
      <c r="C278" s="104"/>
      <c r="D278" s="104"/>
      <c r="E278" s="104"/>
      <c r="F278" s="105"/>
      <c r="G278" s="105"/>
      <c r="H278" s="106"/>
      <c r="I278" s="106"/>
      <c r="J278" s="107"/>
      <c r="K278" s="108"/>
      <c r="L278" s="108"/>
      <c r="M278" s="104"/>
      <c r="N278" s="104"/>
      <c r="O278" s="104"/>
      <c r="P278" s="104"/>
      <c r="Q278" s="104"/>
      <c r="R278" s="105"/>
      <c r="S278" s="105"/>
      <c r="T278" s="105"/>
      <c r="U278" s="105"/>
      <c r="V278" s="105"/>
      <c r="W278" s="3"/>
    </row>
    <row r="279" spans="1:23" ht="15.75" hidden="1" customHeight="1">
      <c r="A279" s="103"/>
      <c r="B279" s="103"/>
      <c r="C279" s="104"/>
      <c r="D279" s="104"/>
      <c r="E279" s="104"/>
      <c r="F279" s="105"/>
      <c r="G279" s="105"/>
      <c r="H279" s="106"/>
      <c r="I279" s="106"/>
      <c r="J279" s="107"/>
      <c r="K279" s="108"/>
      <c r="L279" s="108"/>
      <c r="M279" s="104"/>
      <c r="N279" s="104"/>
      <c r="O279" s="104"/>
      <c r="P279" s="104"/>
      <c r="Q279" s="104"/>
      <c r="R279" s="105"/>
      <c r="S279" s="105"/>
      <c r="T279" s="105"/>
      <c r="U279" s="105"/>
      <c r="V279" s="105"/>
      <c r="W279" s="3"/>
    </row>
    <row r="280" spans="1:23" ht="15.75" hidden="1" customHeight="1">
      <c r="A280" s="103"/>
      <c r="B280" s="103"/>
      <c r="C280" s="104"/>
      <c r="D280" s="104"/>
      <c r="E280" s="104"/>
      <c r="F280" s="105"/>
      <c r="G280" s="105"/>
      <c r="H280" s="106"/>
      <c r="I280" s="106"/>
      <c r="J280" s="107"/>
      <c r="K280" s="108"/>
      <c r="L280" s="108"/>
      <c r="M280" s="104"/>
      <c r="N280" s="104"/>
      <c r="O280" s="104"/>
      <c r="P280" s="104"/>
      <c r="Q280" s="104"/>
      <c r="R280" s="105"/>
      <c r="S280" s="105"/>
      <c r="T280" s="105"/>
      <c r="U280" s="105"/>
      <c r="V280" s="105"/>
      <c r="W280" s="3"/>
    </row>
    <row r="281" spans="1:23" ht="15.75" hidden="1" customHeight="1">
      <c r="A281" s="103"/>
      <c r="B281" s="103"/>
      <c r="C281" s="104"/>
      <c r="D281" s="104"/>
      <c r="E281" s="104"/>
      <c r="F281" s="105"/>
      <c r="G281" s="105"/>
      <c r="H281" s="106"/>
      <c r="I281" s="106"/>
      <c r="J281" s="107"/>
      <c r="K281" s="108"/>
      <c r="L281" s="108"/>
      <c r="M281" s="104"/>
      <c r="N281" s="104"/>
      <c r="O281" s="104"/>
      <c r="P281" s="104"/>
      <c r="Q281" s="104"/>
      <c r="R281" s="105"/>
      <c r="S281" s="105"/>
      <c r="T281" s="105"/>
      <c r="U281" s="105"/>
      <c r="V281" s="105"/>
      <c r="W281" s="3"/>
    </row>
    <row r="282" spans="1:23" ht="15.75" hidden="1" customHeight="1"/>
    <row r="283" spans="1:23" ht="15.75" hidden="1" customHeight="1"/>
    <row r="284" spans="1:23" ht="15.75" hidden="1" customHeight="1"/>
    <row r="285" spans="1:23" ht="15.75" hidden="1" customHeight="1"/>
    <row r="286" spans="1:23" ht="15.75" hidden="1" customHeight="1"/>
    <row r="287" spans="1:23" ht="15.75" hidden="1" customHeight="1"/>
    <row r="288" spans="1:23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72"/>
  <sheetViews>
    <sheetView workbookViewId="0">
      <selection activeCell="O18" sqref="O18:Q18"/>
    </sheetView>
  </sheetViews>
  <sheetFormatPr defaultColWidth="14.42578125" defaultRowHeight="15" customHeight="1"/>
  <cols>
    <col min="1" max="1" width="6.140625" customWidth="1"/>
    <col min="2" max="2" width="19.5703125" customWidth="1"/>
    <col min="3" max="9" width="8" customWidth="1"/>
    <col min="10" max="10" width="10.28515625" customWidth="1"/>
    <col min="11" max="22" width="8" customWidth="1"/>
    <col min="23" max="24" width="14.42578125" customWidth="1"/>
    <col min="25" max="26" width="8" customWidth="1"/>
  </cols>
  <sheetData>
    <row r="1" spans="1:26" ht="26.25" customHeight="1">
      <c r="A1" s="232">
        <f>'Final Attainment'!A1:V1</f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69"/>
      <c r="X1" s="69"/>
      <c r="Y1" s="75"/>
      <c r="Z1" s="75"/>
    </row>
    <row r="2" spans="1:26" ht="19.5" customHeight="1">
      <c r="A2" s="233">
        <f>'Final Attainment'!A2:V2</f>
        <v>0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75"/>
      <c r="X2" s="75"/>
      <c r="Y2" s="75"/>
      <c r="Z2" s="75"/>
    </row>
    <row r="3" spans="1:26" ht="15.75" customHeight="1">
      <c r="A3" s="70"/>
      <c r="B3" s="70"/>
      <c r="C3" s="70"/>
      <c r="D3" s="70"/>
      <c r="E3" s="75"/>
      <c r="F3" s="75"/>
      <c r="G3" s="75"/>
      <c r="H3" s="75"/>
      <c r="I3" s="70"/>
      <c r="J3" s="70"/>
      <c r="K3" s="71"/>
      <c r="L3" s="70"/>
      <c r="M3" s="75"/>
      <c r="N3" s="75"/>
      <c r="O3" s="70"/>
      <c r="P3" s="75"/>
      <c r="Q3" s="75"/>
      <c r="R3" s="70"/>
      <c r="S3" s="70"/>
      <c r="T3" s="75"/>
      <c r="U3" s="75"/>
      <c r="V3" s="70"/>
      <c r="W3" s="71"/>
      <c r="X3" s="71"/>
      <c r="Y3" s="75"/>
      <c r="Z3" s="75"/>
    </row>
    <row r="4" spans="1:26" ht="39" customHeight="1">
      <c r="A4" s="234" t="s">
        <v>202</v>
      </c>
      <c r="B4" s="224"/>
      <c r="C4" s="72" t="str">
        <f>'Final Attainment'!C4</f>
        <v>2024-2025 EVEN</v>
      </c>
      <c r="D4" s="70"/>
      <c r="E4" s="234" t="s">
        <v>203</v>
      </c>
      <c r="F4" s="224"/>
      <c r="G4" s="73" t="str">
        <f>'Final Attainment'!G4</f>
        <v>IV &amp; II</v>
      </c>
      <c r="H4" s="235" t="s">
        <v>204</v>
      </c>
      <c r="I4" s="224"/>
      <c r="J4" s="224"/>
      <c r="K4" s="236" t="str">
        <f>'Final Attainment'!K4:Q4</f>
        <v>22EE401 &amp; POWER GENERATION, TRANSMISSION AND DISTRIBUTION</v>
      </c>
      <c r="L4" s="224"/>
      <c r="M4" s="224"/>
      <c r="N4" s="224"/>
      <c r="O4" s="224"/>
      <c r="P4" s="224"/>
      <c r="Q4" s="224"/>
      <c r="R4" s="70" t="s">
        <v>205</v>
      </c>
      <c r="S4" s="74" t="str">
        <f>'Final Attainment'!S4</f>
        <v>Dr.SIVARAMAN P / EE1329</v>
      </c>
      <c r="T4" s="75"/>
      <c r="U4" s="74"/>
      <c r="V4" s="74"/>
      <c r="W4" s="71"/>
      <c r="X4" s="71"/>
      <c r="Y4" s="75"/>
      <c r="Z4" s="75"/>
    </row>
    <row r="5" spans="1:26" ht="16.5" customHeight="1">
      <c r="A5" s="70"/>
      <c r="B5" s="70"/>
      <c r="C5" s="70"/>
      <c r="D5" s="76"/>
      <c r="E5" s="75"/>
      <c r="F5" s="75"/>
      <c r="G5" s="75"/>
      <c r="H5" s="75"/>
      <c r="I5" s="70"/>
      <c r="J5" s="70"/>
      <c r="K5" s="71"/>
      <c r="L5" s="77"/>
      <c r="M5" s="75"/>
      <c r="N5" s="75"/>
      <c r="O5" s="70"/>
      <c r="P5" s="75"/>
      <c r="Q5" s="75"/>
      <c r="R5" s="77"/>
      <c r="S5" s="77"/>
      <c r="T5" s="75"/>
      <c r="U5" s="75"/>
      <c r="V5" s="70"/>
      <c r="W5" s="71"/>
      <c r="X5" s="71"/>
      <c r="Y5" s="75"/>
      <c r="Z5" s="75"/>
    </row>
    <row r="6" spans="1:26" ht="28.5" customHeight="1">
      <c r="A6" s="237" t="s">
        <v>228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9"/>
      <c r="W6" s="78"/>
      <c r="X6" s="78"/>
      <c r="Y6" s="75"/>
      <c r="Z6" s="75"/>
    </row>
    <row r="7" spans="1:26" ht="28.5" customHeight="1">
      <c r="A7" s="243" t="s">
        <v>207</v>
      </c>
      <c r="B7" s="273" t="str">
        <f>'Final Attainment'!X1</f>
        <v>CO Attainment Level 0: &lt;50% of students scoring less than the target marks
CO Attainment Level 1: 50% of students scoring more than the target marks
CO Attainment Level 2: 60% of students scoring more than the target marks
CO Attainment Level 3: 70% of students scoring more than the target marks</v>
      </c>
      <c r="C7" s="224"/>
      <c r="D7" s="224"/>
      <c r="E7" s="224"/>
      <c r="F7" s="224"/>
      <c r="G7" s="224"/>
      <c r="H7" s="224"/>
      <c r="I7" s="224"/>
      <c r="J7" s="224"/>
      <c r="K7" s="224"/>
      <c r="L7" s="240" t="s">
        <v>208</v>
      </c>
      <c r="M7" s="241"/>
      <c r="N7" s="241"/>
      <c r="O7" s="241"/>
      <c r="P7" s="241"/>
      <c r="Q7" s="241"/>
      <c r="R7" s="241"/>
      <c r="S7" s="241"/>
      <c r="T7" s="241"/>
      <c r="U7" s="241"/>
      <c r="V7" s="242"/>
      <c r="W7" s="75"/>
      <c r="X7" s="75"/>
      <c r="Y7" s="75"/>
      <c r="Z7" s="75"/>
    </row>
    <row r="8" spans="1:26" ht="15.75" customHeight="1">
      <c r="A8" s="244"/>
      <c r="B8" s="224"/>
      <c r="C8" s="224"/>
      <c r="D8" s="224"/>
      <c r="E8" s="224"/>
      <c r="F8" s="224"/>
      <c r="G8" s="224"/>
      <c r="H8" s="224"/>
      <c r="I8" s="224"/>
      <c r="J8" s="224"/>
      <c r="K8" s="224"/>
      <c r="L8" s="251"/>
      <c r="M8" s="212"/>
      <c r="N8" s="212"/>
      <c r="O8" s="212"/>
      <c r="P8" s="212"/>
      <c r="Q8" s="213"/>
      <c r="R8" s="79" t="s">
        <v>209</v>
      </c>
      <c r="S8" s="79" t="s">
        <v>210</v>
      </c>
      <c r="T8" s="79" t="s">
        <v>211</v>
      </c>
      <c r="U8" s="79" t="s">
        <v>212</v>
      </c>
      <c r="V8" s="80" t="s">
        <v>213</v>
      </c>
      <c r="W8" s="75"/>
      <c r="X8" s="75"/>
      <c r="Y8" s="75"/>
      <c r="Z8" s="75"/>
    </row>
    <row r="9" spans="1:26" ht="16.5" customHeight="1">
      <c r="A9" s="245"/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52" t="s">
        <v>214</v>
      </c>
      <c r="M9" s="212"/>
      <c r="N9" s="212"/>
      <c r="O9" s="212"/>
      <c r="P9" s="212"/>
      <c r="Q9" s="213"/>
      <c r="R9" s="81">
        <f t="shared" ref="R9:V9" si="0">COUNTIF(H16:H472,"&gt;=0")</f>
        <v>0</v>
      </c>
      <c r="S9" s="81">
        <f t="shared" si="0"/>
        <v>0</v>
      </c>
      <c r="T9" s="81">
        <f t="shared" si="0"/>
        <v>66</v>
      </c>
      <c r="U9" s="81">
        <f t="shared" si="0"/>
        <v>66</v>
      </c>
      <c r="V9" s="82">
        <f t="shared" si="0"/>
        <v>66</v>
      </c>
      <c r="W9" s="75"/>
      <c r="X9" s="75"/>
      <c r="Y9" s="75"/>
      <c r="Z9" s="75"/>
    </row>
    <row r="10" spans="1:26" ht="15.75" customHeight="1">
      <c r="A10" s="253" t="s">
        <v>215</v>
      </c>
      <c r="B10" s="254"/>
      <c r="C10" s="254"/>
      <c r="D10" s="254"/>
      <c r="E10" s="255">
        <f>'Final Attainment'!E7</f>
        <v>58</v>
      </c>
      <c r="F10" s="256"/>
      <c r="G10" s="83"/>
      <c r="H10" s="84"/>
      <c r="I10" s="84"/>
      <c r="J10" s="84"/>
      <c r="K10" s="109"/>
      <c r="L10" s="252" t="s">
        <v>216</v>
      </c>
      <c r="M10" s="212"/>
      <c r="N10" s="212"/>
      <c r="O10" s="212"/>
      <c r="P10" s="212"/>
      <c r="Q10" s="213"/>
      <c r="R10" s="81">
        <f t="shared" ref="R10:V10" si="1">COUNTIF(M16:M472,"&gt;="&amp;$E$10)</f>
        <v>0</v>
      </c>
      <c r="S10" s="81">
        <f t="shared" si="1"/>
        <v>0</v>
      </c>
      <c r="T10" s="81">
        <f t="shared" si="1"/>
        <v>48</v>
      </c>
      <c r="U10" s="81">
        <f t="shared" si="1"/>
        <v>42</v>
      </c>
      <c r="V10" s="82">
        <f t="shared" si="1"/>
        <v>44</v>
      </c>
      <c r="W10" s="75"/>
      <c r="X10" s="75"/>
      <c r="Y10" s="75"/>
      <c r="Z10" s="75"/>
    </row>
    <row r="11" spans="1:26" ht="15.75" customHeight="1">
      <c r="A11" s="262" t="s">
        <v>217</v>
      </c>
      <c r="B11" s="263"/>
      <c r="C11" s="263"/>
      <c r="D11" s="263"/>
      <c r="E11" s="264">
        <f>COUNTA(B16:B472)</f>
        <v>66</v>
      </c>
      <c r="F11" s="265"/>
      <c r="G11" s="87"/>
      <c r="H11" s="88"/>
      <c r="I11" s="88"/>
      <c r="J11" s="88"/>
      <c r="K11" s="110"/>
      <c r="L11" s="252" t="s">
        <v>218</v>
      </c>
      <c r="M11" s="212"/>
      <c r="N11" s="212"/>
      <c r="O11" s="212"/>
      <c r="P11" s="212"/>
      <c r="Q11" s="213"/>
      <c r="R11" s="91" t="str">
        <f ca="1"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)))"),"")</f>
        <v/>
      </c>
      <c r="S11" s="90" t="str">
        <f ca="1"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)))"),"")</f>
        <v/>
      </c>
      <c r="T11" s="90">
        <f ca="1"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90">
        <f ca="1"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)))"),2)</f>
        <v>2</v>
      </c>
      <c r="V11" s="92">
        <f ca="1"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)))"),2)</f>
        <v>2</v>
      </c>
      <c r="W11" s="75"/>
      <c r="X11" s="75"/>
      <c r="Y11" s="75"/>
      <c r="Z11" s="75"/>
    </row>
    <row r="12" spans="1:26" ht="16.5" customHeight="1">
      <c r="A12" s="266" t="s">
        <v>219</v>
      </c>
      <c r="B12" s="267"/>
      <c r="C12" s="267"/>
      <c r="D12" s="267"/>
      <c r="E12" s="268">
        <f>T9</f>
        <v>66</v>
      </c>
      <c r="F12" s="269"/>
      <c r="G12" s="93"/>
      <c r="H12" s="94"/>
      <c r="I12" s="94"/>
      <c r="J12" s="94"/>
      <c r="K12" s="111"/>
      <c r="L12" s="270" t="s">
        <v>220</v>
      </c>
      <c r="M12" s="271"/>
      <c r="N12" s="271"/>
      <c r="O12" s="271"/>
      <c r="P12" s="271"/>
      <c r="Q12" s="272"/>
      <c r="R12" s="96">
        <f t="shared" ref="R12:V12" si="2">R9-R10</f>
        <v>0</v>
      </c>
      <c r="S12" s="96">
        <f t="shared" si="2"/>
        <v>0</v>
      </c>
      <c r="T12" s="96">
        <f t="shared" si="2"/>
        <v>18</v>
      </c>
      <c r="U12" s="96">
        <f t="shared" si="2"/>
        <v>24</v>
      </c>
      <c r="V12" s="97">
        <f t="shared" si="2"/>
        <v>22</v>
      </c>
      <c r="W12" s="75"/>
      <c r="X12" s="75"/>
      <c r="Y12" s="75"/>
      <c r="Z12" s="75"/>
    </row>
    <row r="13" spans="1:26" ht="15.75" customHeight="1">
      <c r="A13" s="98"/>
      <c r="B13" s="98"/>
      <c r="C13" s="98"/>
      <c r="D13" s="98"/>
      <c r="E13" s="98"/>
      <c r="F13" s="98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112"/>
      <c r="X13" s="100"/>
      <c r="Y13" s="75"/>
      <c r="Z13" s="75"/>
    </row>
    <row r="14" spans="1:26" ht="15.75" customHeight="1">
      <c r="A14" s="257" t="s">
        <v>221</v>
      </c>
      <c r="B14" s="257" t="s">
        <v>222</v>
      </c>
      <c r="C14" s="258" t="s">
        <v>223</v>
      </c>
      <c r="D14" s="259"/>
      <c r="E14" s="259"/>
      <c r="F14" s="259"/>
      <c r="G14" s="260"/>
      <c r="H14" s="258" t="s">
        <v>224</v>
      </c>
      <c r="I14" s="259"/>
      <c r="J14" s="259"/>
      <c r="K14" s="259"/>
      <c r="L14" s="260"/>
      <c r="M14" s="261" t="s">
        <v>225</v>
      </c>
      <c r="N14" s="212"/>
      <c r="O14" s="212"/>
      <c r="P14" s="212"/>
      <c r="Q14" s="213"/>
      <c r="R14" s="261" t="s">
        <v>226</v>
      </c>
      <c r="S14" s="212"/>
      <c r="T14" s="212"/>
      <c r="U14" s="212"/>
      <c r="V14" s="213"/>
      <c r="W14" s="113" t="s">
        <v>1</v>
      </c>
      <c r="X14" s="75"/>
      <c r="Y14" s="75"/>
      <c r="Z14" s="75"/>
    </row>
    <row r="15" spans="1:26" ht="15.75" customHeight="1">
      <c r="A15" s="229"/>
      <c r="B15" s="229"/>
      <c r="C15" s="102" t="s">
        <v>209</v>
      </c>
      <c r="D15" s="102" t="s">
        <v>210</v>
      </c>
      <c r="E15" s="102" t="s">
        <v>211</v>
      </c>
      <c r="F15" s="102" t="s">
        <v>212</v>
      </c>
      <c r="G15" s="102" t="s">
        <v>213</v>
      </c>
      <c r="H15" s="102" t="s">
        <v>209</v>
      </c>
      <c r="I15" s="102" t="s">
        <v>210</v>
      </c>
      <c r="J15" s="102" t="s">
        <v>211</v>
      </c>
      <c r="K15" s="102" t="s">
        <v>212</v>
      </c>
      <c r="L15" s="102" t="s">
        <v>213</v>
      </c>
      <c r="M15" s="101" t="s">
        <v>209</v>
      </c>
      <c r="N15" s="101" t="s">
        <v>210</v>
      </c>
      <c r="O15" s="101" t="s">
        <v>211</v>
      </c>
      <c r="P15" s="101" t="s">
        <v>212</v>
      </c>
      <c r="Q15" s="101" t="s">
        <v>213</v>
      </c>
      <c r="R15" s="101" t="s">
        <v>209</v>
      </c>
      <c r="S15" s="101" t="s">
        <v>210</v>
      </c>
      <c r="T15" s="101" t="s">
        <v>211</v>
      </c>
      <c r="U15" s="101" t="s">
        <v>212</v>
      </c>
      <c r="V15" s="101" t="s">
        <v>213</v>
      </c>
      <c r="W15" s="114" t="s">
        <v>227</v>
      </c>
      <c r="X15" s="75"/>
      <c r="Y15" s="75"/>
      <c r="Z15" s="75"/>
    </row>
    <row r="16" spans="1:26" ht="16.5" customHeight="1">
      <c r="A16" s="103">
        <f>Theory!A6</f>
        <v>1</v>
      </c>
      <c r="B16" s="103" t="str">
        <f>Theory!B6</f>
        <v>7376231EE102</v>
      </c>
      <c r="C16" s="105"/>
      <c r="D16" s="105"/>
      <c r="E16" s="105">
        <v>10</v>
      </c>
      <c r="F16" s="105">
        <v>20</v>
      </c>
      <c r="G16" s="105">
        <v>20</v>
      </c>
      <c r="H16" s="108"/>
      <c r="I16" s="108"/>
      <c r="J16" s="106">
        <v>7</v>
      </c>
      <c r="K16" s="106">
        <v>14</v>
      </c>
      <c r="L16" s="107">
        <v>14</v>
      </c>
      <c r="M16" s="106"/>
      <c r="N16" s="104" t="str">
        <f t="shared" ref="N16:N81" si="3">IF(D16="","",I16*100/D16)</f>
        <v/>
      </c>
      <c r="O16" s="104">
        <f t="shared" ref="O16:Q16" si="4">IF(E16="","",J16*100/E16)</f>
        <v>70</v>
      </c>
      <c r="P16" s="104">
        <f t="shared" si="4"/>
        <v>70</v>
      </c>
      <c r="Q16" s="104">
        <f t="shared" si="4"/>
        <v>70</v>
      </c>
      <c r="R16" s="115"/>
      <c r="S16" s="115"/>
      <c r="T16" s="105" t="str">
        <f t="shared" ref="T16:V16" si="5">IF(O16&gt;=$E$10,"1","0")</f>
        <v>1</v>
      </c>
      <c r="U16" s="105" t="str">
        <f t="shared" si="5"/>
        <v>1</v>
      </c>
      <c r="V16" s="105" t="str">
        <f t="shared" si="5"/>
        <v>1</v>
      </c>
      <c r="W16" s="116">
        <f>Theory!E6</f>
        <v>35</v>
      </c>
      <c r="X16" s="75"/>
      <c r="Y16" s="75"/>
      <c r="Z16" s="75"/>
    </row>
    <row r="17" spans="1:26" ht="16.5" customHeight="1">
      <c r="A17" s="103">
        <f>Theory!A7</f>
        <v>2</v>
      </c>
      <c r="B17" s="103" t="str">
        <f>Theory!B7</f>
        <v>7376231EE103</v>
      </c>
      <c r="C17" s="105"/>
      <c r="D17" s="105"/>
      <c r="E17" s="105">
        <v>10</v>
      </c>
      <c r="F17" s="105">
        <v>20</v>
      </c>
      <c r="G17" s="105">
        <v>20</v>
      </c>
      <c r="H17" s="108"/>
      <c r="I17" s="108"/>
      <c r="J17" s="106">
        <v>6</v>
      </c>
      <c r="K17" s="106">
        <v>14</v>
      </c>
      <c r="L17" s="107">
        <v>14</v>
      </c>
      <c r="M17" s="106"/>
      <c r="N17" s="104" t="str">
        <f t="shared" si="3"/>
        <v/>
      </c>
      <c r="O17" s="104">
        <f t="shared" ref="O17:Q17" si="6">IF(E17="","",J17*100/E17)</f>
        <v>60</v>
      </c>
      <c r="P17" s="104">
        <f t="shared" si="6"/>
        <v>70</v>
      </c>
      <c r="Q17" s="104">
        <f t="shared" si="6"/>
        <v>70</v>
      </c>
      <c r="R17" s="115"/>
      <c r="S17" s="115"/>
      <c r="T17" s="105" t="str">
        <f t="shared" ref="T17:V17" si="7">IF(O17&gt;=$E$10,"1","0")</f>
        <v>1</v>
      </c>
      <c r="U17" s="105" t="str">
        <f t="shared" si="7"/>
        <v>1</v>
      </c>
      <c r="V17" s="105" t="str">
        <f t="shared" si="7"/>
        <v>1</v>
      </c>
      <c r="W17" s="116">
        <f>Theory!E7</f>
        <v>34</v>
      </c>
      <c r="X17" s="75"/>
      <c r="Y17" s="75"/>
      <c r="Z17" s="75"/>
    </row>
    <row r="18" spans="1:26" ht="16.5" customHeight="1">
      <c r="A18" s="103">
        <f>Theory!A8</f>
        <v>3</v>
      </c>
      <c r="B18" s="103" t="str">
        <f>Theory!B8</f>
        <v>7376231EE104</v>
      </c>
      <c r="C18" s="105"/>
      <c r="D18" s="105"/>
      <c r="E18" s="105">
        <v>10</v>
      </c>
      <c r="F18" s="105">
        <v>20</v>
      </c>
      <c r="G18" s="105">
        <v>20</v>
      </c>
      <c r="H18" s="108"/>
      <c r="I18" s="108"/>
      <c r="J18" s="106">
        <v>5</v>
      </c>
      <c r="K18" s="106">
        <v>9</v>
      </c>
      <c r="L18" s="107">
        <v>9</v>
      </c>
      <c r="M18" s="106"/>
      <c r="N18" s="104" t="str">
        <f t="shared" si="3"/>
        <v/>
      </c>
      <c r="O18" s="104">
        <f t="shared" ref="O18:Q18" si="8">IF(E18="","",J18*100/E18)</f>
        <v>50</v>
      </c>
      <c r="P18" s="104">
        <f t="shared" si="8"/>
        <v>45</v>
      </c>
      <c r="Q18" s="104">
        <f t="shared" si="8"/>
        <v>45</v>
      </c>
      <c r="R18" s="115"/>
      <c r="S18" s="115"/>
      <c r="T18" s="105" t="str">
        <f t="shared" ref="T18:V18" si="9">IF(O18&gt;=$E$10,"1","0")</f>
        <v>0</v>
      </c>
      <c r="U18" s="105" t="str">
        <f t="shared" si="9"/>
        <v>0</v>
      </c>
      <c r="V18" s="105" t="str">
        <f t="shared" si="9"/>
        <v>0</v>
      </c>
      <c r="W18" s="116">
        <f>Theory!E8</f>
        <v>23</v>
      </c>
      <c r="X18" s="75"/>
      <c r="Y18" s="75"/>
      <c r="Z18" s="75"/>
    </row>
    <row r="19" spans="1:26" ht="16.5" customHeight="1">
      <c r="A19" s="103">
        <f>Theory!A9</f>
        <v>4</v>
      </c>
      <c r="B19" s="103" t="str">
        <f>Theory!B9</f>
        <v>7376231EE105</v>
      </c>
      <c r="C19" s="105"/>
      <c r="D19" s="105"/>
      <c r="E19" s="105">
        <v>10</v>
      </c>
      <c r="F19" s="105">
        <v>20</v>
      </c>
      <c r="G19" s="105">
        <v>20</v>
      </c>
      <c r="H19" s="108"/>
      <c r="I19" s="108"/>
      <c r="J19" s="106">
        <v>7</v>
      </c>
      <c r="K19" s="106">
        <v>13</v>
      </c>
      <c r="L19" s="107">
        <v>13</v>
      </c>
      <c r="M19" s="106"/>
      <c r="N19" s="104" t="str">
        <f t="shared" si="3"/>
        <v/>
      </c>
      <c r="O19" s="104">
        <f t="shared" ref="O19:Q19" si="10">IF(E19="","",J19*100/E19)</f>
        <v>70</v>
      </c>
      <c r="P19" s="104">
        <f t="shared" si="10"/>
        <v>65</v>
      </c>
      <c r="Q19" s="104">
        <f t="shared" si="10"/>
        <v>65</v>
      </c>
      <c r="R19" s="115"/>
      <c r="S19" s="115"/>
      <c r="T19" s="105" t="str">
        <f t="shared" ref="T19:V19" si="11">IF(O19&gt;=$E$10,"1","0")</f>
        <v>1</v>
      </c>
      <c r="U19" s="105" t="str">
        <f t="shared" si="11"/>
        <v>1</v>
      </c>
      <c r="V19" s="105" t="str">
        <f t="shared" si="11"/>
        <v>1</v>
      </c>
      <c r="W19" s="116">
        <f>Theory!E9</f>
        <v>33</v>
      </c>
      <c r="X19" s="75"/>
      <c r="Y19" s="75"/>
      <c r="Z19" s="75"/>
    </row>
    <row r="20" spans="1:26" ht="16.5" customHeight="1">
      <c r="A20" s="103">
        <f>Theory!A10</f>
        <v>5</v>
      </c>
      <c r="B20" s="103" t="str">
        <f>Theory!B10</f>
        <v>7376231EE106</v>
      </c>
      <c r="C20" s="105"/>
      <c r="D20" s="105"/>
      <c r="E20" s="105">
        <v>10</v>
      </c>
      <c r="F20" s="105">
        <v>20</v>
      </c>
      <c r="G20" s="105">
        <v>20</v>
      </c>
      <c r="H20" s="108"/>
      <c r="I20" s="108"/>
      <c r="J20" s="106">
        <v>6</v>
      </c>
      <c r="K20" s="106">
        <v>13</v>
      </c>
      <c r="L20" s="107">
        <v>13</v>
      </c>
      <c r="M20" s="106"/>
      <c r="N20" s="104" t="str">
        <f t="shared" si="3"/>
        <v/>
      </c>
      <c r="O20" s="104">
        <f t="shared" ref="O20:Q20" si="12">IF(E20="","",J20*100/E20)</f>
        <v>60</v>
      </c>
      <c r="P20" s="104">
        <f t="shared" si="12"/>
        <v>65</v>
      </c>
      <c r="Q20" s="104">
        <f t="shared" si="12"/>
        <v>65</v>
      </c>
      <c r="R20" s="115"/>
      <c r="S20" s="115"/>
      <c r="T20" s="105" t="str">
        <f t="shared" ref="T20:V20" si="13">IF(O20&gt;=$E$10,"1","0")</f>
        <v>1</v>
      </c>
      <c r="U20" s="105" t="str">
        <f t="shared" si="13"/>
        <v>1</v>
      </c>
      <c r="V20" s="105" t="str">
        <f t="shared" si="13"/>
        <v>1</v>
      </c>
      <c r="W20" s="116">
        <f>Theory!E10</f>
        <v>32</v>
      </c>
      <c r="X20" s="75"/>
      <c r="Y20" s="75"/>
      <c r="Z20" s="75"/>
    </row>
    <row r="21" spans="1:26" ht="16.5" customHeight="1">
      <c r="A21" s="103">
        <f>Theory!A11</f>
        <v>6</v>
      </c>
      <c r="B21" s="103" t="str">
        <f>Theory!B11</f>
        <v>7376231EE107</v>
      </c>
      <c r="C21" s="105"/>
      <c r="D21" s="105"/>
      <c r="E21" s="105">
        <v>10</v>
      </c>
      <c r="F21" s="105">
        <v>20</v>
      </c>
      <c r="G21" s="105">
        <v>20</v>
      </c>
      <c r="H21" s="108"/>
      <c r="I21" s="108"/>
      <c r="J21" s="106">
        <v>6</v>
      </c>
      <c r="K21" s="106">
        <v>14</v>
      </c>
      <c r="L21" s="107">
        <v>14</v>
      </c>
      <c r="M21" s="106"/>
      <c r="N21" s="104" t="str">
        <f t="shared" si="3"/>
        <v/>
      </c>
      <c r="O21" s="104">
        <f t="shared" ref="O21:Q21" si="14">IF(E21="","",J21*100/E21)</f>
        <v>60</v>
      </c>
      <c r="P21" s="104">
        <f t="shared" si="14"/>
        <v>70</v>
      </c>
      <c r="Q21" s="104">
        <f t="shared" si="14"/>
        <v>70</v>
      </c>
      <c r="R21" s="115"/>
      <c r="S21" s="115"/>
      <c r="T21" s="105" t="str">
        <f t="shared" ref="T21:V21" si="15">IF(O21&gt;=$E$10,"1","0")</f>
        <v>1</v>
      </c>
      <c r="U21" s="105" t="str">
        <f t="shared" si="15"/>
        <v>1</v>
      </c>
      <c r="V21" s="105" t="str">
        <f t="shared" si="15"/>
        <v>1</v>
      </c>
      <c r="W21" s="116">
        <f>Theory!E11</f>
        <v>34</v>
      </c>
      <c r="X21" s="75"/>
      <c r="Y21" s="75"/>
      <c r="Z21" s="75"/>
    </row>
    <row r="22" spans="1:26" ht="16.5" customHeight="1">
      <c r="A22" s="103">
        <f>Theory!A12</f>
        <v>7</v>
      </c>
      <c r="B22" s="103" t="str">
        <f>Theory!B12</f>
        <v>7376231EE108</v>
      </c>
      <c r="C22" s="105"/>
      <c r="D22" s="105"/>
      <c r="E22" s="105">
        <v>10</v>
      </c>
      <c r="F22" s="105">
        <v>20</v>
      </c>
      <c r="G22" s="105">
        <v>20</v>
      </c>
      <c r="H22" s="108"/>
      <c r="I22" s="108"/>
      <c r="J22" s="106">
        <v>6</v>
      </c>
      <c r="K22" s="106">
        <v>13</v>
      </c>
      <c r="L22" s="107">
        <v>13</v>
      </c>
      <c r="M22" s="106"/>
      <c r="N22" s="104" t="str">
        <f t="shared" si="3"/>
        <v/>
      </c>
      <c r="O22" s="104">
        <f t="shared" ref="O22:Q22" si="16">IF(E22="","",J22*100/E22)</f>
        <v>60</v>
      </c>
      <c r="P22" s="104">
        <f t="shared" si="16"/>
        <v>65</v>
      </c>
      <c r="Q22" s="104">
        <f t="shared" si="16"/>
        <v>65</v>
      </c>
      <c r="R22" s="115"/>
      <c r="S22" s="115"/>
      <c r="T22" s="105" t="str">
        <f t="shared" ref="T22:V22" si="17">IF(O22&gt;=$E$10,"1","0")</f>
        <v>1</v>
      </c>
      <c r="U22" s="105" t="str">
        <f t="shared" si="17"/>
        <v>1</v>
      </c>
      <c r="V22" s="105" t="str">
        <f t="shared" si="17"/>
        <v>1</v>
      </c>
      <c r="W22" s="116">
        <f>Theory!E12</f>
        <v>32</v>
      </c>
      <c r="X22" s="75"/>
      <c r="Y22" s="75"/>
      <c r="Z22" s="75"/>
    </row>
    <row r="23" spans="1:26" ht="16.5" customHeight="1">
      <c r="A23" s="103">
        <f>Theory!A13</f>
        <v>8</v>
      </c>
      <c r="B23" s="103" t="str">
        <f>Theory!B13</f>
        <v>7376231EE109</v>
      </c>
      <c r="C23" s="105"/>
      <c r="D23" s="105"/>
      <c r="E23" s="105">
        <v>10</v>
      </c>
      <c r="F23" s="105">
        <v>20</v>
      </c>
      <c r="G23" s="105">
        <v>20</v>
      </c>
      <c r="H23" s="108"/>
      <c r="I23" s="108"/>
      <c r="J23" s="106">
        <v>6</v>
      </c>
      <c r="K23" s="106">
        <v>13</v>
      </c>
      <c r="L23" s="107">
        <v>13</v>
      </c>
      <c r="M23" s="106"/>
      <c r="N23" s="104" t="str">
        <f t="shared" si="3"/>
        <v/>
      </c>
      <c r="O23" s="104">
        <f t="shared" ref="O23:Q23" si="18">IF(E23="","",J23*100/E23)</f>
        <v>60</v>
      </c>
      <c r="P23" s="104">
        <f t="shared" si="18"/>
        <v>65</v>
      </c>
      <c r="Q23" s="104">
        <f t="shared" si="18"/>
        <v>65</v>
      </c>
      <c r="R23" s="115"/>
      <c r="S23" s="115"/>
      <c r="T23" s="105" t="str">
        <f t="shared" ref="T23:V23" si="19">IF(O23&gt;=$E$10,"1","0")</f>
        <v>1</v>
      </c>
      <c r="U23" s="105" t="str">
        <f t="shared" si="19"/>
        <v>1</v>
      </c>
      <c r="V23" s="105" t="str">
        <f t="shared" si="19"/>
        <v>1</v>
      </c>
      <c r="W23" s="116">
        <f>Theory!E13</f>
        <v>32</v>
      </c>
      <c r="X23" s="75"/>
      <c r="Y23" s="75"/>
      <c r="Z23" s="75"/>
    </row>
    <row r="24" spans="1:26" ht="16.5" customHeight="1">
      <c r="A24" s="103">
        <f>Theory!A14</f>
        <v>9</v>
      </c>
      <c r="B24" s="103" t="str">
        <f>Theory!B14</f>
        <v>7376231EE110</v>
      </c>
      <c r="C24" s="105"/>
      <c r="D24" s="105"/>
      <c r="E24" s="105">
        <v>10</v>
      </c>
      <c r="F24" s="105">
        <v>20</v>
      </c>
      <c r="G24" s="105">
        <v>20</v>
      </c>
      <c r="H24" s="108"/>
      <c r="I24" s="108"/>
      <c r="J24" s="106">
        <v>6</v>
      </c>
      <c r="K24" s="106">
        <v>15</v>
      </c>
      <c r="L24" s="107">
        <v>16</v>
      </c>
      <c r="M24" s="106"/>
      <c r="N24" s="104" t="str">
        <f t="shared" si="3"/>
        <v/>
      </c>
      <c r="O24" s="104">
        <f t="shared" ref="O24:Q24" si="20">IF(E24="","",J24*100/E24)</f>
        <v>60</v>
      </c>
      <c r="P24" s="104">
        <f t="shared" si="20"/>
        <v>75</v>
      </c>
      <c r="Q24" s="104">
        <f t="shared" si="20"/>
        <v>80</v>
      </c>
      <c r="R24" s="115"/>
      <c r="S24" s="115"/>
      <c r="T24" s="105" t="str">
        <f t="shared" ref="T24:V24" si="21">IF(O24&gt;=$E$10,"1","0")</f>
        <v>1</v>
      </c>
      <c r="U24" s="105" t="str">
        <f t="shared" si="21"/>
        <v>1</v>
      </c>
      <c r="V24" s="105" t="str">
        <f t="shared" si="21"/>
        <v>1</v>
      </c>
      <c r="W24" s="116">
        <f>Theory!E14</f>
        <v>37</v>
      </c>
      <c r="X24" s="75"/>
      <c r="Y24" s="75"/>
      <c r="Z24" s="75"/>
    </row>
    <row r="25" spans="1:26" ht="16.5" customHeight="1">
      <c r="A25" s="103">
        <f>Theory!A15</f>
        <v>10</v>
      </c>
      <c r="B25" s="103" t="str">
        <f>Theory!B15</f>
        <v>7376231EE111</v>
      </c>
      <c r="C25" s="105"/>
      <c r="D25" s="105"/>
      <c r="E25" s="105">
        <v>10</v>
      </c>
      <c r="F25" s="105">
        <v>20</v>
      </c>
      <c r="G25" s="105">
        <v>20</v>
      </c>
      <c r="H25" s="108"/>
      <c r="I25" s="108"/>
      <c r="J25" s="106">
        <v>3</v>
      </c>
      <c r="K25" s="106">
        <v>5</v>
      </c>
      <c r="L25" s="107">
        <v>4</v>
      </c>
      <c r="M25" s="106"/>
      <c r="N25" s="104" t="str">
        <f t="shared" si="3"/>
        <v/>
      </c>
      <c r="O25" s="104">
        <f t="shared" ref="O25:Q25" si="22">IF(E25="","",J25*100/E25)</f>
        <v>30</v>
      </c>
      <c r="P25" s="104">
        <f t="shared" si="22"/>
        <v>25</v>
      </c>
      <c r="Q25" s="104">
        <f t="shared" si="22"/>
        <v>20</v>
      </c>
      <c r="R25" s="115"/>
      <c r="S25" s="115"/>
      <c r="T25" s="105" t="str">
        <f t="shared" ref="T25:V25" si="23">IF(O25&gt;=$E$10,"1","0")</f>
        <v>0</v>
      </c>
      <c r="U25" s="105" t="str">
        <f t="shared" si="23"/>
        <v>0</v>
      </c>
      <c r="V25" s="105" t="str">
        <f t="shared" si="23"/>
        <v>0</v>
      </c>
      <c r="W25" s="116">
        <f>Theory!E15</f>
        <v>12</v>
      </c>
      <c r="X25" s="75"/>
      <c r="Y25" s="75"/>
      <c r="Z25" s="75"/>
    </row>
    <row r="26" spans="1:26" ht="16.5" customHeight="1">
      <c r="A26" s="103">
        <f>Theory!A16</f>
        <v>11</v>
      </c>
      <c r="B26" s="103" t="str">
        <f>Theory!B16</f>
        <v>7376231EE112</v>
      </c>
      <c r="C26" s="105"/>
      <c r="D26" s="105"/>
      <c r="E26" s="105">
        <v>10</v>
      </c>
      <c r="F26" s="105">
        <v>20</v>
      </c>
      <c r="G26" s="105">
        <v>20</v>
      </c>
      <c r="H26" s="108"/>
      <c r="I26" s="108"/>
      <c r="J26" s="106">
        <v>6</v>
      </c>
      <c r="K26" s="106">
        <v>11</v>
      </c>
      <c r="L26" s="107">
        <v>11</v>
      </c>
      <c r="M26" s="106"/>
      <c r="N26" s="104" t="str">
        <f t="shared" si="3"/>
        <v/>
      </c>
      <c r="O26" s="104">
        <f t="shared" ref="O26:Q26" si="24">IF(E26="","",J26*100/E26)</f>
        <v>60</v>
      </c>
      <c r="P26" s="104">
        <f t="shared" si="24"/>
        <v>55</v>
      </c>
      <c r="Q26" s="104">
        <f t="shared" si="24"/>
        <v>55</v>
      </c>
      <c r="R26" s="115"/>
      <c r="S26" s="115"/>
      <c r="T26" s="105" t="str">
        <f t="shared" ref="T26:V26" si="25">IF(O26&gt;=$E$10,"1","0")</f>
        <v>1</v>
      </c>
      <c r="U26" s="105" t="str">
        <f t="shared" si="25"/>
        <v>0</v>
      </c>
      <c r="V26" s="105" t="str">
        <f t="shared" si="25"/>
        <v>0</v>
      </c>
      <c r="W26" s="116">
        <f>Theory!E16</f>
        <v>28</v>
      </c>
      <c r="X26" s="75"/>
      <c r="Y26" s="75"/>
      <c r="Z26" s="75"/>
    </row>
    <row r="27" spans="1:26" ht="16.5" customHeight="1">
      <c r="A27" s="103">
        <f>Theory!A17</f>
        <v>12</v>
      </c>
      <c r="B27" s="103" t="str">
        <f>Theory!B17</f>
        <v>7376231EE113</v>
      </c>
      <c r="C27" s="105"/>
      <c r="D27" s="105"/>
      <c r="E27" s="105">
        <v>10</v>
      </c>
      <c r="F27" s="105">
        <v>20</v>
      </c>
      <c r="G27" s="105">
        <v>20</v>
      </c>
      <c r="H27" s="108"/>
      <c r="I27" s="108"/>
      <c r="J27" s="106">
        <v>6</v>
      </c>
      <c r="K27" s="106">
        <v>14</v>
      </c>
      <c r="L27" s="107">
        <v>14</v>
      </c>
      <c r="M27" s="106"/>
      <c r="N27" s="104" t="str">
        <f t="shared" si="3"/>
        <v/>
      </c>
      <c r="O27" s="104">
        <f t="shared" ref="O27:Q27" si="26">IF(E27="","",J27*100/E27)</f>
        <v>60</v>
      </c>
      <c r="P27" s="104">
        <f t="shared" si="26"/>
        <v>70</v>
      </c>
      <c r="Q27" s="104">
        <f t="shared" si="26"/>
        <v>70</v>
      </c>
      <c r="R27" s="115"/>
      <c r="S27" s="115"/>
      <c r="T27" s="105" t="str">
        <f t="shared" ref="T27:V27" si="27">IF(O27&gt;=$E$10,"1","0")</f>
        <v>1</v>
      </c>
      <c r="U27" s="105" t="str">
        <f t="shared" si="27"/>
        <v>1</v>
      </c>
      <c r="V27" s="105" t="str">
        <f t="shared" si="27"/>
        <v>1</v>
      </c>
      <c r="W27" s="116">
        <f>Theory!E17</f>
        <v>34</v>
      </c>
      <c r="X27" s="75"/>
      <c r="Y27" s="75"/>
      <c r="Z27" s="75"/>
    </row>
    <row r="28" spans="1:26" ht="16.5" customHeight="1">
      <c r="A28" s="103">
        <f>Theory!A18</f>
        <v>13</v>
      </c>
      <c r="B28" s="103" t="str">
        <f>Theory!B18</f>
        <v>7376231EE114</v>
      </c>
      <c r="C28" s="105"/>
      <c r="D28" s="105"/>
      <c r="E28" s="105">
        <v>10</v>
      </c>
      <c r="F28" s="105">
        <v>20</v>
      </c>
      <c r="G28" s="105">
        <v>20</v>
      </c>
      <c r="H28" s="108"/>
      <c r="I28" s="108"/>
      <c r="J28" s="106">
        <v>3</v>
      </c>
      <c r="K28" s="106">
        <v>8</v>
      </c>
      <c r="L28" s="107">
        <v>11</v>
      </c>
      <c r="M28" s="106"/>
      <c r="N28" s="104" t="str">
        <f t="shared" si="3"/>
        <v/>
      </c>
      <c r="O28" s="104">
        <f t="shared" ref="O28:Q28" si="28">IF(E28="","",J28*100/E28)</f>
        <v>30</v>
      </c>
      <c r="P28" s="104">
        <f t="shared" si="28"/>
        <v>40</v>
      </c>
      <c r="Q28" s="104">
        <f t="shared" si="28"/>
        <v>55</v>
      </c>
      <c r="R28" s="115"/>
      <c r="S28" s="115"/>
      <c r="T28" s="105" t="str">
        <f t="shared" ref="T28:V28" si="29">IF(O28&gt;=$E$10,"1","0")</f>
        <v>0</v>
      </c>
      <c r="U28" s="105" t="str">
        <f t="shared" si="29"/>
        <v>0</v>
      </c>
      <c r="V28" s="105" t="str">
        <f t="shared" si="29"/>
        <v>0</v>
      </c>
      <c r="W28" s="116">
        <f>Theory!E18</f>
        <v>22</v>
      </c>
      <c r="X28" s="75"/>
      <c r="Y28" s="75"/>
      <c r="Z28" s="75"/>
    </row>
    <row r="29" spans="1:26" ht="16.5" customHeight="1">
      <c r="A29" s="103">
        <f>Theory!A19</f>
        <v>14</v>
      </c>
      <c r="B29" s="103" t="str">
        <f>Theory!B19</f>
        <v>7376231EE115</v>
      </c>
      <c r="C29" s="105"/>
      <c r="D29" s="105"/>
      <c r="E29" s="105">
        <v>10</v>
      </c>
      <c r="F29" s="105">
        <v>20</v>
      </c>
      <c r="G29" s="105">
        <v>20</v>
      </c>
      <c r="H29" s="108"/>
      <c r="I29" s="108"/>
      <c r="J29" s="106">
        <v>3</v>
      </c>
      <c r="K29" s="106">
        <v>3</v>
      </c>
      <c r="L29" s="107">
        <v>4</v>
      </c>
      <c r="M29" s="106"/>
      <c r="N29" s="104" t="str">
        <f t="shared" si="3"/>
        <v/>
      </c>
      <c r="O29" s="104">
        <f t="shared" ref="O29:Q29" si="30">IF(E29="","",J29*100/E29)</f>
        <v>30</v>
      </c>
      <c r="P29" s="104">
        <f t="shared" si="30"/>
        <v>15</v>
      </c>
      <c r="Q29" s="104">
        <f t="shared" si="30"/>
        <v>20</v>
      </c>
      <c r="R29" s="115"/>
      <c r="S29" s="115"/>
      <c r="T29" s="105" t="str">
        <f t="shared" ref="T29:V29" si="31">IF(O29&gt;=$E$10,"1","0")</f>
        <v>0</v>
      </c>
      <c r="U29" s="105" t="str">
        <f t="shared" si="31"/>
        <v>0</v>
      </c>
      <c r="V29" s="105" t="str">
        <f t="shared" si="31"/>
        <v>0</v>
      </c>
      <c r="W29" s="116">
        <f>Theory!E19</f>
        <v>10</v>
      </c>
      <c r="X29" s="75"/>
      <c r="Y29" s="75"/>
      <c r="Z29" s="75"/>
    </row>
    <row r="30" spans="1:26" ht="16.5" customHeight="1">
      <c r="A30" s="103">
        <f>Theory!A20</f>
        <v>15</v>
      </c>
      <c r="B30" s="103" t="str">
        <f>Theory!B20</f>
        <v>7376231EE116</v>
      </c>
      <c r="C30" s="105"/>
      <c r="D30" s="105"/>
      <c r="E30" s="105">
        <v>10</v>
      </c>
      <c r="F30" s="105">
        <v>20</v>
      </c>
      <c r="G30" s="105">
        <v>20</v>
      </c>
      <c r="H30" s="108"/>
      <c r="I30" s="108"/>
      <c r="J30" s="106">
        <v>6</v>
      </c>
      <c r="K30" s="106">
        <v>9</v>
      </c>
      <c r="L30" s="107">
        <v>9</v>
      </c>
      <c r="M30" s="106"/>
      <c r="N30" s="104" t="str">
        <f t="shared" si="3"/>
        <v/>
      </c>
      <c r="O30" s="104">
        <f t="shared" ref="O30:Q30" si="32">IF(E30="","",J30*100/E30)</f>
        <v>60</v>
      </c>
      <c r="P30" s="104">
        <f t="shared" si="32"/>
        <v>45</v>
      </c>
      <c r="Q30" s="104">
        <f t="shared" si="32"/>
        <v>45</v>
      </c>
      <c r="R30" s="115"/>
      <c r="S30" s="115"/>
      <c r="T30" s="105" t="str">
        <f t="shared" ref="T30:V30" si="33">IF(O30&gt;=$E$10,"1","0")</f>
        <v>1</v>
      </c>
      <c r="U30" s="105" t="str">
        <f t="shared" si="33"/>
        <v>0</v>
      </c>
      <c r="V30" s="105" t="str">
        <f t="shared" si="33"/>
        <v>0</v>
      </c>
      <c r="W30" s="116">
        <f>Theory!E20</f>
        <v>24</v>
      </c>
      <c r="X30" s="75"/>
      <c r="Y30" s="75"/>
      <c r="Z30" s="75"/>
    </row>
    <row r="31" spans="1:26" ht="16.5" customHeight="1">
      <c r="A31" s="103">
        <f>Theory!A21</f>
        <v>16</v>
      </c>
      <c r="B31" s="103" t="str">
        <f>Theory!B21</f>
        <v>7376231EE117</v>
      </c>
      <c r="C31" s="105"/>
      <c r="D31" s="105"/>
      <c r="E31" s="105">
        <v>10</v>
      </c>
      <c r="F31" s="105">
        <v>20</v>
      </c>
      <c r="G31" s="105">
        <v>20</v>
      </c>
      <c r="H31" s="108"/>
      <c r="I31" s="108"/>
      <c r="J31" s="106">
        <v>7</v>
      </c>
      <c r="K31" s="106">
        <v>13</v>
      </c>
      <c r="L31" s="107">
        <v>13</v>
      </c>
      <c r="M31" s="106"/>
      <c r="N31" s="104" t="str">
        <f t="shared" si="3"/>
        <v/>
      </c>
      <c r="O31" s="104">
        <f t="shared" ref="O31:Q31" si="34">IF(E31="","",J31*100/E31)</f>
        <v>70</v>
      </c>
      <c r="P31" s="104">
        <f t="shared" si="34"/>
        <v>65</v>
      </c>
      <c r="Q31" s="104">
        <f t="shared" si="34"/>
        <v>65</v>
      </c>
      <c r="R31" s="115"/>
      <c r="S31" s="115"/>
      <c r="T31" s="105" t="str">
        <f t="shared" ref="T31:V31" si="35">IF(O31&gt;=$E$10,"1","0")</f>
        <v>1</v>
      </c>
      <c r="U31" s="105" t="str">
        <f t="shared" si="35"/>
        <v>1</v>
      </c>
      <c r="V31" s="105" t="str">
        <f t="shared" si="35"/>
        <v>1</v>
      </c>
      <c r="W31" s="116">
        <f>Theory!E21</f>
        <v>33</v>
      </c>
      <c r="X31" s="75"/>
      <c r="Y31" s="75"/>
      <c r="Z31" s="75"/>
    </row>
    <row r="32" spans="1:26" ht="16.5" customHeight="1">
      <c r="A32" s="103">
        <f>Theory!A22</f>
        <v>17</v>
      </c>
      <c r="B32" s="103" t="str">
        <f>Theory!B22</f>
        <v>7376231EE118</v>
      </c>
      <c r="C32" s="105"/>
      <c r="D32" s="105"/>
      <c r="E32" s="105">
        <v>10</v>
      </c>
      <c r="F32" s="105">
        <v>20</v>
      </c>
      <c r="G32" s="105">
        <v>20</v>
      </c>
      <c r="H32" s="108"/>
      <c r="I32" s="108"/>
      <c r="J32" s="106">
        <v>6</v>
      </c>
      <c r="K32" s="106">
        <v>12</v>
      </c>
      <c r="L32" s="107">
        <v>13</v>
      </c>
      <c r="M32" s="106"/>
      <c r="N32" s="104" t="str">
        <f t="shared" si="3"/>
        <v/>
      </c>
      <c r="O32" s="104">
        <f t="shared" ref="O32:Q32" si="36">IF(E32="","",J32*100/E32)</f>
        <v>60</v>
      </c>
      <c r="P32" s="104">
        <f t="shared" si="36"/>
        <v>60</v>
      </c>
      <c r="Q32" s="104">
        <f t="shared" si="36"/>
        <v>65</v>
      </c>
      <c r="R32" s="115"/>
      <c r="S32" s="115"/>
      <c r="T32" s="105" t="str">
        <f t="shared" ref="T32:V32" si="37">IF(O32&gt;=$E$10,"1","0")</f>
        <v>1</v>
      </c>
      <c r="U32" s="105" t="str">
        <f t="shared" si="37"/>
        <v>1</v>
      </c>
      <c r="V32" s="105" t="str">
        <f t="shared" si="37"/>
        <v>1</v>
      </c>
      <c r="W32" s="116">
        <f>Theory!E22</f>
        <v>31</v>
      </c>
      <c r="X32" s="75"/>
      <c r="Y32" s="75"/>
      <c r="Z32" s="75"/>
    </row>
    <row r="33" spans="1:26" ht="16.5" customHeight="1">
      <c r="A33" s="103">
        <f>Theory!A23</f>
        <v>18</v>
      </c>
      <c r="B33" s="103" t="str">
        <f>Theory!B23</f>
        <v>7376231EE119</v>
      </c>
      <c r="C33" s="105"/>
      <c r="D33" s="105"/>
      <c r="E33" s="105">
        <v>10</v>
      </c>
      <c r="F33" s="105">
        <v>20</v>
      </c>
      <c r="G33" s="105">
        <v>20</v>
      </c>
      <c r="H33" s="108"/>
      <c r="I33" s="108"/>
      <c r="J33" s="106">
        <v>6</v>
      </c>
      <c r="K33" s="106">
        <v>12</v>
      </c>
      <c r="L33" s="107">
        <v>13</v>
      </c>
      <c r="M33" s="106"/>
      <c r="N33" s="104" t="str">
        <f t="shared" si="3"/>
        <v/>
      </c>
      <c r="O33" s="104">
        <f t="shared" ref="O33:Q33" si="38">IF(E33="","",J33*100/E33)</f>
        <v>60</v>
      </c>
      <c r="P33" s="104">
        <f t="shared" si="38"/>
        <v>60</v>
      </c>
      <c r="Q33" s="104">
        <f t="shared" si="38"/>
        <v>65</v>
      </c>
      <c r="R33" s="115"/>
      <c r="S33" s="115"/>
      <c r="T33" s="105" t="str">
        <f t="shared" ref="T33:V33" si="39">IF(O33&gt;=$E$10,"1","0")</f>
        <v>1</v>
      </c>
      <c r="U33" s="105" t="str">
        <f t="shared" si="39"/>
        <v>1</v>
      </c>
      <c r="V33" s="105" t="str">
        <f t="shared" si="39"/>
        <v>1</v>
      </c>
      <c r="W33" s="116">
        <f>Theory!E23</f>
        <v>31</v>
      </c>
      <c r="X33" s="75"/>
      <c r="Y33" s="75"/>
      <c r="Z33" s="75"/>
    </row>
    <row r="34" spans="1:26" ht="16.5" customHeight="1">
      <c r="A34" s="103">
        <f>Theory!A24</f>
        <v>19</v>
      </c>
      <c r="B34" s="103" t="str">
        <f>Theory!B24</f>
        <v>7376231EE120</v>
      </c>
      <c r="C34" s="105"/>
      <c r="D34" s="105"/>
      <c r="E34" s="105">
        <v>10</v>
      </c>
      <c r="F34" s="105">
        <v>20</v>
      </c>
      <c r="G34" s="105">
        <v>20</v>
      </c>
      <c r="H34" s="108"/>
      <c r="I34" s="108"/>
      <c r="J34" s="106">
        <v>6</v>
      </c>
      <c r="K34" s="106">
        <v>13</v>
      </c>
      <c r="L34" s="107">
        <v>13</v>
      </c>
      <c r="M34" s="106"/>
      <c r="N34" s="104" t="str">
        <f t="shared" si="3"/>
        <v/>
      </c>
      <c r="O34" s="104">
        <f t="shared" ref="O34:Q34" si="40">IF(E34="","",J34*100/E34)</f>
        <v>60</v>
      </c>
      <c r="P34" s="104">
        <f t="shared" si="40"/>
        <v>65</v>
      </c>
      <c r="Q34" s="104">
        <f t="shared" si="40"/>
        <v>65</v>
      </c>
      <c r="R34" s="115"/>
      <c r="S34" s="115"/>
      <c r="T34" s="105" t="str">
        <f t="shared" ref="T34:V34" si="41">IF(O34&gt;=$E$10,"1","0")</f>
        <v>1</v>
      </c>
      <c r="U34" s="105" t="str">
        <f t="shared" si="41"/>
        <v>1</v>
      </c>
      <c r="V34" s="105" t="str">
        <f t="shared" si="41"/>
        <v>1</v>
      </c>
      <c r="W34" s="116">
        <f>Theory!E24</f>
        <v>32</v>
      </c>
      <c r="X34" s="75"/>
      <c r="Y34" s="75"/>
      <c r="Z34" s="75"/>
    </row>
    <row r="35" spans="1:26" ht="16.5" customHeight="1">
      <c r="A35" s="103">
        <f>Theory!A25</f>
        <v>20</v>
      </c>
      <c r="B35" s="103" t="str">
        <f>Theory!B25</f>
        <v>7376231EE121</v>
      </c>
      <c r="C35" s="105"/>
      <c r="D35" s="105"/>
      <c r="E35" s="105">
        <v>10</v>
      </c>
      <c r="F35" s="105">
        <v>20</v>
      </c>
      <c r="G35" s="105">
        <v>20</v>
      </c>
      <c r="H35" s="108"/>
      <c r="I35" s="108"/>
      <c r="J35" s="106">
        <v>7</v>
      </c>
      <c r="K35" s="106">
        <v>14</v>
      </c>
      <c r="L35" s="107">
        <v>15</v>
      </c>
      <c r="M35" s="106"/>
      <c r="N35" s="104" t="str">
        <f t="shared" si="3"/>
        <v/>
      </c>
      <c r="O35" s="104">
        <f t="shared" ref="O35:Q35" si="42">IF(E35="","",J35*100/E35)</f>
        <v>70</v>
      </c>
      <c r="P35" s="104">
        <f t="shared" si="42"/>
        <v>70</v>
      </c>
      <c r="Q35" s="104">
        <f t="shared" si="42"/>
        <v>75</v>
      </c>
      <c r="R35" s="115"/>
      <c r="S35" s="115"/>
      <c r="T35" s="105" t="str">
        <f t="shared" ref="T35:V35" si="43">IF(O35&gt;=$E$10,"1","0")</f>
        <v>1</v>
      </c>
      <c r="U35" s="105" t="str">
        <f t="shared" si="43"/>
        <v>1</v>
      </c>
      <c r="V35" s="105" t="str">
        <f t="shared" si="43"/>
        <v>1</v>
      </c>
      <c r="W35" s="116">
        <f>Theory!E25</f>
        <v>36</v>
      </c>
      <c r="X35" s="75"/>
      <c r="Y35" s="75"/>
      <c r="Z35" s="75"/>
    </row>
    <row r="36" spans="1:26" ht="16.5" customHeight="1">
      <c r="A36" s="103">
        <f>Theory!A26</f>
        <v>21</v>
      </c>
      <c r="B36" s="103" t="str">
        <f>Theory!B26</f>
        <v>7376231EE122</v>
      </c>
      <c r="C36" s="105"/>
      <c r="D36" s="105"/>
      <c r="E36" s="105">
        <v>10</v>
      </c>
      <c r="F36" s="105">
        <v>20</v>
      </c>
      <c r="G36" s="105">
        <v>20</v>
      </c>
      <c r="H36" s="108"/>
      <c r="I36" s="108"/>
      <c r="J36" s="106">
        <v>7</v>
      </c>
      <c r="K36" s="106">
        <v>14</v>
      </c>
      <c r="L36" s="107">
        <v>15</v>
      </c>
      <c r="M36" s="106"/>
      <c r="N36" s="104" t="str">
        <f t="shared" si="3"/>
        <v/>
      </c>
      <c r="O36" s="104">
        <f t="shared" ref="O36:Q36" si="44">IF(E36="","",J36*100/E36)</f>
        <v>70</v>
      </c>
      <c r="P36" s="104">
        <f t="shared" si="44"/>
        <v>70</v>
      </c>
      <c r="Q36" s="104">
        <f t="shared" si="44"/>
        <v>75</v>
      </c>
      <c r="R36" s="115"/>
      <c r="S36" s="115"/>
      <c r="T36" s="105" t="str">
        <f t="shared" ref="T36:V36" si="45">IF(O36&gt;=$E$10,"1","0")</f>
        <v>1</v>
      </c>
      <c r="U36" s="105" t="str">
        <f t="shared" si="45"/>
        <v>1</v>
      </c>
      <c r="V36" s="105" t="str">
        <f t="shared" si="45"/>
        <v>1</v>
      </c>
      <c r="W36" s="116">
        <f>Theory!E26</f>
        <v>36</v>
      </c>
      <c r="X36" s="75"/>
      <c r="Y36" s="75"/>
      <c r="Z36" s="75"/>
    </row>
    <row r="37" spans="1:26" ht="16.5" customHeight="1">
      <c r="A37" s="103">
        <f>Theory!A27</f>
        <v>22</v>
      </c>
      <c r="B37" s="103" t="str">
        <f>Theory!B27</f>
        <v>7376231EE123</v>
      </c>
      <c r="C37" s="105"/>
      <c r="D37" s="105"/>
      <c r="E37" s="105">
        <v>10</v>
      </c>
      <c r="F37" s="105">
        <v>20</v>
      </c>
      <c r="G37" s="105">
        <v>20</v>
      </c>
      <c r="H37" s="108"/>
      <c r="I37" s="108"/>
      <c r="J37" s="106">
        <v>6</v>
      </c>
      <c r="K37" s="106">
        <v>14</v>
      </c>
      <c r="L37" s="107">
        <v>14</v>
      </c>
      <c r="M37" s="106"/>
      <c r="N37" s="104" t="str">
        <f t="shared" si="3"/>
        <v/>
      </c>
      <c r="O37" s="104">
        <f t="shared" ref="O37:Q37" si="46">IF(E37="","",J37*100/E37)</f>
        <v>60</v>
      </c>
      <c r="P37" s="104">
        <f t="shared" si="46"/>
        <v>70</v>
      </c>
      <c r="Q37" s="104">
        <f t="shared" si="46"/>
        <v>70</v>
      </c>
      <c r="R37" s="115"/>
      <c r="S37" s="115"/>
      <c r="T37" s="105" t="str">
        <f t="shared" ref="T37:V37" si="47">IF(O37&gt;=$E$10,"1","0")</f>
        <v>1</v>
      </c>
      <c r="U37" s="105" t="str">
        <f t="shared" si="47"/>
        <v>1</v>
      </c>
      <c r="V37" s="105" t="str">
        <f t="shared" si="47"/>
        <v>1</v>
      </c>
      <c r="W37" s="116">
        <f>Theory!E27</f>
        <v>34</v>
      </c>
      <c r="X37" s="75"/>
      <c r="Y37" s="75"/>
      <c r="Z37" s="75"/>
    </row>
    <row r="38" spans="1:26" ht="16.5" customHeight="1">
      <c r="A38" s="103">
        <f>Theory!A28</f>
        <v>23</v>
      </c>
      <c r="B38" s="103" t="str">
        <f>Theory!B28</f>
        <v>7376231EE124</v>
      </c>
      <c r="C38" s="105"/>
      <c r="D38" s="105"/>
      <c r="E38" s="105">
        <v>10</v>
      </c>
      <c r="F38" s="105">
        <v>20</v>
      </c>
      <c r="G38" s="105">
        <v>20</v>
      </c>
      <c r="H38" s="108"/>
      <c r="I38" s="108"/>
      <c r="J38" s="106">
        <v>6</v>
      </c>
      <c r="K38" s="106">
        <v>11</v>
      </c>
      <c r="L38" s="107">
        <v>12</v>
      </c>
      <c r="M38" s="106"/>
      <c r="N38" s="104" t="str">
        <f t="shared" si="3"/>
        <v/>
      </c>
      <c r="O38" s="104">
        <f t="shared" ref="O38:Q38" si="48">IF(E38="","",J38*100/E38)</f>
        <v>60</v>
      </c>
      <c r="P38" s="104">
        <f t="shared" si="48"/>
        <v>55</v>
      </c>
      <c r="Q38" s="104">
        <f t="shared" si="48"/>
        <v>60</v>
      </c>
      <c r="R38" s="115"/>
      <c r="S38" s="115"/>
      <c r="T38" s="105" t="str">
        <f t="shared" ref="T38:V38" si="49">IF(O38&gt;=$E$10,"1","0")</f>
        <v>1</v>
      </c>
      <c r="U38" s="105" t="str">
        <f t="shared" si="49"/>
        <v>0</v>
      </c>
      <c r="V38" s="105" t="str">
        <f t="shared" si="49"/>
        <v>1</v>
      </c>
      <c r="W38" s="116">
        <f>Theory!E28</f>
        <v>29</v>
      </c>
      <c r="X38" s="75"/>
      <c r="Y38" s="75"/>
      <c r="Z38" s="75"/>
    </row>
    <row r="39" spans="1:26" ht="16.5" customHeight="1">
      <c r="A39" s="103">
        <f>Theory!A29</f>
        <v>24</v>
      </c>
      <c r="B39" s="103" t="str">
        <f>Theory!B29</f>
        <v>7376231EE125</v>
      </c>
      <c r="C39" s="105"/>
      <c r="D39" s="105"/>
      <c r="E39" s="105">
        <v>10</v>
      </c>
      <c r="F39" s="105">
        <v>20</v>
      </c>
      <c r="G39" s="105">
        <v>20</v>
      </c>
      <c r="H39" s="108"/>
      <c r="I39" s="108"/>
      <c r="J39" s="106">
        <v>7</v>
      </c>
      <c r="K39" s="106">
        <v>14</v>
      </c>
      <c r="L39" s="107">
        <v>14</v>
      </c>
      <c r="M39" s="106"/>
      <c r="N39" s="104" t="str">
        <f t="shared" si="3"/>
        <v/>
      </c>
      <c r="O39" s="104">
        <f t="shared" ref="O39:Q39" si="50">IF(E39="","",J39*100/E39)</f>
        <v>70</v>
      </c>
      <c r="P39" s="104">
        <f t="shared" si="50"/>
        <v>70</v>
      </c>
      <c r="Q39" s="104">
        <f t="shared" si="50"/>
        <v>70</v>
      </c>
      <c r="R39" s="115"/>
      <c r="S39" s="115"/>
      <c r="T39" s="105" t="str">
        <f t="shared" ref="T39:V39" si="51">IF(O39&gt;=$E$10,"1","0")</f>
        <v>1</v>
      </c>
      <c r="U39" s="105" t="str">
        <f t="shared" si="51"/>
        <v>1</v>
      </c>
      <c r="V39" s="105" t="str">
        <f t="shared" si="51"/>
        <v>1</v>
      </c>
      <c r="W39" s="116">
        <f>Theory!E29</f>
        <v>35</v>
      </c>
      <c r="X39" s="75"/>
      <c r="Y39" s="75"/>
      <c r="Z39" s="75"/>
    </row>
    <row r="40" spans="1:26" ht="15.75" customHeight="1">
      <c r="A40" s="103">
        <f>Theory!A30</f>
        <v>25</v>
      </c>
      <c r="B40" s="103" t="str">
        <f>Theory!B30</f>
        <v>7376231EE126</v>
      </c>
      <c r="C40" s="105"/>
      <c r="D40" s="105"/>
      <c r="E40" s="105">
        <v>10</v>
      </c>
      <c r="F40" s="105">
        <v>20</v>
      </c>
      <c r="G40" s="105">
        <v>20</v>
      </c>
      <c r="H40" s="108"/>
      <c r="I40" s="108"/>
      <c r="J40" s="106">
        <v>6</v>
      </c>
      <c r="K40" s="106">
        <v>14</v>
      </c>
      <c r="L40" s="107">
        <v>14</v>
      </c>
      <c r="M40" s="106"/>
      <c r="N40" s="104" t="str">
        <f t="shared" si="3"/>
        <v/>
      </c>
      <c r="O40" s="104">
        <f t="shared" ref="O40:Q40" si="52">IF(E40="","",J40*100/E40)</f>
        <v>60</v>
      </c>
      <c r="P40" s="104">
        <f t="shared" si="52"/>
        <v>70</v>
      </c>
      <c r="Q40" s="104">
        <f t="shared" si="52"/>
        <v>70</v>
      </c>
      <c r="R40" s="115"/>
      <c r="S40" s="115"/>
      <c r="T40" s="105" t="str">
        <f t="shared" ref="T40:V40" si="53">IF(O40&gt;=$E$10,"1","0")</f>
        <v>1</v>
      </c>
      <c r="U40" s="105" t="str">
        <f t="shared" si="53"/>
        <v>1</v>
      </c>
      <c r="V40" s="105" t="str">
        <f t="shared" si="53"/>
        <v>1</v>
      </c>
      <c r="W40" s="116">
        <f>Theory!E30</f>
        <v>34</v>
      </c>
    </row>
    <row r="41" spans="1:26" ht="15.75" customHeight="1">
      <c r="A41" s="103">
        <f>Theory!A31</f>
        <v>26</v>
      </c>
      <c r="B41" s="103" t="str">
        <f>Theory!B31</f>
        <v>7376231EE127</v>
      </c>
      <c r="C41" s="105"/>
      <c r="D41" s="105"/>
      <c r="E41" s="105">
        <v>10</v>
      </c>
      <c r="F41" s="105">
        <v>20</v>
      </c>
      <c r="G41" s="105">
        <v>20</v>
      </c>
      <c r="H41" s="108"/>
      <c r="I41" s="108"/>
      <c r="J41" s="106">
        <v>7</v>
      </c>
      <c r="K41" s="106">
        <v>13</v>
      </c>
      <c r="L41" s="107">
        <v>13</v>
      </c>
      <c r="M41" s="106"/>
      <c r="N41" s="104" t="str">
        <f t="shared" si="3"/>
        <v/>
      </c>
      <c r="O41" s="104">
        <f t="shared" ref="O41:Q41" si="54">IF(E41="","",J41*100/E41)</f>
        <v>70</v>
      </c>
      <c r="P41" s="104">
        <f t="shared" si="54"/>
        <v>65</v>
      </c>
      <c r="Q41" s="104">
        <f t="shared" si="54"/>
        <v>65</v>
      </c>
      <c r="R41" s="115"/>
      <c r="S41" s="115"/>
      <c r="T41" s="105" t="str">
        <f t="shared" ref="T41:V41" si="55">IF(O41&gt;=$E$10,"1","0")</f>
        <v>1</v>
      </c>
      <c r="U41" s="105" t="str">
        <f t="shared" si="55"/>
        <v>1</v>
      </c>
      <c r="V41" s="105" t="str">
        <f t="shared" si="55"/>
        <v>1</v>
      </c>
      <c r="W41" s="116">
        <f>Theory!E31</f>
        <v>33</v>
      </c>
    </row>
    <row r="42" spans="1:26" ht="15.75" customHeight="1">
      <c r="A42" s="103">
        <f>Theory!A32</f>
        <v>27</v>
      </c>
      <c r="B42" s="103" t="str">
        <f>Theory!B32</f>
        <v>7376231EE128</v>
      </c>
      <c r="C42" s="105"/>
      <c r="D42" s="105"/>
      <c r="E42" s="105">
        <v>10</v>
      </c>
      <c r="F42" s="105">
        <v>20</v>
      </c>
      <c r="G42" s="105">
        <v>20</v>
      </c>
      <c r="H42" s="108"/>
      <c r="I42" s="108"/>
      <c r="J42" s="106">
        <v>6</v>
      </c>
      <c r="K42" s="106">
        <v>12</v>
      </c>
      <c r="L42" s="107">
        <v>13</v>
      </c>
      <c r="M42" s="106"/>
      <c r="N42" s="104" t="str">
        <f t="shared" si="3"/>
        <v/>
      </c>
      <c r="O42" s="104">
        <f t="shared" ref="O42:Q42" si="56">IF(E42="","",J42*100/E42)</f>
        <v>60</v>
      </c>
      <c r="P42" s="104">
        <f t="shared" si="56"/>
        <v>60</v>
      </c>
      <c r="Q42" s="104">
        <f t="shared" si="56"/>
        <v>65</v>
      </c>
      <c r="R42" s="115"/>
      <c r="S42" s="115"/>
      <c r="T42" s="105" t="str">
        <f t="shared" ref="T42:V42" si="57">IF(O42&gt;=$E$10,"1","0")</f>
        <v>1</v>
      </c>
      <c r="U42" s="105" t="str">
        <f t="shared" si="57"/>
        <v>1</v>
      </c>
      <c r="V42" s="105" t="str">
        <f t="shared" si="57"/>
        <v>1</v>
      </c>
      <c r="W42" s="116">
        <f>Theory!E32</f>
        <v>31</v>
      </c>
    </row>
    <row r="43" spans="1:26" ht="15.75" customHeight="1">
      <c r="A43" s="103">
        <f>Theory!A33</f>
        <v>28</v>
      </c>
      <c r="B43" s="103" t="str">
        <f>Theory!B33</f>
        <v>7376231EE129</v>
      </c>
      <c r="C43" s="105"/>
      <c r="D43" s="105"/>
      <c r="E43" s="105">
        <v>10</v>
      </c>
      <c r="F43" s="105">
        <v>20</v>
      </c>
      <c r="G43" s="105">
        <v>20</v>
      </c>
      <c r="H43" s="108"/>
      <c r="I43" s="108"/>
      <c r="J43" s="106">
        <v>6</v>
      </c>
      <c r="K43" s="106">
        <v>14</v>
      </c>
      <c r="L43" s="107">
        <v>14</v>
      </c>
      <c r="M43" s="106"/>
      <c r="N43" s="104" t="str">
        <f t="shared" si="3"/>
        <v/>
      </c>
      <c r="O43" s="104">
        <f t="shared" ref="O43:Q43" si="58">IF(E43="","",J43*100/E43)</f>
        <v>60</v>
      </c>
      <c r="P43" s="104">
        <f t="shared" si="58"/>
        <v>70</v>
      </c>
      <c r="Q43" s="104">
        <f t="shared" si="58"/>
        <v>70</v>
      </c>
      <c r="R43" s="115"/>
      <c r="S43" s="115"/>
      <c r="T43" s="105" t="str">
        <f t="shared" ref="T43:V43" si="59">IF(O43&gt;=$E$10,"1","0")</f>
        <v>1</v>
      </c>
      <c r="U43" s="105" t="str">
        <f t="shared" si="59"/>
        <v>1</v>
      </c>
      <c r="V43" s="105" t="str">
        <f t="shared" si="59"/>
        <v>1</v>
      </c>
      <c r="W43" s="116">
        <f>Theory!E33</f>
        <v>34</v>
      </c>
    </row>
    <row r="44" spans="1:26" ht="15.75" customHeight="1">
      <c r="A44" s="103">
        <f>Theory!A34</f>
        <v>29</v>
      </c>
      <c r="B44" s="103" t="str">
        <f>Theory!B34</f>
        <v>7376231EE130</v>
      </c>
      <c r="C44" s="105"/>
      <c r="D44" s="105"/>
      <c r="E44" s="105">
        <v>10</v>
      </c>
      <c r="F44" s="105">
        <v>20</v>
      </c>
      <c r="G44" s="105">
        <v>20</v>
      </c>
      <c r="H44" s="108"/>
      <c r="I44" s="108"/>
      <c r="J44" s="106">
        <v>7</v>
      </c>
      <c r="K44" s="106">
        <v>13</v>
      </c>
      <c r="L44" s="107">
        <v>13</v>
      </c>
      <c r="M44" s="106"/>
      <c r="N44" s="104" t="str">
        <f t="shared" si="3"/>
        <v/>
      </c>
      <c r="O44" s="104">
        <f t="shared" ref="O44:Q44" si="60">IF(E44="","",J44*100/E44)</f>
        <v>70</v>
      </c>
      <c r="P44" s="104">
        <f t="shared" si="60"/>
        <v>65</v>
      </c>
      <c r="Q44" s="104">
        <f t="shared" si="60"/>
        <v>65</v>
      </c>
      <c r="R44" s="115"/>
      <c r="S44" s="115"/>
      <c r="T44" s="105" t="str">
        <f t="shared" ref="T44:V44" si="61">IF(O44&gt;=$E$10,"1","0")</f>
        <v>1</v>
      </c>
      <c r="U44" s="105" t="str">
        <f t="shared" si="61"/>
        <v>1</v>
      </c>
      <c r="V44" s="105" t="str">
        <f t="shared" si="61"/>
        <v>1</v>
      </c>
      <c r="W44" s="116">
        <f>Theory!E34</f>
        <v>33</v>
      </c>
    </row>
    <row r="45" spans="1:26" ht="15.75" customHeight="1">
      <c r="A45" s="103">
        <f>Theory!A35</f>
        <v>30</v>
      </c>
      <c r="B45" s="103" t="str">
        <f>Theory!B35</f>
        <v>7376231EE131</v>
      </c>
      <c r="C45" s="105"/>
      <c r="D45" s="105"/>
      <c r="E45" s="105">
        <v>10</v>
      </c>
      <c r="F45" s="105">
        <v>20</v>
      </c>
      <c r="G45" s="105">
        <v>20</v>
      </c>
      <c r="H45" s="108"/>
      <c r="I45" s="108"/>
      <c r="J45" s="106">
        <v>6</v>
      </c>
      <c r="K45" s="106">
        <v>13</v>
      </c>
      <c r="L45" s="107">
        <v>13</v>
      </c>
      <c r="M45" s="106"/>
      <c r="N45" s="104" t="str">
        <f t="shared" si="3"/>
        <v/>
      </c>
      <c r="O45" s="104">
        <f t="shared" ref="O45:Q45" si="62">IF(E45="","",J45*100/E45)</f>
        <v>60</v>
      </c>
      <c r="P45" s="104">
        <f t="shared" si="62"/>
        <v>65</v>
      </c>
      <c r="Q45" s="104">
        <f t="shared" si="62"/>
        <v>65</v>
      </c>
      <c r="R45" s="115"/>
      <c r="S45" s="115"/>
      <c r="T45" s="105" t="str">
        <f t="shared" ref="T45:V45" si="63">IF(O45&gt;=$E$10,"1","0")</f>
        <v>1</v>
      </c>
      <c r="U45" s="105" t="str">
        <f t="shared" si="63"/>
        <v>1</v>
      </c>
      <c r="V45" s="105" t="str">
        <f t="shared" si="63"/>
        <v>1</v>
      </c>
      <c r="W45" s="116">
        <f>Theory!E35</f>
        <v>32</v>
      </c>
    </row>
    <row r="46" spans="1:26" ht="15.75" customHeight="1">
      <c r="A46" s="103">
        <f>Theory!A36</f>
        <v>31</v>
      </c>
      <c r="B46" s="103" t="str">
        <f>Theory!B36</f>
        <v>7376231EE132</v>
      </c>
      <c r="C46" s="105"/>
      <c r="D46" s="105"/>
      <c r="E46" s="105">
        <v>10</v>
      </c>
      <c r="F46" s="105">
        <v>20</v>
      </c>
      <c r="G46" s="105">
        <v>20</v>
      </c>
      <c r="H46" s="108"/>
      <c r="I46" s="108"/>
      <c r="J46" s="106">
        <v>6</v>
      </c>
      <c r="K46" s="106">
        <v>14</v>
      </c>
      <c r="L46" s="107">
        <v>14</v>
      </c>
      <c r="M46" s="106"/>
      <c r="N46" s="104" t="str">
        <f t="shared" si="3"/>
        <v/>
      </c>
      <c r="O46" s="104">
        <f t="shared" ref="O46:Q46" si="64">IF(E46="","",J46*100/E46)</f>
        <v>60</v>
      </c>
      <c r="P46" s="104">
        <f t="shared" si="64"/>
        <v>70</v>
      </c>
      <c r="Q46" s="104">
        <f t="shared" si="64"/>
        <v>70</v>
      </c>
      <c r="R46" s="115"/>
      <c r="S46" s="115"/>
      <c r="T46" s="105" t="str">
        <f t="shared" ref="T46:V46" si="65">IF(O46&gt;=$E$10,"1","0")</f>
        <v>1</v>
      </c>
      <c r="U46" s="105" t="str">
        <f t="shared" si="65"/>
        <v>1</v>
      </c>
      <c r="V46" s="105" t="str">
        <f t="shared" si="65"/>
        <v>1</v>
      </c>
      <c r="W46" s="116">
        <f>Theory!E36</f>
        <v>34</v>
      </c>
    </row>
    <row r="47" spans="1:26" ht="15.75" customHeight="1">
      <c r="A47" s="103">
        <f>Theory!A37</f>
        <v>32</v>
      </c>
      <c r="B47" s="103" t="str">
        <f>Theory!B37</f>
        <v>7376231EE133</v>
      </c>
      <c r="C47" s="105"/>
      <c r="D47" s="105"/>
      <c r="E47" s="105">
        <v>10</v>
      </c>
      <c r="F47" s="105">
        <v>20</v>
      </c>
      <c r="G47" s="105">
        <v>20</v>
      </c>
      <c r="H47" s="108"/>
      <c r="I47" s="108"/>
      <c r="J47" s="106">
        <v>6</v>
      </c>
      <c r="K47" s="106">
        <v>11</v>
      </c>
      <c r="L47" s="107">
        <v>11</v>
      </c>
      <c r="M47" s="106"/>
      <c r="N47" s="104" t="str">
        <f t="shared" si="3"/>
        <v/>
      </c>
      <c r="O47" s="104">
        <f t="shared" ref="O47:Q47" si="66">IF(E47="","",J47*100/E47)</f>
        <v>60</v>
      </c>
      <c r="P47" s="104">
        <f t="shared" si="66"/>
        <v>55</v>
      </c>
      <c r="Q47" s="104">
        <f t="shared" si="66"/>
        <v>55</v>
      </c>
      <c r="R47" s="115"/>
      <c r="S47" s="115"/>
      <c r="T47" s="105" t="str">
        <f t="shared" ref="T47:V47" si="67">IF(O47&gt;=$E$10,"1","0")</f>
        <v>1</v>
      </c>
      <c r="U47" s="105" t="str">
        <f t="shared" si="67"/>
        <v>0</v>
      </c>
      <c r="V47" s="105" t="str">
        <f t="shared" si="67"/>
        <v>0</v>
      </c>
      <c r="W47" s="116">
        <f>Theory!E37</f>
        <v>28</v>
      </c>
    </row>
    <row r="48" spans="1:26" ht="15.75" customHeight="1">
      <c r="A48" s="103">
        <f>Theory!A38</f>
        <v>33</v>
      </c>
      <c r="B48" s="103" t="str">
        <f>Theory!B38</f>
        <v>7376231EE134</v>
      </c>
      <c r="C48" s="105"/>
      <c r="D48" s="105"/>
      <c r="E48" s="105">
        <v>10</v>
      </c>
      <c r="F48" s="105">
        <v>20</v>
      </c>
      <c r="G48" s="105">
        <v>20</v>
      </c>
      <c r="H48" s="108"/>
      <c r="I48" s="108"/>
      <c r="J48" s="106">
        <v>7</v>
      </c>
      <c r="K48" s="106">
        <v>13</v>
      </c>
      <c r="L48" s="107">
        <v>13</v>
      </c>
      <c r="M48" s="106"/>
      <c r="N48" s="104" t="str">
        <f t="shared" si="3"/>
        <v/>
      </c>
      <c r="O48" s="104">
        <f t="shared" ref="O48:Q48" si="68">IF(E48="","",J48*100/E48)</f>
        <v>70</v>
      </c>
      <c r="P48" s="104">
        <f t="shared" si="68"/>
        <v>65</v>
      </c>
      <c r="Q48" s="104">
        <f t="shared" si="68"/>
        <v>65</v>
      </c>
      <c r="R48" s="115"/>
      <c r="S48" s="115"/>
      <c r="T48" s="105" t="str">
        <f t="shared" ref="T48:V48" si="69">IF(O48&gt;=$E$10,"1","0")</f>
        <v>1</v>
      </c>
      <c r="U48" s="105" t="str">
        <f t="shared" si="69"/>
        <v>1</v>
      </c>
      <c r="V48" s="105" t="str">
        <f t="shared" si="69"/>
        <v>1</v>
      </c>
      <c r="W48" s="116">
        <f>Theory!E38</f>
        <v>33</v>
      </c>
    </row>
    <row r="49" spans="1:23" ht="15.75" customHeight="1">
      <c r="A49" s="103">
        <f>Theory!A39</f>
        <v>34</v>
      </c>
      <c r="B49" s="103" t="str">
        <f>Theory!B39</f>
        <v>7376231EE135</v>
      </c>
      <c r="C49" s="105"/>
      <c r="D49" s="105"/>
      <c r="E49" s="105">
        <v>10</v>
      </c>
      <c r="F49" s="105">
        <v>20</v>
      </c>
      <c r="G49" s="105">
        <v>20</v>
      </c>
      <c r="H49" s="108"/>
      <c r="I49" s="108"/>
      <c r="J49" s="106">
        <v>7</v>
      </c>
      <c r="K49" s="106">
        <v>13</v>
      </c>
      <c r="L49" s="107">
        <v>13</v>
      </c>
      <c r="M49" s="106"/>
      <c r="N49" s="104" t="str">
        <f t="shared" si="3"/>
        <v/>
      </c>
      <c r="O49" s="104">
        <f t="shared" ref="O49:Q49" si="70">IF(E49="","",J49*100/E49)</f>
        <v>70</v>
      </c>
      <c r="P49" s="104">
        <f t="shared" si="70"/>
        <v>65</v>
      </c>
      <c r="Q49" s="104">
        <f t="shared" si="70"/>
        <v>65</v>
      </c>
      <c r="R49" s="115"/>
      <c r="S49" s="115"/>
      <c r="T49" s="105" t="str">
        <f t="shared" ref="T49:V49" si="71">IF(O49&gt;=$E$10,"1","0")</f>
        <v>1</v>
      </c>
      <c r="U49" s="105" t="str">
        <f t="shared" si="71"/>
        <v>1</v>
      </c>
      <c r="V49" s="105" t="str">
        <f t="shared" si="71"/>
        <v>1</v>
      </c>
      <c r="W49" s="116">
        <f>Theory!E39</f>
        <v>33</v>
      </c>
    </row>
    <row r="50" spans="1:23" ht="15.75" customHeight="1">
      <c r="A50" s="103">
        <f>Theory!A40</f>
        <v>35</v>
      </c>
      <c r="B50" s="103" t="str">
        <f>Theory!B40</f>
        <v>7376231EE136</v>
      </c>
      <c r="C50" s="105"/>
      <c r="D50" s="105"/>
      <c r="E50" s="105">
        <v>10</v>
      </c>
      <c r="F50" s="105">
        <v>20</v>
      </c>
      <c r="G50" s="105">
        <v>20</v>
      </c>
      <c r="H50" s="108"/>
      <c r="I50" s="108"/>
      <c r="J50" s="106">
        <v>6</v>
      </c>
      <c r="K50" s="106">
        <v>12</v>
      </c>
      <c r="L50" s="107">
        <v>13</v>
      </c>
      <c r="M50" s="106"/>
      <c r="N50" s="104" t="str">
        <f t="shared" si="3"/>
        <v/>
      </c>
      <c r="O50" s="104">
        <f t="shared" ref="O50:Q50" si="72">IF(E50="","",J50*100/E50)</f>
        <v>60</v>
      </c>
      <c r="P50" s="104">
        <f t="shared" si="72"/>
        <v>60</v>
      </c>
      <c r="Q50" s="104">
        <f t="shared" si="72"/>
        <v>65</v>
      </c>
      <c r="R50" s="115"/>
      <c r="S50" s="115"/>
      <c r="T50" s="105" t="str">
        <f t="shared" ref="T50:V50" si="73">IF(O50&gt;=$E$10,"1","0")</f>
        <v>1</v>
      </c>
      <c r="U50" s="105" t="str">
        <f t="shared" si="73"/>
        <v>1</v>
      </c>
      <c r="V50" s="105" t="str">
        <f t="shared" si="73"/>
        <v>1</v>
      </c>
      <c r="W50" s="116">
        <f>Theory!E40</f>
        <v>31</v>
      </c>
    </row>
    <row r="51" spans="1:23" ht="15.75" customHeight="1">
      <c r="A51" s="103">
        <f>Theory!A41</f>
        <v>36</v>
      </c>
      <c r="B51" s="103" t="str">
        <f>Theory!B41</f>
        <v>7376231EE137</v>
      </c>
      <c r="C51" s="105"/>
      <c r="D51" s="105"/>
      <c r="E51" s="105">
        <v>10</v>
      </c>
      <c r="F51" s="105">
        <v>20</v>
      </c>
      <c r="G51" s="105">
        <v>20</v>
      </c>
      <c r="H51" s="108"/>
      <c r="I51" s="108"/>
      <c r="J51" s="106">
        <v>6</v>
      </c>
      <c r="K51" s="106">
        <v>9</v>
      </c>
      <c r="L51" s="107">
        <v>9</v>
      </c>
      <c r="M51" s="106"/>
      <c r="N51" s="104" t="str">
        <f t="shared" si="3"/>
        <v/>
      </c>
      <c r="O51" s="104">
        <f t="shared" ref="O51:Q51" si="74">IF(E51="","",J51*100/E51)</f>
        <v>60</v>
      </c>
      <c r="P51" s="104">
        <f t="shared" si="74"/>
        <v>45</v>
      </c>
      <c r="Q51" s="104">
        <f t="shared" si="74"/>
        <v>45</v>
      </c>
      <c r="R51" s="115"/>
      <c r="S51" s="115"/>
      <c r="T51" s="105" t="str">
        <f t="shared" ref="T51:V51" si="75">IF(O51&gt;=$E$10,"1","0")</f>
        <v>1</v>
      </c>
      <c r="U51" s="105" t="str">
        <f t="shared" si="75"/>
        <v>0</v>
      </c>
      <c r="V51" s="105" t="str">
        <f t="shared" si="75"/>
        <v>0</v>
      </c>
      <c r="W51" s="116">
        <f>Theory!E41</f>
        <v>24</v>
      </c>
    </row>
    <row r="52" spans="1:23" ht="15.75" customHeight="1">
      <c r="A52" s="103">
        <f>Theory!A42</f>
        <v>37</v>
      </c>
      <c r="B52" s="103" t="str">
        <f>Theory!B42</f>
        <v>7376231EE138</v>
      </c>
      <c r="C52" s="105"/>
      <c r="D52" s="105"/>
      <c r="E52" s="105">
        <v>10</v>
      </c>
      <c r="F52" s="105">
        <v>20</v>
      </c>
      <c r="G52" s="105">
        <v>20</v>
      </c>
      <c r="H52" s="108"/>
      <c r="I52" s="108"/>
      <c r="J52" s="106">
        <v>7</v>
      </c>
      <c r="K52" s="106">
        <v>13</v>
      </c>
      <c r="L52" s="107">
        <v>13</v>
      </c>
      <c r="M52" s="106"/>
      <c r="N52" s="104" t="str">
        <f t="shared" si="3"/>
        <v/>
      </c>
      <c r="O52" s="104">
        <f t="shared" ref="O52:Q52" si="76">IF(E52="","",J52*100/E52)</f>
        <v>70</v>
      </c>
      <c r="P52" s="104">
        <f t="shared" si="76"/>
        <v>65</v>
      </c>
      <c r="Q52" s="104">
        <f t="shared" si="76"/>
        <v>65</v>
      </c>
      <c r="R52" s="115"/>
      <c r="S52" s="115"/>
      <c r="T52" s="105" t="str">
        <f t="shared" ref="T52:V52" si="77">IF(O52&gt;=$E$10,"1","0")</f>
        <v>1</v>
      </c>
      <c r="U52" s="105" t="str">
        <f t="shared" si="77"/>
        <v>1</v>
      </c>
      <c r="V52" s="105" t="str">
        <f t="shared" si="77"/>
        <v>1</v>
      </c>
      <c r="W52" s="116">
        <f>Theory!E42</f>
        <v>33</v>
      </c>
    </row>
    <row r="53" spans="1:23" ht="15.75" customHeight="1">
      <c r="A53" s="103">
        <f>Theory!A43</f>
        <v>38</v>
      </c>
      <c r="B53" s="103" t="str">
        <f>Theory!B43</f>
        <v>7376231EE139</v>
      </c>
      <c r="C53" s="105"/>
      <c r="D53" s="105"/>
      <c r="E53" s="105">
        <v>10</v>
      </c>
      <c r="F53" s="105">
        <v>20</v>
      </c>
      <c r="G53" s="105">
        <v>20</v>
      </c>
      <c r="H53" s="108"/>
      <c r="I53" s="108"/>
      <c r="J53" s="106">
        <v>6</v>
      </c>
      <c r="K53" s="106">
        <v>13</v>
      </c>
      <c r="L53" s="107">
        <v>13</v>
      </c>
      <c r="M53" s="106"/>
      <c r="N53" s="104" t="str">
        <f t="shared" si="3"/>
        <v/>
      </c>
      <c r="O53" s="104">
        <f t="shared" ref="O53:Q53" si="78">IF(E53="","",J53*100/E53)</f>
        <v>60</v>
      </c>
      <c r="P53" s="104">
        <f t="shared" si="78"/>
        <v>65</v>
      </c>
      <c r="Q53" s="104">
        <f t="shared" si="78"/>
        <v>65</v>
      </c>
      <c r="R53" s="115"/>
      <c r="S53" s="115"/>
      <c r="T53" s="105" t="str">
        <f t="shared" ref="T53:V53" si="79">IF(O53&gt;=$E$10,"1","0")</f>
        <v>1</v>
      </c>
      <c r="U53" s="105" t="str">
        <f t="shared" si="79"/>
        <v>1</v>
      </c>
      <c r="V53" s="105" t="str">
        <f t="shared" si="79"/>
        <v>1</v>
      </c>
      <c r="W53" s="116">
        <f>Theory!E43</f>
        <v>32</v>
      </c>
    </row>
    <row r="54" spans="1:23" ht="15.75" customHeight="1">
      <c r="A54" s="103">
        <f>Theory!A44</f>
        <v>39</v>
      </c>
      <c r="B54" s="103" t="str">
        <f>Theory!B44</f>
        <v>7376231EE140</v>
      </c>
      <c r="C54" s="105"/>
      <c r="D54" s="105"/>
      <c r="E54" s="105">
        <v>10</v>
      </c>
      <c r="F54" s="105">
        <v>20</v>
      </c>
      <c r="G54" s="105">
        <v>20</v>
      </c>
      <c r="H54" s="108"/>
      <c r="I54" s="108"/>
      <c r="J54" s="106">
        <v>6</v>
      </c>
      <c r="K54" s="106">
        <v>11</v>
      </c>
      <c r="L54" s="107">
        <v>11</v>
      </c>
      <c r="M54" s="106"/>
      <c r="N54" s="104" t="str">
        <f t="shared" si="3"/>
        <v/>
      </c>
      <c r="O54" s="104">
        <f t="shared" ref="O54:Q54" si="80">IF(E54="","",J54*100/E54)</f>
        <v>60</v>
      </c>
      <c r="P54" s="104">
        <f t="shared" si="80"/>
        <v>55</v>
      </c>
      <c r="Q54" s="104">
        <f t="shared" si="80"/>
        <v>55</v>
      </c>
      <c r="R54" s="115"/>
      <c r="S54" s="115"/>
      <c r="T54" s="105" t="str">
        <f t="shared" ref="T54:V54" si="81">IF(O54&gt;=$E$10,"1","0")</f>
        <v>1</v>
      </c>
      <c r="U54" s="105" t="str">
        <f t="shared" si="81"/>
        <v>0</v>
      </c>
      <c r="V54" s="105" t="str">
        <f t="shared" si="81"/>
        <v>0</v>
      </c>
      <c r="W54" s="116">
        <f>Theory!E44</f>
        <v>28</v>
      </c>
    </row>
    <row r="55" spans="1:23" ht="15.75" customHeight="1">
      <c r="A55" s="103">
        <f>Theory!A45</f>
        <v>40</v>
      </c>
      <c r="B55" s="103" t="str">
        <f>Theory!B45</f>
        <v>7376231EE141</v>
      </c>
      <c r="C55" s="105"/>
      <c r="D55" s="105"/>
      <c r="E55" s="105">
        <v>10</v>
      </c>
      <c r="F55" s="105">
        <v>20</v>
      </c>
      <c r="G55" s="105">
        <v>20</v>
      </c>
      <c r="H55" s="108"/>
      <c r="I55" s="108"/>
      <c r="J55" s="106">
        <v>6</v>
      </c>
      <c r="K55" s="106">
        <v>14</v>
      </c>
      <c r="L55" s="107">
        <v>14</v>
      </c>
      <c r="M55" s="106"/>
      <c r="N55" s="104" t="str">
        <f t="shared" si="3"/>
        <v/>
      </c>
      <c r="O55" s="104">
        <f t="shared" ref="O55:Q55" si="82">IF(E55="","",J55*100/E55)</f>
        <v>60</v>
      </c>
      <c r="P55" s="104">
        <f t="shared" si="82"/>
        <v>70</v>
      </c>
      <c r="Q55" s="104">
        <f t="shared" si="82"/>
        <v>70</v>
      </c>
      <c r="R55" s="115"/>
      <c r="S55" s="115"/>
      <c r="T55" s="105" t="str">
        <f t="shared" ref="T55:V55" si="83">IF(O55&gt;=$E$10,"1","0")</f>
        <v>1</v>
      </c>
      <c r="U55" s="105" t="str">
        <f t="shared" si="83"/>
        <v>1</v>
      </c>
      <c r="V55" s="105" t="str">
        <f t="shared" si="83"/>
        <v>1</v>
      </c>
      <c r="W55" s="116">
        <f>Theory!E45</f>
        <v>34</v>
      </c>
    </row>
    <row r="56" spans="1:23" ht="15.75" customHeight="1">
      <c r="A56" s="103">
        <f>Theory!A46</f>
        <v>41</v>
      </c>
      <c r="B56" s="103" t="str">
        <f>Theory!B46</f>
        <v>7376231EE142</v>
      </c>
      <c r="C56" s="105"/>
      <c r="D56" s="105"/>
      <c r="E56" s="105">
        <v>10</v>
      </c>
      <c r="F56" s="105">
        <v>20</v>
      </c>
      <c r="G56" s="105">
        <v>20</v>
      </c>
      <c r="H56" s="108"/>
      <c r="I56" s="108"/>
      <c r="J56" s="106">
        <v>6</v>
      </c>
      <c r="K56" s="106">
        <v>14</v>
      </c>
      <c r="L56" s="107">
        <v>14</v>
      </c>
      <c r="M56" s="106"/>
      <c r="N56" s="104" t="str">
        <f t="shared" si="3"/>
        <v/>
      </c>
      <c r="O56" s="104">
        <f t="shared" ref="O56:Q56" si="84">IF(E56="","",J56*100/E56)</f>
        <v>60</v>
      </c>
      <c r="P56" s="104">
        <f t="shared" si="84"/>
        <v>70</v>
      </c>
      <c r="Q56" s="104">
        <f t="shared" si="84"/>
        <v>70</v>
      </c>
      <c r="R56" s="115"/>
      <c r="S56" s="115"/>
      <c r="T56" s="105" t="str">
        <f t="shared" ref="T56:V56" si="85">IF(O56&gt;=$E$10,"1","0")</f>
        <v>1</v>
      </c>
      <c r="U56" s="105" t="str">
        <f t="shared" si="85"/>
        <v>1</v>
      </c>
      <c r="V56" s="105" t="str">
        <f t="shared" si="85"/>
        <v>1</v>
      </c>
      <c r="W56" s="116">
        <f>Theory!E46</f>
        <v>34</v>
      </c>
    </row>
    <row r="57" spans="1:23" ht="15.75" customHeight="1">
      <c r="A57" s="103">
        <f>Theory!A47</f>
        <v>42</v>
      </c>
      <c r="B57" s="103" t="str">
        <f>Theory!B47</f>
        <v>7376231EE143</v>
      </c>
      <c r="C57" s="105"/>
      <c r="D57" s="105"/>
      <c r="E57" s="105">
        <v>10</v>
      </c>
      <c r="F57" s="105">
        <v>20</v>
      </c>
      <c r="G57" s="105">
        <v>20</v>
      </c>
      <c r="H57" s="108"/>
      <c r="I57" s="108"/>
      <c r="J57" s="106">
        <v>6</v>
      </c>
      <c r="K57" s="106">
        <v>11</v>
      </c>
      <c r="L57" s="107">
        <v>11</v>
      </c>
      <c r="M57" s="106"/>
      <c r="N57" s="104" t="str">
        <f t="shared" si="3"/>
        <v/>
      </c>
      <c r="O57" s="104">
        <f t="shared" ref="O57:Q57" si="86">IF(E57="","",J57*100/E57)</f>
        <v>60</v>
      </c>
      <c r="P57" s="104">
        <f t="shared" si="86"/>
        <v>55</v>
      </c>
      <c r="Q57" s="104">
        <f t="shared" si="86"/>
        <v>55</v>
      </c>
      <c r="R57" s="115"/>
      <c r="S57" s="115"/>
      <c r="T57" s="105" t="str">
        <f t="shared" ref="T57:V57" si="87">IF(O57&gt;=$E$10,"1","0")</f>
        <v>1</v>
      </c>
      <c r="U57" s="105" t="str">
        <f t="shared" si="87"/>
        <v>0</v>
      </c>
      <c r="V57" s="105" t="str">
        <f t="shared" si="87"/>
        <v>0</v>
      </c>
      <c r="W57" s="116">
        <f>Theory!E47</f>
        <v>28</v>
      </c>
    </row>
    <row r="58" spans="1:23" ht="15.75" customHeight="1">
      <c r="A58" s="103">
        <f>Theory!A48</f>
        <v>43</v>
      </c>
      <c r="B58" s="103" t="str">
        <f>Theory!B48</f>
        <v>7376231EE144</v>
      </c>
      <c r="C58" s="105"/>
      <c r="D58" s="105"/>
      <c r="E58" s="105">
        <v>10</v>
      </c>
      <c r="F58" s="105">
        <v>20</v>
      </c>
      <c r="G58" s="105">
        <v>20</v>
      </c>
      <c r="H58" s="108"/>
      <c r="I58" s="108"/>
      <c r="J58" s="106">
        <v>5</v>
      </c>
      <c r="K58" s="106">
        <v>13</v>
      </c>
      <c r="L58" s="107">
        <v>12</v>
      </c>
      <c r="M58" s="106"/>
      <c r="N58" s="104" t="str">
        <f t="shared" si="3"/>
        <v/>
      </c>
      <c r="O58" s="104">
        <f t="shared" ref="O58:Q58" si="88">IF(E58="","",J58*100/E58)</f>
        <v>50</v>
      </c>
      <c r="P58" s="104">
        <f t="shared" si="88"/>
        <v>65</v>
      </c>
      <c r="Q58" s="104">
        <f t="shared" si="88"/>
        <v>60</v>
      </c>
      <c r="R58" s="115"/>
      <c r="S58" s="115"/>
      <c r="T58" s="105" t="str">
        <f t="shared" ref="T58:V58" si="89">IF(O58&gt;=$E$10,"1","0")</f>
        <v>0</v>
      </c>
      <c r="U58" s="105" t="str">
        <f t="shared" si="89"/>
        <v>1</v>
      </c>
      <c r="V58" s="105" t="str">
        <f t="shared" si="89"/>
        <v>1</v>
      </c>
      <c r="W58" s="116">
        <f>Theory!E48</f>
        <v>30</v>
      </c>
    </row>
    <row r="59" spans="1:23" ht="15.75" customHeight="1">
      <c r="A59" s="103">
        <f>Theory!A49</f>
        <v>44</v>
      </c>
      <c r="B59" s="103" t="str">
        <f>Theory!B49</f>
        <v>7376231EE145</v>
      </c>
      <c r="C59" s="105"/>
      <c r="D59" s="105"/>
      <c r="E59" s="105">
        <v>10</v>
      </c>
      <c r="F59" s="105">
        <v>20</v>
      </c>
      <c r="G59" s="105">
        <v>20</v>
      </c>
      <c r="H59" s="108"/>
      <c r="I59" s="108"/>
      <c r="J59" s="106">
        <v>5</v>
      </c>
      <c r="K59" s="106">
        <v>13</v>
      </c>
      <c r="L59" s="107">
        <v>12</v>
      </c>
      <c r="M59" s="106"/>
      <c r="N59" s="104" t="str">
        <f t="shared" si="3"/>
        <v/>
      </c>
      <c r="O59" s="104">
        <f t="shared" ref="O59:Q59" si="90">IF(E59="","",J59*100/E59)</f>
        <v>50</v>
      </c>
      <c r="P59" s="104">
        <f t="shared" si="90"/>
        <v>65</v>
      </c>
      <c r="Q59" s="104">
        <f t="shared" si="90"/>
        <v>60</v>
      </c>
      <c r="R59" s="115"/>
      <c r="S59" s="115"/>
      <c r="T59" s="105" t="str">
        <f t="shared" ref="T59:V59" si="91">IF(O59&gt;=$E$10,"1","0")</f>
        <v>0</v>
      </c>
      <c r="U59" s="105" t="str">
        <f t="shared" si="91"/>
        <v>1</v>
      </c>
      <c r="V59" s="105" t="str">
        <f t="shared" si="91"/>
        <v>1</v>
      </c>
      <c r="W59" s="116">
        <f>Theory!E49</f>
        <v>30</v>
      </c>
    </row>
    <row r="60" spans="1:23" ht="15.75" customHeight="1">
      <c r="A60" s="103">
        <f>Theory!A50</f>
        <v>45</v>
      </c>
      <c r="B60" s="103" t="str">
        <f>Theory!B50</f>
        <v>7376231EE146</v>
      </c>
      <c r="C60" s="105"/>
      <c r="D60" s="105"/>
      <c r="E60" s="105">
        <v>10</v>
      </c>
      <c r="F60" s="105">
        <v>20</v>
      </c>
      <c r="G60" s="105">
        <v>20</v>
      </c>
      <c r="H60" s="108"/>
      <c r="I60" s="108"/>
      <c r="J60" s="106">
        <v>6</v>
      </c>
      <c r="K60" s="106">
        <v>14</v>
      </c>
      <c r="L60" s="107">
        <v>14</v>
      </c>
      <c r="M60" s="106"/>
      <c r="N60" s="104" t="str">
        <f t="shared" si="3"/>
        <v/>
      </c>
      <c r="O60" s="104">
        <f t="shared" ref="O60:Q60" si="92">IF(E60="","",J60*100/E60)</f>
        <v>60</v>
      </c>
      <c r="P60" s="104">
        <f t="shared" si="92"/>
        <v>70</v>
      </c>
      <c r="Q60" s="104">
        <f t="shared" si="92"/>
        <v>70</v>
      </c>
      <c r="R60" s="115"/>
      <c r="S60" s="115"/>
      <c r="T60" s="105" t="str">
        <f t="shared" ref="T60:V60" si="93">IF(O60&gt;=$E$10,"1","0")</f>
        <v>1</v>
      </c>
      <c r="U60" s="105" t="str">
        <f t="shared" si="93"/>
        <v>1</v>
      </c>
      <c r="V60" s="105" t="str">
        <f t="shared" si="93"/>
        <v>1</v>
      </c>
      <c r="W60" s="116">
        <f>Theory!E50</f>
        <v>34</v>
      </c>
    </row>
    <row r="61" spans="1:23" ht="15.75" customHeight="1">
      <c r="A61" s="103">
        <f>Theory!A51</f>
        <v>46</v>
      </c>
      <c r="B61" s="103" t="str">
        <f>Theory!B51</f>
        <v>7376231EE147</v>
      </c>
      <c r="C61" s="105"/>
      <c r="D61" s="105"/>
      <c r="E61" s="105">
        <v>10</v>
      </c>
      <c r="F61" s="105">
        <v>20</v>
      </c>
      <c r="G61" s="105">
        <v>20</v>
      </c>
      <c r="H61" s="108"/>
      <c r="I61" s="108"/>
      <c r="J61" s="106">
        <v>5</v>
      </c>
      <c r="K61" s="106">
        <v>11</v>
      </c>
      <c r="L61" s="107">
        <v>11</v>
      </c>
      <c r="M61" s="106"/>
      <c r="N61" s="104" t="str">
        <f t="shared" si="3"/>
        <v/>
      </c>
      <c r="O61" s="104">
        <f t="shared" ref="O61:Q61" si="94">IF(E61="","",J61*100/E61)</f>
        <v>50</v>
      </c>
      <c r="P61" s="104">
        <f t="shared" si="94"/>
        <v>55</v>
      </c>
      <c r="Q61" s="104">
        <f t="shared" si="94"/>
        <v>55</v>
      </c>
      <c r="R61" s="115"/>
      <c r="S61" s="115"/>
      <c r="T61" s="105" t="str">
        <f t="shared" ref="T61:V61" si="95">IF(O61&gt;=$E$10,"1","0")</f>
        <v>0</v>
      </c>
      <c r="U61" s="105" t="str">
        <f t="shared" si="95"/>
        <v>0</v>
      </c>
      <c r="V61" s="105" t="str">
        <f t="shared" si="95"/>
        <v>0</v>
      </c>
      <c r="W61" s="116">
        <f>Theory!E51</f>
        <v>27</v>
      </c>
    </row>
    <row r="62" spans="1:23" ht="15.75" customHeight="1">
      <c r="A62" s="103">
        <f>Theory!A52</f>
        <v>47</v>
      </c>
      <c r="B62" s="103" t="str">
        <f>Theory!B52</f>
        <v>7376231EE148</v>
      </c>
      <c r="C62" s="105"/>
      <c r="D62" s="105"/>
      <c r="E62" s="105">
        <v>10</v>
      </c>
      <c r="F62" s="105">
        <v>20</v>
      </c>
      <c r="G62" s="105">
        <v>20</v>
      </c>
      <c r="H62" s="108"/>
      <c r="I62" s="108"/>
      <c r="J62" s="106">
        <v>6</v>
      </c>
      <c r="K62" s="106">
        <v>14</v>
      </c>
      <c r="L62" s="107">
        <v>14</v>
      </c>
      <c r="M62" s="106"/>
      <c r="N62" s="104" t="str">
        <f t="shared" si="3"/>
        <v/>
      </c>
      <c r="O62" s="104">
        <f t="shared" ref="O62:Q62" si="96">IF(E62="","",J62*100/E62)</f>
        <v>60</v>
      </c>
      <c r="P62" s="104">
        <f t="shared" si="96"/>
        <v>70</v>
      </c>
      <c r="Q62" s="104">
        <f t="shared" si="96"/>
        <v>70</v>
      </c>
      <c r="R62" s="115"/>
      <c r="S62" s="115"/>
      <c r="T62" s="105" t="str">
        <f t="shared" ref="T62:V62" si="97">IF(O62&gt;=$E$10,"1","0")</f>
        <v>1</v>
      </c>
      <c r="U62" s="105" t="str">
        <f t="shared" si="97"/>
        <v>1</v>
      </c>
      <c r="V62" s="105" t="str">
        <f t="shared" si="97"/>
        <v>1</v>
      </c>
      <c r="W62" s="116">
        <f>Theory!E52</f>
        <v>34</v>
      </c>
    </row>
    <row r="63" spans="1:23" ht="15.75" customHeight="1">
      <c r="A63" s="103">
        <f>Theory!A53</f>
        <v>48</v>
      </c>
      <c r="B63" s="103" t="str">
        <f>Theory!B53</f>
        <v>7376231EE149</v>
      </c>
      <c r="C63" s="105"/>
      <c r="D63" s="105"/>
      <c r="E63" s="105">
        <v>10</v>
      </c>
      <c r="F63" s="105">
        <v>20</v>
      </c>
      <c r="G63" s="105">
        <v>20</v>
      </c>
      <c r="H63" s="108"/>
      <c r="I63" s="108"/>
      <c r="J63" s="106">
        <v>3</v>
      </c>
      <c r="K63" s="106">
        <v>9</v>
      </c>
      <c r="L63" s="107">
        <v>9</v>
      </c>
      <c r="M63" s="106"/>
      <c r="N63" s="104" t="str">
        <f t="shared" si="3"/>
        <v/>
      </c>
      <c r="O63" s="104">
        <f t="shared" ref="O63:Q63" si="98">IF(E63="","",J63*100/E63)</f>
        <v>30</v>
      </c>
      <c r="P63" s="104">
        <f t="shared" si="98"/>
        <v>45</v>
      </c>
      <c r="Q63" s="104">
        <f t="shared" si="98"/>
        <v>45</v>
      </c>
      <c r="R63" s="115"/>
      <c r="S63" s="115"/>
      <c r="T63" s="105" t="str">
        <f t="shared" ref="T63:V63" si="99">IF(O63&gt;=$E$10,"1","0")</f>
        <v>0</v>
      </c>
      <c r="U63" s="105" t="str">
        <f t="shared" si="99"/>
        <v>0</v>
      </c>
      <c r="V63" s="105" t="str">
        <f t="shared" si="99"/>
        <v>0</v>
      </c>
      <c r="W63" s="116">
        <f>Theory!E53</f>
        <v>21</v>
      </c>
    </row>
    <row r="64" spans="1:23" ht="15.75" customHeight="1">
      <c r="A64" s="103">
        <f>Theory!A54</f>
        <v>49</v>
      </c>
      <c r="B64" s="103" t="str">
        <f>Theory!B54</f>
        <v>7376231EE150</v>
      </c>
      <c r="C64" s="105"/>
      <c r="D64" s="105"/>
      <c r="E64" s="105">
        <v>10</v>
      </c>
      <c r="F64" s="105">
        <v>20</v>
      </c>
      <c r="G64" s="105">
        <v>20</v>
      </c>
      <c r="H64" s="108"/>
      <c r="I64" s="108"/>
      <c r="J64" s="106">
        <v>4</v>
      </c>
      <c r="K64" s="106">
        <v>7</v>
      </c>
      <c r="L64" s="107">
        <v>8</v>
      </c>
      <c r="M64" s="106"/>
      <c r="N64" s="104" t="str">
        <f t="shared" si="3"/>
        <v/>
      </c>
      <c r="O64" s="104">
        <f t="shared" ref="O64:Q64" si="100">IF(E64="","",J64*100/E64)</f>
        <v>40</v>
      </c>
      <c r="P64" s="104">
        <f t="shared" si="100"/>
        <v>35</v>
      </c>
      <c r="Q64" s="104">
        <f t="shared" si="100"/>
        <v>40</v>
      </c>
      <c r="R64" s="115"/>
      <c r="S64" s="115"/>
      <c r="T64" s="105" t="str">
        <f t="shared" ref="T64:V64" si="101">IF(O64&gt;=$E$10,"1","0")</f>
        <v>0</v>
      </c>
      <c r="U64" s="105" t="str">
        <f t="shared" si="101"/>
        <v>0</v>
      </c>
      <c r="V64" s="105" t="str">
        <f t="shared" si="101"/>
        <v>0</v>
      </c>
      <c r="W64" s="116">
        <f>Theory!E54</f>
        <v>19</v>
      </c>
    </row>
    <row r="65" spans="1:23" ht="15.75" customHeight="1">
      <c r="A65" s="103">
        <f>Theory!A55</f>
        <v>50</v>
      </c>
      <c r="B65" s="103" t="str">
        <f>Theory!B55</f>
        <v>7376231EE151</v>
      </c>
      <c r="C65" s="105"/>
      <c r="D65" s="105"/>
      <c r="E65" s="105">
        <v>10</v>
      </c>
      <c r="F65" s="105">
        <v>20</v>
      </c>
      <c r="G65" s="105">
        <v>20</v>
      </c>
      <c r="H65" s="108"/>
      <c r="I65" s="108"/>
      <c r="J65" s="106">
        <v>4</v>
      </c>
      <c r="K65" s="106">
        <v>7</v>
      </c>
      <c r="L65" s="107">
        <v>7</v>
      </c>
      <c r="M65" s="106"/>
      <c r="N65" s="104" t="str">
        <f t="shared" si="3"/>
        <v/>
      </c>
      <c r="O65" s="104">
        <f t="shared" ref="O65:Q65" si="102">IF(E65="","",J65*100/E65)</f>
        <v>40</v>
      </c>
      <c r="P65" s="104">
        <f t="shared" si="102"/>
        <v>35</v>
      </c>
      <c r="Q65" s="104">
        <f t="shared" si="102"/>
        <v>35</v>
      </c>
      <c r="R65" s="115"/>
      <c r="S65" s="115"/>
      <c r="T65" s="105" t="str">
        <f t="shared" ref="T65:V65" si="103">IF(O65&gt;=$E$10,"1","0")</f>
        <v>0</v>
      </c>
      <c r="U65" s="105" t="str">
        <f t="shared" si="103"/>
        <v>0</v>
      </c>
      <c r="V65" s="105" t="str">
        <f t="shared" si="103"/>
        <v>0</v>
      </c>
      <c r="W65" s="116">
        <f>Theory!E55</f>
        <v>18</v>
      </c>
    </row>
    <row r="66" spans="1:23" ht="15.75" customHeight="1">
      <c r="A66" s="103">
        <f>Theory!A56</f>
        <v>51</v>
      </c>
      <c r="B66" s="103" t="str">
        <f>Theory!B56</f>
        <v>7376231EE152</v>
      </c>
      <c r="C66" s="105"/>
      <c r="D66" s="105"/>
      <c r="E66" s="105">
        <v>10</v>
      </c>
      <c r="F66" s="105">
        <v>20</v>
      </c>
      <c r="G66" s="105">
        <v>20</v>
      </c>
      <c r="H66" s="108"/>
      <c r="I66" s="108"/>
      <c r="J66" s="106">
        <v>3</v>
      </c>
      <c r="K66" s="106">
        <v>9</v>
      </c>
      <c r="L66" s="107">
        <v>9</v>
      </c>
      <c r="M66" s="106"/>
      <c r="N66" s="104" t="str">
        <f t="shared" si="3"/>
        <v/>
      </c>
      <c r="O66" s="104">
        <f t="shared" ref="O66:Q66" si="104">IF(E66="","",J66*100/E66)</f>
        <v>30</v>
      </c>
      <c r="P66" s="104">
        <f t="shared" si="104"/>
        <v>45</v>
      </c>
      <c r="Q66" s="104">
        <f t="shared" si="104"/>
        <v>45</v>
      </c>
      <c r="R66" s="115"/>
      <c r="S66" s="115"/>
      <c r="T66" s="105" t="str">
        <f t="shared" ref="T66:V66" si="105">IF(O66&gt;=$E$10,"1","0")</f>
        <v>0</v>
      </c>
      <c r="U66" s="105" t="str">
        <f t="shared" si="105"/>
        <v>0</v>
      </c>
      <c r="V66" s="105" t="str">
        <f t="shared" si="105"/>
        <v>0</v>
      </c>
      <c r="W66" s="116">
        <f>Theory!E56</f>
        <v>21</v>
      </c>
    </row>
    <row r="67" spans="1:23" ht="15.75" customHeight="1">
      <c r="A67" s="103">
        <f>Theory!A57</f>
        <v>52</v>
      </c>
      <c r="B67" s="103" t="str">
        <f>Theory!B57</f>
        <v>7376231EE153</v>
      </c>
      <c r="C67" s="105"/>
      <c r="D67" s="105"/>
      <c r="E67" s="105">
        <v>10</v>
      </c>
      <c r="F67" s="105">
        <v>20</v>
      </c>
      <c r="G67" s="105">
        <v>20</v>
      </c>
      <c r="H67" s="108"/>
      <c r="I67" s="108"/>
      <c r="J67" s="106">
        <v>6</v>
      </c>
      <c r="K67" s="106">
        <v>13</v>
      </c>
      <c r="L67" s="107">
        <v>13</v>
      </c>
      <c r="M67" s="106"/>
      <c r="N67" s="104" t="str">
        <f t="shared" si="3"/>
        <v/>
      </c>
      <c r="O67" s="104">
        <f t="shared" ref="O67:Q67" si="106">IF(E67="","",J67*100/E67)</f>
        <v>60</v>
      </c>
      <c r="P67" s="104">
        <f t="shared" si="106"/>
        <v>65</v>
      </c>
      <c r="Q67" s="104">
        <f t="shared" si="106"/>
        <v>65</v>
      </c>
      <c r="R67" s="115"/>
      <c r="S67" s="115"/>
      <c r="T67" s="105" t="str">
        <f t="shared" ref="T67:V67" si="107">IF(O67&gt;=$E$10,"1","0")</f>
        <v>1</v>
      </c>
      <c r="U67" s="105" t="str">
        <f t="shared" si="107"/>
        <v>1</v>
      </c>
      <c r="V67" s="105" t="str">
        <f t="shared" si="107"/>
        <v>1</v>
      </c>
      <c r="W67" s="116">
        <f>Theory!E57</f>
        <v>32</v>
      </c>
    </row>
    <row r="68" spans="1:23" ht="15.75" customHeight="1">
      <c r="A68" s="103">
        <f>Theory!A58</f>
        <v>53</v>
      </c>
      <c r="B68" s="103" t="str">
        <f>Theory!B58</f>
        <v>7376231EE154</v>
      </c>
      <c r="C68" s="105"/>
      <c r="D68" s="105"/>
      <c r="E68" s="105">
        <v>10</v>
      </c>
      <c r="F68" s="105">
        <v>20</v>
      </c>
      <c r="G68" s="105">
        <v>20</v>
      </c>
      <c r="H68" s="108"/>
      <c r="I68" s="108"/>
      <c r="J68" s="106">
        <v>7</v>
      </c>
      <c r="K68" s="106">
        <v>13</v>
      </c>
      <c r="L68" s="107">
        <v>13</v>
      </c>
      <c r="M68" s="106"/>
      <c r="N68" s="104" t="str">
        <f t="shared" si="3"/>
        <v/>
      </c>
      <c r="O68" s="104">
        <f t="shared" ref="O68:Q68" si="108">IF(E68="","",J68*100/E68)</f>
        <v>70</v>
      </c>
      <c r="P68" s="104">
        <f t="shared" si="108"/>
        <v>65</v>
      </c>
      <c r="Q68" s="104">
        <f t="shared" si="108"/>
        <v>65</v>
      </c>
      <c r="R68" s="115"/>
      <c r="S68" s="115"/>
      <c r="T68" s="105" t="str">
        <f t="shared" ref="T68:V68" si="109">IF(O68&gt;=$E$10,"1","0")</f>
        <v>1</v>
      </c>
      <c r="U68" s="105" t="str">
        <f t="shared" si="109"/>
        <v>1</v>
      </c>
      <c r="V68" s="105" t="str">
        <f t="shared" si="109"/>
        <v>1</v>
      </c>
      <c r="W68" s="116">
        <f>Theory!E58</f>
        <v>33</v>
      </c>
    </row>
    <row r="69" spans="1:23" ht="15.75" customHeight="1">
      <c r="A69" s="103">
        <f>Theory!A59</f>
        <v>54</v>
      </c>
      <c r="B69" s="103" t="str">
        <f>Theory!B59</f>
        <v>7376231EE155</v>
      </c>
      <c r="C69" s="105"/>
      <c r="D69" s="105"/>
      <c r="E69" s="105">
        <v>10</v>
      </c>
      <c r="F69" s="105">
        <v>20</v>
      </c>
      <c r="G69" s="105">
        <v>20</v>
      </c>
      <c r="H69" s="108"/>
      <c r="I69" s="108"/>
      <c r="J69" s="106">
        <v>5</v>
      </c>
      <c r="K69" s="106">
        <v>11</v>
      </c>
      <c r="L69" s="107">
        <v>11</v>
      </c>
      <c r="M69" s="106"/>
      <c r="N69" s="104" t="str">
        <f t="shared" si="3"/>
        <v/>
      </c>
      <c r="O69" s="104">
        <f t="shared" ref="O69:Q69" si="110">IF(E69="","",J69*100/E69)</f>
        <v>50</v>
      </c>
      <c r="P69" s="104">
        <f t="shared" si="110"/>
        <v>55</v>
      </c>
      <c r="Q69" s="104">
        <f t="shared" si="110"/>
        <v>55</v>
      </c>
      <c r="R69" s="115"/>
      <c r="S69" s="115"/>
      <c r="T69" s="105" t="str">
        <f t="shared" ref="T69:V69" si="111">IF(O69&gt;=$E$10,"1","0")</f>
        <v>0</v>
      </c>
      <c r="U69" s="105" t="str">
        <f t="shared" si="111"/>
        <v>0</v>
      </c>
      <c r="V69" s="105" t="str">
        <f t="shared" si="111"/>
        <v>0</v>
      </c>
      <c r="W69" s="116">
        <f>Theory!E59</f>
        <v>27</v>
      </c>
    </row>
    <row r="70" spans="1:23" ht="15.75" customHeight="1">
      <c r="A70" s="103">
        <f>Theory!A60</f>
        <v>55</v>
      </c>
      <c r="B70" s="103" t="str">
        <f>Theory!B60</f>
        <v>7376231EE156</v>
      </c>
      <c r="C70" s="105"/>
      <c r="D70" s="105"/>
      <c r="E70" s="105">
        <v>10</v>
      </c>
      <c r="F70" s="105">
        <v>20</v>
      </c>
      <c r="G70" s="105">
        <v>20</v>
      </c>
      <c r="H70" s="108"/>
      <c r="I70" s="108"/>
      <c r="J70" s="106">
        <v>6</v>
      </c>
      <c r="K70" s="106">
        <v>13</v>
      </c>
      <c r="L70" s="107">
        <v>13</v>
      </c>
      <c r="M70" s="106"/>
      <c r="N70" s="104" t="str">
        <f t="shared" si="3"/>
        <v/>
      </c>
      <c r="O70" s="104">
        <f t="shared" ref="O70:Q70" si="112">IF(E70="","",J70*100/E70)</f>
        <v>60</v>
      </c>
      <c r="P70" s="104">
        <f t="shared" si="112"/>
        <v>65</v>
      </c>
      <c r="Q70" s="104">
        <f t="shared" si="112"/>
        <v>65</v>
      </c>
      <c r="R70" s="115"/>
      <c r="S70" s="115"/>
      <c r="T70" s="105" t="str">
        <f t="shared" ref="T70:V70" si="113">IF(O70&gt;=$E$10,"1","0")</f>
        <v>1</v>
      </c>
      <c r="U70" s="105" t="str">
        <f t="shared" si="113"/>
        <v>1</v>
      </c>
      <c r="V70" s="105" t="str">
        <f t="shared" si="113"/>
        <v>1</v>
      </c>
      <c r="W70" s="116">
        <f>Theory!E60</f>
        <v>32</v>
      </c>
    </row>
    <row r="71" spans="1:23" ht="15.75" customHeight="1">
      <c r="A71" s="103">
        <f>Theory!A61</f>
        <v>56</v>
      </c>
      <c r="B71" s="103" t="str">
        <f>Theory!B61</f>
        <v>7376231EE157</v>
      </c>
      <c r="C71" s="105"/>
      <c r="D71" s="105"/>
      <c r="E71" s="105">
        <v>10</v>
      </c>
      <c r="F71" s="105">
        <v>20</v>
      </c>
      <c r="G71" s="105">
        <v>20</v>
      </c>
      <c r="H71" s="108"/>
      <c r="I71" s="108"/>
      <c r="J71" s="106">
        <v>7</v>
      </c>
      <c r="K71" s="106">
        <v>14</v>
      </c>
      <c r="L71" s="107">
        <v>15</v>
      </c>
      <c r="M71" s="106"/>
      <c r="N71" s="104" t="str">
        <f t="shared" si="3"/>
        <v/>
      </c>
      <c r="O71" s="104">
        <f t="shared" ref="O71:Q71" si="114">IF(E71="","",J71*100/E71)</f>
        <v>70</v>
      </c>
      <c r="P71" s="104">
        <f t="shared" si="114"/>
        <v>70</v>
      </c>
      <c r="Q71" s="104">
        <f t="shared" si="114"/>
        <v>75</v>
      </c>
      <c r="R71" s="115"/>
      <c r="S71" s="115"/>
      <c r="T71" s="105" t="str">
        <f t="shared" ref="T71:V71" si="115">IF(O71&gt;=$E$10,"1","0")</f>
        <v>1</v>
      </c>
      <c r="U71" s="105" t="str">
        <f t="shared" si="115"/>
        <v>1</v>
      </c>
      <c r="V71" s="105" t="str">
        <f t="shared" si="115"/>
        <v>1</v>
      </c>
      <c r="W71" s="116">
        <f>Theory!E61</f>
        <v>36</v>
      </c>
    </row>
    <row r="72" spans="1:23" ht="15.75" customHeight="1">
      <c r="A72" s="103">
        <f>Theory!A62</f>
        <v>57</v>
      </c>
      <c r="B72" s="103" t="str">
        <f>Theory!B62</f>
        <v>7376231EE158</v>
      </c>
      <c r="C72" s="105"/>
      <c r="D72" s="105"/>
      <c r="E72" s="105">
        <v>10</v>
      </c>
      <c r="F72" s="105">
        <v>20</v>
      </c>
      <c r="G72" s="105">
        <v>20</v>
      </c>
      <c r="H72" s="108"/>
      <c r="I72" s="108"/>
      <c r="J72" s="106">
        <v>5</v>
      </c>
      <c r="K72" s="106">
        <v>13</v>
      </c>
      <c r="L72" s="107">
        <v>12</v>
      </c>
      <c r="M72" s="106"/>
      <c r="N72" s="104" t="str">
        <f t="shared" si="3"/>
        <v/>
      </c>
      <c r="O72" s="104">
        <f t="shared" ref="O72:Q72" si="116">IF(E72="","",J72*100/E72)</f>
        <v>50</v>
      </c>
      <c r="P72" s="104">
        <f t="shared" si="116"/>
        <v>65</v>
      </c>
      <c r="Q72" s="104">
        <f t="shared" si="116"/>
        <v>60</v>
      </c>
      <c r="R72" s="115"/>
      <c r="S72" s="115"/>
      <c r="T72" s="105" t="str">
        <f t="shared" ref="T72:V72" si="117">IF(O72&gt;=$E$10,"1","0")</f>
        <v>0</v>
      </c>
      <c r="U72" s="105" t="str">
        <f t="shared" si="117"/>
        <v>1</v>
      </c>
      <c r="V72" s="105" t="str">
        <f t="shared" si="117"/>
        <v>1</v>
      </c>
      <c r="W72" s="116">
        <f>Theory!E62</f>
        <v>30</v>
      </c>
    </row>
    <row r="73" spans="1:23" ht="15.75" customHeight="1">
      <c r="A73" s="103">
        <f>Theory!A63</f>
        <v>58</v>
      </c>
      <c r="B73" s="103" t="str">
        <f>Theory!B63</f>
        <v>7376231EE159</v>
      </c>
      <c r="C73" s="105"/>
      <c r="D73" s="105"/>
      <c r="E73" s="105">
        <v>10</v>
      </c>
      <c r="F73" s="105">
        <v>20</v>
      </c>
      <c r="G73" s="105">
        <v>20</v>
      </c>
      <c r="H73" s="108"/>
      <c r="I73" s="108"/>
      <c r="J73" s="106">
        <v>6</v>
      </c>
      <c r="K73" s="106">
        <v>11</v>
      </c>
      <c r="L73" s="107">
        <v>11</v>
      </c>
      <c r="M73" s="106"/>
      <c r="N73" s="104" t="str">
        <f t="shared" si="3"/>
        <v/>
      </c>
      <c r="O73" s="104">
        <f t="shared" ref="O73:Q73" si="118">IF(E73="","",J73*100/E73)</f>
        <v>60</v>
      </c>
      <c r="P73" s="104">
        <f t="shared" si="118"/>
        <v>55</v>
      </c>
      <c r="Q73" s="104">
        <f t="shared" si="118"/>
        <v>55</v>
      </c>
      <c r="R73" s="115"/>
      <c r="S73" s="115"/>
      <c r="T73" s="105" t="str">
        <f t="shared" ref="T73:V73" si="119">IF(O73&gt;=$E$10,"1","0")</f>
        <v>1</v>
      </c>
      <c r="U73" s="105" t="str">
        <f t="shared" si="119"/>
        <v>0</v>
      </c>
      <c r="V73" s="105" t="str">
        <f t="shared" si="119"/>
        <v>0</v>
      </c>
      <c r="W73" s="116">
        <f>Theory!E63</f>
        <v>28</v>
      </c>
    </row>
    <row r="74" spans="1:23" ht="15.75" customHeight="1">
      <c r="A74" s="103">
        <f>Theory!A64</f>
        <v>59</v>
      </c>
      <c r="B74" s="103" t="str">
        <f>Theory!B64</f>
        <v>7376231EE160</v>
      </c>
      <c r="C74" s="105"/>
      <c r="D74" s="105"/>
      <c r="E74" s="105">
        <v>10</v>
      </c>
      <c r="F74" s="105">
        <v>20</v>
      </c>
      <c r="G74" s="105">
        <v>20</v>
      </c>
      <c r="H74" s="108"/>
      <c r="I74" s="108"/>
      <c r="J74" s="106">
        <v>6</v>
      </c>
      <c r="K74" s="106">
        <v>9</v>
      </c>
      <c r="L74" s="107">
        <v>9</v>
      </c>
      <c r="M74" s="106"/>
      <c r="N74" s="104" t="str">
        <f t="shared" si="3"/>
        <v/>
      </c>
      <c r="O74" s="104">
        <f t="shared" ref="O74:Q74" si="120">IF(E74="","",J74*100/E74)</f>
        <v>60</v>
      </c>
      <c r="P74" s="104">
        <f t="shared" si="120"/>
        <v>45</v>
      </c>
      <c r="Q74" s="104">
        <f t="shared" si="120"/>
        <v>45</v>
      </c>
      <c r="R74" s="115"/>
      <c r="S74" s="115"/>
      <c r="T74" s="105" t="str">
        <f t="shared" ref="T74:V74" si="121">IF(O74&gt;=$E$10,"1","0")</f>
        <v>1</v>
      </c>
      <c r="U74" s="105" t="str">
        <f t="shared" si="121"/>
        <v>0</v>
      </c>
      <c r="V74" s="105" t="str">
        <f t="shared" si="121"/>
        <v>0</v>
      </c>
      <c r="W74" s="116">
        <f>Theory!E64</f>
        <v>24</v>
      </c>
    </row>
    <row r="75" spans="1:23" ht="15.75" customHeight="1">
      <c r="A75" s="103">
        <f>Theory!A65</f>
        <v>60</v>
      </c>
      <c r="B75" s="103" t="str">
        <f>Theory!B65</f>
        <v>7376231EE161</v>
      </c>
      <c r="C75" s="105"/>
      <c r="D75" s="105"/>
      <c r="E75" s="105">
        <v>10</v>
      </c>
      <c r="F75" s="105">
        <v>20</v>
      </c>
      <c r="G75" s="105">
        <v>20</v>
      </c>
      <c r="H75" s="108"/>
      <c r="I75" s="108"/>
      <c r="J75" s="106">
        <v>5</v>
      </c>
      <c r="K75" s="106">
        <v>13</v>
      </c>
      <c r="L75" s="107">
        <v>12</v>
      </c>
      <c r="M75" s="106"/>
      <c r="N75" s="104" t="str">
        <f t="shared" si="3"/>
        <v/>
      </c>
      <c r="O75" s="104">
        <f t="shared" ref="O75:Q75" si="122">IF(E75="","",J75*100/E75)</f>
        <v>50</v>
      </c>
      <c r="P75" s="104">
        <f t="shared" si="122"/>
        <v>65</v>
      </c>
      <c r="Q75" s="104">
        <f t="shared" si="122"/>
        <v>60</v>
      </c>
      <c r="R75" s="115"/>
      <c r="S75" s="115"/>
      <c r="T75" s="105" t="str">
        <f t="shared" ref="T75:V75" si="123">IF(O75&gt;=$E$10,"1","0")</f>
        <v>0</v>
      </c>
      <c r="U75" s="105" t="str">
        <f t="shared" si="123"/>
        <v>1</v>
      </c>
      <c r="V75" s="105" t="str">
        <f t="shared" si="123"/>
        <v>1</v>
      </c>
      <c r="W75" s="116">
        <f>Theory!E65</f>
        <v>30</v>
      </c>
    </row>
    <row r="76" spans="1:23" ht="15.75" customHeight="1">
      <c r="A76" s="103">
        <f>Theory!A66</f>
        <v>61</v>
      </c>
      <c r="B76" s="103" t="str">
        <f>Theory!B66</f>
        <v>7376241EE501</v>
      </c>
      <c r="C76" s="105"/>
      <c r="D76" s="105"/>
      <c r="E76" s="105">
        <v>10</v>
      </c>
      <c r="F76" s="105">
        <v>20</v>
      </c>
      <c r="G76" s="105">
        <v>20</v>
      </c>
      <c r="H76" s="108"/>
      <c r="I76" s="108"/>
      <c r="J76" s="106">
        <v>6</v>
      </c>
      <c r="K76" s="106">
        <v>11</v>
      </c>
      <c r="L76" s="107">
        <v>12</v>
      </c>
      <c r="M76" s="106"/>
      <c r="N76" s="104" t="str">
        <f t="shared" si="3"/>
        <v/>
      </c>
      <c r="O76" s="104">
        <f t="shared" ref="O76:Q76" si="124">IF(E76="","",J76*100/E76)</f>
        <v>60</v>
      </c>
      <c r="P76" s="104">
        <f t="shared" si="124"/>
        <v>55</v>
      </c>
      <c r="Q76" s="104">
        <f t="shared" si="124"/>
        <v>60</v>
      </c>
      <c r="R76" s="115"/>
      <c r="S76" s="115"/>
      <c r="T76" s="105" t="str">
        <f t="shared" ref="T76:V76" si="125">IF(O76&gt;=$E$10,"1","0")</f>
        <v>1</v>
      </c>
      <c r="U76" s="105" t="str">
        <f t="shared" si="125"/>
        <v>0</v>
      </c>
      <c r="V76" s="105" t="str">
        <f t="shared" si="125"/>
        <v>1</v>
      </c>
      <c r="W76" s="116">
        <f>Theory!E66</f>
        <v>29</v>
      </c>
    </row>
    <row r="77" spans="1:23" ht="15.75" customHeight="1">
      <c r="A77" s="103">
        <f>Theory!A67</f>
        <v>62</v>
      </c>
      <c r="B77" s="103" t="str">
        <f>Theory!B67</f>
        <v>7376241EE502</v>
      </c>
      <c r="C77" s="105"/>
      <c r="D77" s="105"/>
      <c r="E77" s="105">
        <v>10</v>
      </c>
      <c r="F77" s="105">
        <v>20</v>
      </c>
      <c r="G77" s="105">
        <v>20</v>
      </c>
      <c r="H77" s="108"/>
      <c r="I77" s="108"/>
      <c r="J77" s="106">
        <v>4</v>
      </c>
      <c r="K77" s="106">
        <v>7</v>
      </c>
      <c r="L77" s="107">
        <v>6</v>
      </c>
      <c r="M77" s="106"/>
      <c r="N77" s="104" t="str">
        <f t="shared" si="3"/>
        <v/>
      </c>
      <c r="O77" s="104">
        <f t="shared" ref="O77:Q77" si="126">IF(E77="","",J77*100/E77)</f>
        <v>40</v>
      </c>
      <c r="P77" s="104">
        <f t="shared" si="126"/>
        <v>35</v>
      </c>
      <c r="Q77" s="104">
        <f t="shared" si="126"/>
        <v>30</v>
      </c>
      <c r="R77" s="115"/>
      <c r="S77" s="115"/>
      <c r="T77" s="105" t="str">
        <f t="shared" ref="T77:V77" si="127">IF(O77&gt;=$E$10,"1","0")</f>
        <v>0</v>
      </c>
      <c r="U77" s="105" t="str">
        <f t="shared" si="127"/>
        <v>0</v>
      </c>
      <c r="V77" s="105" t="str">
        <f t="shared" si="127"/>
        <v>0</v>
      </c>
      <c r="W77" s="116">
        <f>Theory!E67</f>
        <v>17</v>
      </c>
    </row>
    <row r="78" spans="1:23" ht="15.75" customHeight="1">
      <c r="A78" s="103">
        <f>Theory!A68</f>
        <v>63</v>
      </c>
      <c r="B78" s="103" t="str">
        <f>Theory!B68</f>
        <v>7376241EE503</v>
      </c>
      <c r="C78" s="105"/>
      <c r="D78" s="105"/>
      <c r="E78" s="105">
        <v>10</v>
      </c>
      <c r="F78" s="105">
        <v>20</v>
      </c>
      <c r="G78" s="105">
        <v>20</v>
      </c>
      <c r="H78" s="108"/>
      <c r="I78" s="108"/>
      <c r="J78" s="106">
        <v>4</v>
      </c>
      <c r="K78" s="106">
        <v>7</v>
      </c>
      <c r="L78" s="107">
        <v>6</v>
      </c>
      <c r="M78" s="106"/>
      <c r="N78" s="104" t="str">
        <f t="shared" si="3"/>
        <v/>
      </c>
      <c r="O78" s="104">
        <f t="shared" ref="O78:Q78" si="128">IF(E78="","",J78*100/E78)</f>
        <v>40</v>
      </c>
      <c r="P78" s="104">
        <f t="shared" si="128"/>
        <v>35</v>
      </c>
      <c r="Q78" s="104">
        <f t="shared" si="128"/>
        <v>30</v>
      </c>
      <c r="R78" s="115"/>
      <c r="S78" s="115"/>
      <c r="T78" s="105" t="str">
        <f t="shared" ref="T78:V78" si="129">IF(O78&gt;=$E$10,"1","0")</f>
        <v>0</v>
      </c>
      <c r="U78" s="105" t="str">
        <f t="shared" si="129"/>
        <v>0</v>
      </c>
      <c r="V78" s="105" t="str">
        <f t="shared" si="129"/>
        <v>0</v>
      </c>
      <c r="W78" s="116">
        <f>Theory!E68</f>
        <v>17</v>
      </c>
    </row>
    <row r="79" spans="1:23" ht="15.75" customHeight="1">
      <c r="A79" s="103">
        <f>Theory!A69</f>
        <v>64</v>
      </c>
      <c r="B79" s="103" t="str">
        <f>Theory!B69</f>
        <v>7376241EE504</v>
      </c>
      <c r="C79" s="105"/>
      <c r="D79" s="105"/>
      <c r="E79" s="105">
        <v>10</v>
      </c>
      <c r="F79" s="105">
        <v>20</v>
      </c>
      <c r="G79" s="105">
        <v>20</v>
      </c>
      <c r="H79" s="108"/>
      <c r="I79" s="108"/>
      <c r="J79" s="106">
        <v>5</v>
      </c>
      <c r="K79" s="106">
        <v>11</v>
      </c>
      <c r="L79" s="107">
        <v>11</v>
      </c>
      <c r="M79" s="106"/>
      <c r="N79" s="104" t="str">
        <f t="shared" si="3"/>
        <v/>
      </c>
      <c r="O79" s="104">
        <f t="shared" ref="O79:Q79" si="130">IF(E79="","",J79*100/E79)</f>
        <v>50</v>
      </c>
      <c r="P79" s="104">
        <f t="shared" si="130"/>
        <v>55</v>
      </c>
      <c r="Q79" s="104">
        <f t="shared" si="130"/>
        <v>55</v>
      </c>
      <c r="R79" s="115"/>
      <c r="S79" s="115"/>
      <c r="T79" s="105" t="str">
        <f t="shared" ref="T79:V79" si="131">IF(O79&gt;=$E$10,"1","0")</f>
        <v>0</v>
      </c>
      <c r="U79" s="105" t="str">
        <f t="shared" si="131"/>
        <v>0</v>
      </c>
      <c r="V79" s="105" t="str">
        <f t="shared" si="131"/>
        <v>0</v>
      </c>
      <c r="W79" s="116">
        <f>Theory!E69</f>
        <v>27</v>
      </c>
    </row>
    <row r="80" spans="1:23" ht="15.75" customHeight="1">
      <c r="A80" s="103">
        <f>Theory!A70</f>
        <v>65</v>
      </c>
      <c r="B80" s="103" t="str">
        <f>Theory!B70</f>
        <v>7376241EE505</v>
      </c>
      <c r="C80" s="105"/>
      <c r="D80" s="105"/>
      <c r="E80" s="105">
        <v>10</v>
      </c>
      <c r="F80" s="105">
        <v>20</v>
      </c>
      <c r="G80" s="105">
        <v>20</v>
      </c>
      <c r="H80" s="108"/>
      <c r="I80" s="108"/>
      <c r="J80" s="106">
        <v>5</v>
      </c>
      <c r="K80" s="106">
        <v>10</v>
      </c>
      <c r="L80" s="107">
        <v>11</v>
      </c>
      <c r="M80" s="106"/>
      <c r="N80" s="104" t="str">
        <f t="shared" si="3"/>
        <v/>
      </c>
      <c r="O80" s="104">
        <f t="shared" ref="O80:Q80" si="132">IF(E80="","",J80*100/E80)</f>
        <v>50</v>
      </c>
      <c r="P80" s="104">
        <f t="shared" si="132"/>
        <v>50</v>
      </c>
      <c r="Q80" s="104">
        <f t="shared" si="132"/>
        <v>55</v>
      </c>
      <c r="R80" s="115"/>
      <c r="S80" s="115"/>
      <c r="T80" s="105" t="str">
        <f t="shared" ref="T80:V80" si="133">IF(O80&gt;=$E$10,"1","0")</f>
        <v>0</v>
      </c>
      <c r="U80" s="105" t="str">
        <f t="shared" si="133"/>
        <v>0</v>
      </c>
      <c r="V80" s="105" t="str">
        <f t="shared" si="133"/>
        <v>0</v>
      </c>
      <c r="W80" s="116">
        <f>Theory!E70</f>
        <v>26</v>
      </c>
    </row>
    <row r="81" spans="1:23" ht="15.75" customHeight="1">
      <c r="A81" s="103">
        <f>Theory!A71</f>
        <v>66</v>
      </c>
      <c r="B81" s="103" t="str">
        <f>Theory!B71</f>
        <v>7376241EE506</v>
      </c>
      <c r="C81" s="105"/>
      <c r="D81" s="105"/>
      <c r="E81" s="105">
        <v>10</v>
      </c>
      <c r="F81" s="105">
        <v>20</v>
      </c>
      <c r="G81" s="105">
        <v>20</v>
      </c>
      <c r="H81" s="108"/>
      <c r="I81" s="108"/>
      <c r="J81" s="106">
        <v>6</v>
      </c>
      <c r="K81" s="106">
        <v>13</v>
      </c>
      <c r="L81" s="107">
        <v>13</v>
      </c>
      <c r="M81" s="106"/>
      <c r="N81" s="104" t="str">
        <f t="shared" si="3"/>
        <v/>
      </c>
      <c r="O81" s="104">
        <f t="shared" ref="O81:Q81" si="134">IF(E81="","",J81*100/E81)</f>
        <v>60</v>
      </c>
      <c r="P81" s="104">
        <f t="shared" si="134"/>
        <v>65</v>
      </c>
      <c r="Q81" s="104">
        <f t="shared" si="134"/>
        <v>65</v>
      </c>
      <c r="R81" s="115"/>
      <c r="S81" s="115"/>
      <c r="T81" s="105" t="str">
        <f t="shared" ref="T81:V81" si="135">IF(O81&gt;=$E$10,"1","0")</f>
        <v>1</v>
      </c>
      <c r="U81" s="105" t="str">
        <f t="shared" si="135"/>
        <v>1</v>
      </c>
      <c r="V81" s="105" t="str">
        <f t="shared" si="135"/>
        <v>1</v>
      </c>
      <c r="W81" s="116">
        <f>Theory!E71</f>
        <v>32</v>
      </c>
    </row>
    <row r="82" spans="1:23" ht="15.75" hidden="1" customHeight="1">
      <c r="A82" s="103"/>
      <c r="B82" s="103"/>
      <c r="C82" s="105"/>
      <c r="D82" s="105"/>
      <c r="E82" s="105"/>
      <c r="F82" s="105"/>
      <c r="G82" s="105"/>
      <c r="H82" s="108"/>
      <c r="I82" s="108"/>
      <c r="J82" s="106"/>
      <c r="K82" s="106"/>
      <c r="L82" s="107"/>
      <c r="M82" s="106"/>
      <c r="N82" s="104"/>
      <c r="O82" s="104"/>
      <c r="P82" s="104"/>
      <c r="Q82" s="104"/>
      <c r="R82" s="115"/>
      <c r="S82" s="115"/>
      <c r="T82" s="105"/>
      <c r="U82" s="105"/>
      <c r="V82" s="105"/>
      <c r="W82" s="116"/>
    </row>
    <row r="83" spans="1:23" ht="15.75" hidden="1" customHeight="1">
      <c r="A83" s="103"/>
      <c r="B83" s="103"/>
      <c r="C83" s="105"/>
      <c r="D83" s="105"/>
      <c r="E83" s="105"/>
      <c r="F83" s="105"/>
      <c r="G83" s="105"/>
      <c r="H83" s="108"/>
      <c r="I83" s="108"/>
      <c r="J83" s="106"/>
      <c r="K83" s="106"/>
      <c r="L83" s="107"/>
      <c r="M83" s="106"/>
      <c r="N83" s="104"/>
      <c r="O83" s="104"/>
      <c r="P83" s="104"/>
      <c r="Q83" s="104"/>
      <c r="R83" s="115"/>
      <c r="S83" s="115"/>
      <c r="T83" s="105"/>
      <c r="U83" s="105"/>
      <c r="V83" s="105"/>
      <c r="W83" s="116"/>
    </row>
    <row r="84" spans="1:23" ht="15.75" hidden="1" customHeight="1">
      <c r="A84" s="103"/>
      <c r="B84" s="103"/>
      <c r="C84" s="105"/>
      <c r="D84" s="105"/>
      <c r="E84" s="105"/>
      <c r="F84" s="105"/>
      <c r="G84" s="105"/>
      <c r="H84" s="108"/>
      <c r="I84" s="108"/>
      <c r="J84" s="106"/>
      <c r="K84" s="106"/>
      <c r="L84" s="107"/>
      <c r="M84" s="106"/>
      <c r="N84" s="104"/>
      <c r="O84" s="104"/>
      <c r="P84" s="104"/>
      <c r="Q84" s="104"/>
      <c r="R84" s="115"/>
      <c r="S84" s="115"/>
      <c r="T84" s="105"/>
      <c r="U84" s="105"/>
      <c r="V84" s="105"/>
      <c r="W84" s="116"/>
    </row>
    <row r="85" spans="1:23" ht="15.75" hidden="1" customHeight="1">
      <c r="A85" s="103"/>
      <c r="B85" s="103"/>
      <c r="C85" s="105"/>
      <c r="D85" s="105"/>
      <c r="E85" s="105"/>
      <c r="F85" s="105"/>
      <c r="G85" s="105"/>
      <c r="H85" s="108"/>
      <c r="I85" s="108"/>
      <c r="J85" s="106"/>
      <c r="K85" s="106"/>
      <c r="L85" s="107"/>
      <c r="M85" s="106"/>
      <c r="N85" s="104"/>
      <c r="O85" s="104"/>
      <c r="P85" s="104"/>
      <c r="Q85" s="104"/>
      <c r="R85" s="115"/>
      <c r="S85" s="115"/>
      <c r="T85" s="105"/>
      <c r="U85" s="105"/>
      <c r="V85" s="105"/>
      <c r="W85" s="116"/>
    </row>
    <row r="86" spans="1:23" ht="15.75" hidden="1" customHeight="1">
      <c r="A86" s="103"/>
      <c r="B86" s="103"/>
      <c r="C86" s="105"/>
      <c r="D86" s="105"/>
      <c r="E86" s="105"/>
      <c r="F86" s="105"/>
      <c r="G86" s="105"/>
      <c r="H86" s="108"/>
      <c r="I86" s="108"/>
      <c r="J86" s="106"/>
      <c r="K86" s="106"/>
      <c r="L86" s="107"/>
      <c r="M86" s="106"/>
      <c r="N86" s="104"/>
      <c r="O86" s="104"/>
      <c r="P86" s="104"/>
      <c r="Q86" s="104"/>
      <c r="R86" s="115"/>
      <c r="S86" s="115"/>
      <c r="T86" s="105"/>
      <c r="U86" s="105"/>
      <c r="V86" s="105"/>
      <c r="W86" s="116"/>
    </row>
    <row r="87" spans="1:23" ht="15.75" hidden="1" customHeight="1">
      <c r="A87" s="103"/>
      <c r="B87" s="103"/>
      <c r="C87" s="105"/>
      <c r="D87" s="105"/>
      <c r="E87" s="105"/>
      <c r="F87" s="105"/>
      <c r="G87" s="105"/>
      <c r="H87" s="108"/>
      <c r="I87" s="108"/>
      <c r="J87" s="106"/>
      <c r="K87" s="106"/>
      <c r="L87" s="107"/>
      <c r="M87" s="106"/>
      <c r="N87" s="104"/>
      <c r="O87" s="104"/>
      <c r="P87" s="104"/>
      <c r="Q87" s="104"/>
      <c r="R87" s="115"/>
      <c r="S87" s="115"/>
      <c r="T87" s="105"/>
      <c r="U87" s="105"/>
      <c r="V87" s="105"/>
      <c r="W87" s="116"/>
    </row>
    <row r="88" spans="1:23" ht="15.75" hidden="1" customHeight="1">
      <c r="A88" s="103"/>
      <c r="B88" s="103"/>
      <c r="C88" s="105"/>
      <c r="D88" s="105"/>
      <c r="E88" s="105"/>
      <c r="F88" s="105"/>
      <c r="G88" s="105"/>
      <c r="H88" s="108"/>
      <c r="I88" s="108"/>
      <c r="J88" s="106"/>
      <c r="K88" s="106"/>
      <c r="L88" s="107"/>
      <c r="M88" s="106"/>
      <c r="N88" s="104"/>
      <c r="O88" s="104"/>
      <c r="P88" s="104"/>
      <c r="Q88" s="104"/>
      <c r="R88" s="115"/>
      <c r="S88" s="115"/>
      <c r="T88" s="105"/>
      <c r="U88" s="105"/>
      <c r="V88" s="105"/>
      <c r="W88" s="116"/>
    </row>
    <row r="89" spans="1:23" ht="15.75" hidden="1" customHeight="1">
      <c r="A89" s="103"/>
      <c r="B89" s="103"/>
      <c r="C89" s="105"/>
      <c r="D89" s="105"/>
      <c r="E89" s="105"/>
      <c r="F89" s="105"/>
      <c r="G89" s="105"/>
      <c r="H89" s="108"/>
      <c r="I89" s="108"/>
      <c r="J89" s="106"/>
      <c r="K89" s="106"/>
      <c r="L89" s="107"/>
      <c r="M89" s="106"/>
      <c r="N89" s="104"/>
      <c r="O89" s="104"/>
      <c r="P89" s="104"/>
      <c r="Q89" s="104"/>
      <c r="R89" s="115"/>
      <c r="S89" s="115"/>
      <c r="T89" s="105"/>
      <c r="U89" s="105"/>
      <c r="V89" s="105"/>
      <c r="W89" s="116"/>
    </row>
    <row r="90" spans="1:23" ht="15.75" hidden="1" customHeight="1">
      <c r="A90" s="103"/>
      <c r="B90" s="103"/>
      <c r="C90" s="105"/>
      <c r="D90" s="105"/>
      <c r="E90" s="105"/>
      <c r="F90" s="105"/>
      <c r="G90" s="105"/>
      <c r="H90" s="108"/>
      <c r="I90" s="108"/>
      <c r="J90" s="106"/>
      <c r="K90" s="106"/>
      <c r="L90" s="107"/>
      <c r="M90" s="106"/>
      <c r="N90" s="104"/>
      <c r="O90" s="104"/>
      <c r="P90" s="104"/>
      <c r="Q90" s="104"/>
      <c r="R90" s="115"/>
      <c r="S90" s="115"/>
      <c r="T90" s="105"/>
      <c r="U90" s="105"/>
      <c r="V90" s="105"/>
      <c r="W90" s="116"/>
    </row>
    <row r="91" spans="1:23" ht="15.75" hidden="1" customHeight="1">
      <c r="A91" s="103"/>
      <c r="B91" s="103"/>
      <c r="C91" s="105"/>
      <c r="D91" s="105"/>
      <c r="E91" s="105"/>
      <c r="F91" s="105"/>
      <c r="G91" s="105"/>
      <c r="H91" s="108"/>
      <c r="I91" s="108"/>
      <c r="J91" s="106"/>
      <c r="K91" s="106"/>
      <c r="L91" s="107"/>
      <c r="M91" s="106"/>
      <c r="N91" s="104"/>
      <c r="O91" s="104"/>
      <c r="P91" s="104"/>
      <c r="Q91" s="104"/>
      <c r="R91" s="115"/>
      <c r="S91" s="115"/>
      <c r="T91" s="105"/>
      <c r="U91" s="105"/>
      <c r="V91" s="105"/>
      <c r="W91" s="116"/>
    </row>
    <row r="92" spans="1:23" ht="15.75" hidden="1" customHeight="1">
      <c r="A92" s="103"/>
      <c r="B92" s="103"/>
      <c r="C92" s="105"/>
      <c r="D92" s="105"/>
      <c r="E92" s="105"/>
      <c r="F92" s="105"/>
      <c r="G92" s="105"/>
      <c r="H92" s="108"/>
      <c r="I92" s="108"/>
      <c r="J92" s="106"/>
      <c r="K92" s="106"/>
      <c r="L92" s="107"/>
      <c r="M92" s="106"/>
      <c r="N92" s="104"/>
      <c r="O92" s="104"/>
      <c r="P92" s="104"/>
      <c r="Q92" s="104"/>
      <c r="R92" s="115"/>
      <c r="S92" s="115"/>
      <c r="T92" s="105"/>
      <c r="U92" s="105"/>
      <c r="V92" s="105"/>
      <c r="W92" s="116"/>
    </row>
    <row r="93" spans="1:23" ht="15.75" hidden="1" customHeight="1">
      <c r="A93" s="103"/>
      <c r="B93" s="103"/>
      <c r="C93" s="105"/>
      <c r="D93" s="105"/>
      <c r="E93" s="105"/>
      <c r="F93" s="105"/>
      <c r="G93" s="105"/>
      <c r="H93" s="108"/>
      <c r="I93" s="108"/>
      <c r="J93" s="106"/>
      <c r="K93" s="106"/>
      <c r="L93" s="107"/>
      <c r="M93" s="106"/>
      <c r="N93" s="104"/>
      <c r="O93" s="104"/>
      <c r="P93" s="104"/>
      <c r="Q93" s="104"/>
      <c r="R93" s="115"/>
      <c r="S93" s="115"/>
      <c r="T93" s="105"/>
      <c r="U93" s="105"/>
      <c r="V93" s="105"/>
      <c r="W93" s="116"/>
    </row>
    <row r="94" spans="1:23" ht="15.75" hidden="1" customHeight="1">
      <c r="A94" s="103"/>
      <c r="B94" s="103"/>
      <c r="C94" s="105"/>
      <c r="D94" s="105"/>
      <c r="E94" s="105"/>
      <c r="F94" s="105"/>
      <c r="G94" s="105"/>
      <c r="H94" s="108"/>
      <c r="I94" s="108"/>
      <c r="J94" s="106"/>
      <c r="K94" s="106"/>
      <c r="L94" s="107"/>
      <c r="M94" s="106"/>
      <c r="N94" s="104"/>
      <c r="O94" s="104"/>
      <c r="P94" s="104"/>
      <c r="Q94" s="104"/>
      <c r="R94" s="115"/>
      <c r="S94" s="115"/>
      <c r="T94" s="105"/>
      <c r="U94" s="105"/>
      <c r="V94" s="105"/>
      <c r="W94" s="116"/>
    </row>
    <row r="95" spans="1:23" ht="15.75" hidden="1" customHeight="1">
      <c r="A95" s="103"/>
      <c r="B95" s="103"/>
      <c r="C95" s="105"/>
      <c r="D95" s="105"/>
      <c r="E95" s="105"/>
      <c r="F95" s="105"/>
      <c r="G95" s="105"/>
      <c r="H95" s="108"/>
      <c r="I95" s="108"/>
      <c r="J95" s="106"/>
      <c r="K95" s="106"/>
      <c r="L95" s="107"/>
      <c r="M95" s="106"/>
      <c r="N95" s="104"/>
      <c r="O95" s="104"/>
      <c r="P95" s="104"/>
      <c r="Q95" s="104"/>
      <c r="R95" s="115"/>
      <c r="S95" s="115"/>
      <c r="T95" s="105"/>
      <c r="U95" s="105"/>
      <c r="V95" s="105"/>
      <c r="W95" s="116"/>
    </row>
    <row r="96" spans="1:23" ht="15.75" hidden="1" customHeight="1">
      <c r="A96" s="103"/>
      <c r="B96" s="103"/>
      <c r="C96" s="105"/>
      <c r="D96" s="105"/>
      <c r="E96" s="105"/>
      <c r="F96" s="105"/>
      <c r="G96" s="105"/>
      <c r="H96" s="108"/>
      <c r="I96" s="108"/>
      <c r="J96" s="106"/>
      <c r="K96" s="106"/>
      <c r="L96" s="107"/>
      <c r="M96" s="106"/>
      <c r="N96" s="104"/>
      <c r="O96" s="104"/>
      <c r="P96" s="104"/>
      <c r="Q96" s="104"/>
      <c r="R96" s="115"/>
      <c r="S96" s="115"/>
      <c r="T96" s="105"/>
      <c r="U96" s="105"/>
      <c r="V96" s="105"/>
      <c r="W96" s="116"/>
    </row>
    <row r="97" spans="1:23" ht="15.75" hidden="1" customHeight="1">
      <c r="A97" s="103"/>
      <c r="B97" s="103"/>
      <c r="C97" s="105"/>
      <c r="D97" s="105"/>
      <c r="E97" s="105"/>
      <c r="F97" s="105"/>
      <c r="G97" s="105"/>
      <c r="H97" s="108"/>
      <c r="I97" s="108"/>
      <c r="J97" s="106"/>
      <c r="K97" s="106"/>
      <c r="L97" s="107"/>
      <c r="M97" s="106"/>
      <c r="N97" s="104"/>
      <c r="O97" s="104"/>
      <c r="P97" s="104"/>
      <c r="Q97" s="104"/>
      <c r="R97" s="115"/>
      <c r="S97" s="115"/>
      <c r="T97" s="105"/>
      <c r="U97" s="105"/>
      <c r="V97" s="105"/>
      <c r="W97" s="116"/>
    </row>
    <row r="98" spans="1:23" ht="15.75" hidden="1" customHeight="1">
      <c r="A98" s="103"/>
      <c r="B98" s="103"/>
      <c r="C98" s="105"/>
      <c r="D98" s="105"/>
      <c r="E98" s="105"/>
      <c r="F98" s="105"/>
      <c r="G98" s="105"/>
      <c r="H98" s="108"/>
      <c r="I98" s="108"/>
      <c r="J98" s="106"/>
      <c r="K98" s="106"/>
      <c r="L98" s="107"/>
      <c r="M98" s="106"/>
      <c r="N98" s="104"/>
      <c r="O98" s="104"/>
      <c r="P98" s="104"/>
      <c r="Q98" s="104"/>
      <c r="R98" s="115"/>
      <c r="S98" s="115"/>
      <c r="T98" s="105"/>
      <c r="U98" s="105"/>
      <c r="V98" s="105"/>
      <c r="W98" s="116"/>
    </row>
    <row r="99" spans="1:23" ht="15.75" hidden="1" customHeight="1">
      <c r="A99" s="103"/>
      <c r="B99" s="103"/>
      <c r="C99" s="105"/>
      <c r="D99" s="105"/>
      <c r="E99" s="105"/>
      <c r="F99" s="105"/>
      <c r="G99" s="105"/>
      <c r="H99" s="108"/>
      <c r="I99" s="108"/>
      <c r="J99" s="106"/>
      <c r="K99" s="106"/>
      <c r="L99" s="107"/>
      <c r="M99" s="106"/>
      <c r="N99" s="104"/>
      <c r="O99" s="104"/>
      <c r="P99" s="104"/>
      <c r="Q99" s="104"/>
      <c r="R99" s="115"/>
      <c r="S99" s="115"/>
      <c r="T99" s="105"/>
      <c r="U99" s="105"/>
      <c r="V99" s="105"/>
      <c r="W99" s="116"/>
    </row>
    <row r="100" spans="1:23" ht="15.75" hidden="1" customHeight="1">
      <c r="A100" s="103"/>
      <c r="B100" s="103"/>
      <c r="C100" s="105"/>
      <c r="D100" s="105"/>
      <c r="E100" s="105"/>
      <c r="F100" s="105"/>
      <c r="G100" s="105"/>
      <c r="H100" s="108"/>
      <c r="I100" s="108"/>
      <c r="J100" s="106"/>
      <c r="K100" s="106"/>
      <c r="L100" s="107"/>
      <c r="M100" s="106"/>
      <c r="N100" s="104"/>
      <c r="O100" s="104"/>
      <c r="P100" s="104"/>
      <c r="Q100" s="104"/>
      <c r="R100" s="115"/>
      <c r="S100" s="115"/>
      <c r="T100" s="105"/>
      <c r="U100" s="105"/>
      <c r="V100" s="105"/>
      <c r="W100" s="116"/>
    </row>
    <row r="101" spans="1:23" ht="15.75" hidden="1" customHeight="1">
      <c r="A101" s="103"/>
      <c r="B101" s="103"/>
      <c r="C101" s="105"/>
      <c r="D101" s="105"/>
      <c r="E101" s="105"/>
      <c r="F101" s="105"/>
      <c r="G101" s="105"/>
      <c r="H101" s="108"/>
      <c r="I101" s="108"/>
      <c r="J101" s="106"/>
      <c r="K101" s="106"/>
      <c r="L101" s="107"/>
      <c r="M101" s="106"/>
      <c r="N101" s="104"/>
      <c r="O101" s="104"/>
      <c r="P101" s="104"/>
      <c r="Q101" s="104"/>
      <c r="R101" s="115"/>
      <c r="S101" s="115"/>
      <c r="T101" s="105"/>
      <c r="U101" s="105"/>
      <c r="V101" s="105"/>
      <c r="W101" s="116"/>
    </row>
    <row r="102" spans="1:23" ht="15.75" hidden="1" customHeight="1">
      <c r="A102" s="103"/>
      <c r="B102" s="103"/>
      <c r="C102" s="105"/>
      <c r="D102" s="105"/>
      <c r="E102" s="105"/>
      <c r="F102" s="105"/>
      <c r="G102" s="105"/>
      <c r="H102" s="108"/>
      <c r="I102" s="108"/>
      <c r="J102" s="106"/>
      <c r="K102" s="106"/>
      <c r="L102" s="107"/>
      <c r="M102" s="106"/>
      <c r="N102" s="104"/>
      <c r="O102" s="104"/>
      <c r="P102" s="104"/>
      <c r="Q102" s="104"/>
      <c r="R102" s="115"/>
      <c r="S102" s="115"/>
      <c r="T102" s="105"/>
      <c r="U102" s="105"/>
      <c r="V102" s="105"/>
      <c r="W102" s="116"/>
    </row>
    <row r="103" spans="1:23" ht="15.75" hidden="1" customHeight="1">
      <c r="A103" s="103"/>
      <c r="B103" s="103"/>
      <c r="C103" s="105"/>
      <c r="D103" s="105"/>
      <c r="E103" s="105"/>
      <c r="F103" s="105"/>
      <c r="G103" s="105"/>
      <c r="H103" s="108"/>
      <c r="I103" s="108"/>
      <c r="J103" s="106"/>
      <c r="K103" s="106"/>
      <c r="L103" s="107"/>
      <c r="M103" s="106"/>
      <c r="N103" s="104"/>
      <c r="O103" s="104"/>
      <c r="P103" s="104"/>
      <c r="Q103" s="104"/>
      <c r="R103" s="115"/>
      <c r="S103" s="115"/>
      <c r="T103" s="105"/>
      <c r="U103" s="105"/>
      <c r="V103" s="105"/>
      <c r="W103" s="116"/>
    </row>
    <row r="104" spans="1:23" ht="15.75" hidden="1" customHeight="1">
      <c r="A104" s="103"/>
      <c r="B104" s="103"/>
      <c r="C104" s="105"/>
      <c r="D104" s="105"/>
      <c r="E104" s="105"/>
      <c r="F104" s="105"/>
      <c r="G104" s="105"/>
      <c r="H104" s="108"/>
      <c r="I104" s="108"/>
      <c r="J104" s="106"/>
      <c r="K104" s="106"/>
      <c r="L104" s="107"/>
      <c r="M104" s="106"/>
      <c r="N104" s="104"/>
      <c r="O104" s="104"/>
      <c r="P104" s="104"/>
      <c r="Q104" s="104"/>
      <c r="R104" s="115"/>
      <c r="S104" s="115"/>
      <c r="T104" s="105"/>
      <c r="U104" s="105"/>
      <c r="V104" s="105"/>
      <c r="W104" s="116"/>
    </row>
    <row r="105" spans="1:23" ht="15.75" hidden="1" customHeight="1">
      <c r="A105" s="103"/>
      <c r="B105" s="103"/>
      <c r="C105" s="105"/>
      <c r="D105" s="105"/>
      <c r="E105" s="105"/>
      <c r="F105" s="105"/>
      <c r="G105" s="105"/>
      <c r="H105" s="108"/>
      <c r="I105" s="108"/>
      <c r="J105" s="106"/>
      <c r="K105" s="106"/>
      <c r="L105" s="107"/>
      <c r="M105" s="106"/>
      <c r="N105" s="104"/>
      <c r="O105" s="104"/>
      <c r="P105" s="104"/>
      <c r="Q105" s="104"/>
      <c r="R105" s="115"/>
      <c r="S105" s="115"/>
      <c r="T105" s="105"/>
      <c r="U105" s="105"/>
      <c r="V105" s="105"/>
      <c r="W105" s="116"/>
    </row>
    <row r="106" spans="1:23" ht="15.75" hidden="1" customHeight="1">
      <c r="A106" s="103"/>
      <c r="B106" s="103"/>
      <c r="C106" s="105"/>
      <c r="D106" s="105"/>
      <c r="E106" s="105"/>
      <c r="F106" s="105"/>
      <c r="G106" s="105"/>
      <c r="H106" s="108"/>
      <c r="I106" s="108"/>
      <c r="J106" s="106"/>
      <c r="K106" s="106"/>
      <c r="L106" s="107"/>
      <c r="M106" s="106"/>
      <c r="N106" s="104"/>
      <c r="O106" s="104"/>
      <c r="P106" s="104"/>
      <c r="Q106" s="104"/>
      <c r="R106" s="115"/>
      <c r="S106" s="115"/>
      <c r="T106" s="105"/>
      <c r="U106" s="105"/>
      <c r="V106" s="105"/>
      <c r="W106" s="116"/>
    </row>
    <row r="107" spans="1:23" ht="15.75" hidden="1" customHeight="1">
      <c r="A107" s="103"/>
      <c r="B107" s="103"/>
      <c r="C107" s="105"/>
      <c r="D107" s="105"/>
      <c r="E107" s="105"/>
      <c r="F107" s="105"/>
      <c r="G107" s="105"/>
      <c r="H107" s="108"/>
      <c r="I107" s="108"/>
      <c r="J107" s="106"/>
      <c r="K107" s="106"/>
      <c r="L107" s="107"/>
      <c r="M107" s="106"/>
      <c r="N107" s="104"/>
      <c r="O107" s="104"/>
      <c r="P107" s="104"/>
      <c r="Q107" s="104"/>
      <c r="R107" s="115"/>
      <c r="S107" s="115"/>
      <c r="T107" s="105"/>
      <c r="U107" s="105"/>
      <c r="V107" s="105"/>
      <c r="W107" s="116"/>
    </row>
    <row r="108" spans="1:23" ht="15.75" hidden="1" customHeight="1">
      <c r="A108" s="103"/>
      <c r="B108" s="103"/>
      <c r="C108" s="105"/>
      <c r="D108" s="105"/>
      <c r="E108" s="105"/>
      <c r="F108" s="105"/>
      <c r="G108" s="105"/>
      <c r="H108" s="108"/>
      <c r="I108" s="108"/>
      <c r="J108" s="106"/>
      <c r="K108" s="106"/>
      <c r="L108" s="107"/>
      <c r="M108" s="106"/>
      <c r="N108" s="104"/>
      <c r="O108" s="104"/>
      <c r="P108" s="104"/>
      <c r="Q108" s="104"/>
      <c r="R108" s="115"/>
      <c r="S108" s="115"/>
      <c r="T108" s="105"/>
      <c r="U108" s="105"/>
      <c r="V108" s="105"/>
      <c r="W108" s="116"/>
    </row>
    <row r="109" spans="1:23" ht="15.75" hidden="1" customHeight="1">
      <c r="A109" s="103"/>
      <c r="B109" s="103"/>
      <c r="C109" s="105"/>
      <c r="D109" s="105"/>
      <c r="E109" s="105"/>
      <c r="F109" s="105"/>
      <c r="G109" s="105"/>
      <c r="H109" s="108"/>
      <c r="I109" s="108"/>
      <c r="J109" s="106"/>
      <c r="K109" s="106"/>
      <c r="L109" s="107"/>
      <c r="M109" s="106"/>
      <c r="N109" s="104"/>
      <c r="O109" s="104"/>
      <c r="P109" s="104"/>
      <c r="Q109" s="104"/>
      <c r="R109" s="115"/>
      <c r="S109" s="115"/>
      <c r="T109" s="105"/>
      <c r="U109" s="105"/>
      <c r="V109" s="105"/>
      <c r="W109" s="116"/>
    </row>
    <row r="110" spans="1:23" ht="15.75" hidden="1" customHeight="1">
      <c r="A110" s="103"/>
      <c r="B110" s="103"/>
      <c r="C110" s="105"/>
      <c r="D110" s="105"/>
      <c r="E110" s="105"/>
      <c r="F110" s="105"/>
      <c r="G110" s="105"/>
      <c r="H110" s="108"/>
      <c r="I110" s="108"/>
      <c r="J110" s="106"/>
      <c r="K110" s="106"/>
      <c r="L110" s="107"/>
      <c r="M110" s="106"/>
      <c r="N110" s="104"/>
      <c r="O110" s="104"/>
      <c r="P110" s="104"/>
      <c r="Q110" s="104"/>
      <c r="R110" s="115"/>
      <c r="S110" s="115"/>
      <c r="T110" s="105"/>
      <c r="U110" s="105"/>
      <c r="V110" s="105"/>
      <c r="W110" s="116"/>
    </row>
    <row r="111" spans="1:23" ht="15.75" hidden="1" customHeight="1">
      <c r="A111" s="103"/>
      <c r="B111" s="103"/>
      <c r="C111" s="105"/>
      <c r="D111" s="105"/>
      <c r="E111" s="105"/>
      <c r="F111" s="105"/>
      <c r="G111" s="105"/>
      <c r="H111" s="108"/>
      <c r="I111" s="108"/>
      <c r="J111" s="106"/>
      <c r="K111" s="106"/>
      <c r="L111" s="107"/>
      <c r="M111" s="106"/>
      <c r="N111" s="104"/>
      <c r="O111" s="104"/>
      <c r="P111" s="104"/>
      <c r="Q111" s="104"/>
      <c r="R111" s="115"/>
      <c r="S111" s="115"/>
      <c r="T111" s="105"/>
      <c r="U111" s="105"/>
      <c r="V111" s="105"/>
      <c r="W111" s="116"/>
    </row>
    <row r="112" spans="1:23" ht="15.75" hidden="1" customHeight="1">
      <c r="A112" s="103"/>
      <c r="B112" s="103"/>
      <c r="C112" s="105"/>
      <c r="D112" s="105"/>
      <c r="E112" s="105"/>
      <c r="F112" s="105"/>
      <c r="G112" s="105"/>
      <c r="H112" s="108"/>
      <c r="I112" s="108"/>
      <c r="J112" s="106"/>
      <c r="K112" s="106"/>
      <c r="L112" s="107"/>
      <c r="M112" s="106"/>
      <c r="N112" s="104"/>
      <c r="O112" s="104"/>
      <c r="P112" s="104"/>
      <c r="Q112" s="104"/>
      <c r="R112" s="115"/>
      <c r="S112" s="115"/>
      <c r="T112" s="105"/>
      <c r="U112" s="105"/>
      <c r="V112" s="105"/>
      <c r="W112" s="116"/>
    </row>
    <row r="113" spans="1:23" ht="15.75" hidden="1" customHeight="1">
      <c r="A113" s="103"/>
      <c r="B113" s="103"/>
      <c r="C113" s="105"/>
      <c r="D113" s="105"/>
      <c r="E113" s="105"/>
      <c r="F113" s="105"/>
      <c r="G113" s="105"/>
      <c r="H113" s="108"/>
      <c r="I113" s="108"/>
      <c r="J113" s="106"/>
      <c r="K113" s="106"/>
      <c r="L113" s="107"/>
      <c r="M113" s="106"/>
      <c r="N113" s="104"/>
      <c r="O113" s="104"/>
      <c r="P113" s="104"/>
      <c r="Q113" s="104"/>
      <c r="R113" s="115"/>
      <c r="S113" s="115"/>
      <c r="T113" s="105"/>
      <c r="U113" s="105"/>
      <c r="V113" s="105"/>
      <c r="W113" s="116"/>
    </row>
    <row r="114" spans="1:23" ht="15.75" hidden="1" customHeight="1">
      <c r="A114" s="103"/>
      <c r="B114" s="103"/>
      <c r="C114" s="105"/>
      <c r="D114" s="105"/>
      <c r="E114" s="105"/>
      <c r="F114" s="105"/>
      <c r="G114" s="105"/>
      <c r="H114" s="108"/>
      <c r="I114" s="108"/>
      <c r="J114" s="106"/>
      <c r="K114" s="106"/>
      <c r="L114" s="107"/>
      <c r="M114" s="106"/>
      <c r="N114" s="104"/>
      <c r="O114" s="104"/>
      <c r="P114" s="104"/>
      <c r="Q114" s="104"/>
      <c r="R114" s="115"/>
      <c r="S114" s="115"/>
      <c r="T114" s="105"/>
      <c r="U114" s="105"/>
      <c r="V114" s="105"/>
      <c r="W114" s="116"/>
    </row>
    <row r="115" spans="1:23" ht="15.75" hidden="1" customHeight="1">
      <c r="A115" s="103"/>
      <c r="B115" s="103"/>
      <c r="C115" s="105"/>
      <c r="D115" s="105"/>
      <c r="E115" s="105"/>
      <c r="F115" s="105"/>
      <c r="G115" s="105"/>
      <c r="H115" s="108"/>
      <c r="I115" s="108"/>
      <c r="J115" s="106"/>
      <c r="K115" s="106"/>
      <c r="L115" s="107"/>
      <c r="M115" s="106"/>
      <c r="N115" s="104"/>
      <c r="O115" s="104"/>
      <c r="P115" s="104"/>
      <c r="Q115" s="104"/>
      <c r="R115" s="115"/>
      <c r="S115" s="115"/>
      <c r="T115" s="105"/>
      <c r="U115" s="105"/>
      <c r="V115" s="105"/>
      <c r="W115" s="116"/>
    </row>
    <row r="116" spans="1:23" ht="15.75" hidden="1" customHeight="1">
      <c r="A116" s="103"/>
      <c r="B116" s="103"/>
      <c r="C116" s="105"/>
      <c r="D116" s="105"/>
      <c r="E116" s="105"/>
      <c r="F116" s="105"/>
      <c r="G116" s="105"/>
      <c r="H116" s="108"/>
      <c r="I116" s="108"/>
      <c r="J116" s="106"/>
      <c r="K116" s="106"/>
      <c r="L116" s="107"/>
      <c r="M116" s="106"/>
      <c r="N116" s="104"/>
      <c r="O116" s="104"/>
      <c r="P116" s="104"/>
      <c r="Q116" s="104"/>
      <c r="R116" s="115"/>
      <c r="S116" s="115"/>
      <c r="T116" s="105"/>
      <c r="U116" s="105"/>
      <c r="V116" s="105"/>
      <c r="W116" s="116"/>
    </row>
    <row r="117" spans="1:23" ht="15.75" hidden="1" customHeight="1">
      <c r="A117" s="103"/>
      <c r="B117" s="103"/>
      <c r="C117" s="105"/>
      <c r="D117" s="105"/>
      <c r="E117" s="105"/>
      <c r="F117" s="105"/>
      <c r="G117" s="105"/>
      <c r="H117" s="108"/>
      <c r="I117" s="108"/>
      <c r="J117" s="106"/>
      <c r="K117" s="106"/>
      <c r="L117" s="107"/>
      <c r="M117" s="106"/>
      <c r="N117" s="104"/>
      <c r="O117" s="104"/>
      <c r="P117" s="104"/>
      <c r="Q117" s="104"/>
      <c r="R117" s="115"/>
      <c r="S117" s="115"/>
      <c r="T117" s="105"/>
      <c r="U117" s="105"/>
      <c r="V117" s="105"/>
      <c r="W117" s="116"/>
    </row>
    <row r="118" spans="1:23" ht="15.75" hidden="1" customHeight="1">
      <c r="A118" s="103"/>
      <c r="B118" s="103"/>
      <c r="C118" s="105"/>
      <c r="D118" s="105"/>
      <c r="E118" s="105"/>
      <c r="F118" s="105"/>
      <c r="G118" s="105"/>
      <c r="H118" s="108"/>
      <c r="I118" s="108"/>
      <c r="J118" s="106"/>
      <c r="K118" s="106"/>
      <c r="L118" s="107"/>
      <c r="M118" s="106"/>
      <c r="N118" s="104"/>
      <c r="O118" s="104"/>
      <c r="P118" s="104"/>
      <c r="Q118" s="104"/>
      <c r="R118" s="115"/>
      <c r="S118" s="115"/>
      <c r="T118" s="105"/>
      <c r="U118" s="105"/>
      <c r="V118" s="105"/>
      <c r="W118" s="116"/>
    </row>
    <row r="119" spans="1:23" ht="15.75" hidden="1" customHeight="1">
      <c r="A119" s="103"/>
      <c r="B119" s="103"/>
      <c r="C119" s="105"/>
      <c r="D119" s="105"/>
      <c r="E119" s="105"/>
      <c r="F119" s="105"/>
      <c r="G119" s="105"/>
      <c r="H119" s="108"/>
      <c r="I119" s="108"/>
      <c r="J119" s="106"/>
      <c r="K119" s="106"/>
      <c r="L119" s="107"/>
      <c r="M119" s="106"/>
      <c r="N119" s="104"/>
      <c r="O119" s="104"/>
      <c r="P119" s="104"/>
      <c r="Q119" s="104"/>
      <c r="R119" s="115"/>
      <c r="S119" s="115"/>
      <c r="T119" s="105"/>
      <c r="U119" s="105"/>
      <c r="V119" s="105"/>
      <c r="W119" s="116"/>
    </row>
    <row r="120" spans="1:23" ht="15.75" hidden="1" customHeight="1">
      <c r="A120" s="103"/>
      <c r="B120" s="103"/>
      <c r="C120" s="105"/>
      <c r="D120" s="105"/>
      <c r="E120" s="105"/>
      <c r="F120" s="105"/>
      <c r="G120" s="105"/>
      <c r="H120" s="108"/>
      <c r="I120" s="108"/>
      <c r="J120" s="106"/>
      <c r="K120" s="106"/>
      <c r="L120" s="107"/>
      <c r="M120" s="106"/>
      <c r="N120" s="104"/>
      <c r="O120" s="104"/>
      <c r="P120" s="104"/>
      <c r="Q120" s="104"/>
      <c r="R120" s="115"/>
      <c r="S120" s="115"/>
      <c r="T120" s="105"/>
      <c r="U120" s="105"/>
      <c r="V120" s="105"/>
      <c r="W120" s="116"/>
    </row>
    <row r="121" spans="1:23" ht="15.75" hidden="1" customHeight="1">
      <c r="A121" s="103"/>
      <c r="B121" s="103"/>
      <c r="C121" s="105"/>
      <c r="D121" s="105"/>
      <c r="E121" s="105"/>
      <c r="F121" s="105"/>
      <c r="G121" s="105"/>
      <c r="H121" s="108"/>
      <c r="I121" s="108"/>
      <c r="J121" s="106"/>
      <c r="K121" s="106"/>
      <c r="L121" s="107"/>
      <c r="M121" s="106"/>
      <c r="N121" s="104"/>
      <c r="O121" s="104"/>
      <c r="P121" s="104"/>
      <c r="Q121" s="104"/>
      <c r="R121" s="115"/>
      <c r="S121" s="115"/>
      <c r="T121" s="105"/>
      <c r="U121" s="105"/>
      <c r="V121" s="105"/>
      <c r="W121" s="116"/>
    </row>
    <row r="122" spans="1:23" ht="15.75" hidden="1" customHeight="1">
      <c r="A122" s="103"/>
      <c r="B122" s="103"/>
      <c r="C122" s="105"/>
      <c r="D122" s="105"/>
      <c r="E122" s="105"/>
      <c r="F122" s="105"/>
      <c r="G122" s="105"/>
      <c r="H122" s="108"/>
      <c r="I122" s="108"/>
      <c r="J122" s="106"/>
      <c r="K122" s="106"/>
      <c r="L122" s="107"/>
      <c r="M122" s="106"/>
      <c r="N122" s="104"/>
      <c r="O122" s="104"/>
      <c r="P122" s="104"/>
      <c r="Q122" s="104"/>
      <c r="R122" s="115"/>
      <c r="S122" s="115"/>
      <c r="T122" s="105"/>
      <c r="U122" s="105"/>
      <c r="V122" s="105"/>
      <c r="W122" s="116"/>
    </row>
    <row r="123" spans="1:23" ht="15.75" hidden="1" customHeight="1">
      <c r="A123" s="103"/>
      <c r="B123" s="103"/>
      <c r="C123" s="105"/>
      <c r="D123" s="105"/>
      <c r="E123" s="105"/>
      <c r="F123" s="105"/>
      <c r="G123" s="105"/>
      <c r="H123" s="108"/>
      <c r="I123" s="108"/>
      <c r="J123" s="106"/>
      <c r="K123" s="106"/>
      <c r="L123" s="107"/>
      <c r="M123" s="106"/>
      <c r="N123" s="104"/>
      <c r="O123" s="104"/>
      <c r="P123" s="104"/>
      <c r="Q123" s="104"/>
      <c r="R123" s="115"/>
      <c r="S123" s="115"/>
      <c r="T123" s="105"/>
      <c r="U123" s="105"/>
      <c r="V123" s="105"/>
      <c r="W123" s="116"/>
    </row>
    <row r="124" spans="1:23" ht="15.75" hidden="1" customHeight="1">
      <c r="A124" s="103"/>
      <c r="B124" s="103"/>
      <c r="C124" s="105"/>
      <c r="D124" s="105"/>
      <c r="E124" s="105"/>
      <c r="F124" s="105"/>
      <c r="G124" s="105"/>
      <c r="H124" s="108"/>
      <c r="I124" s="108"/>
      <c r="J124" s="106"/>
      <c r="K124" s="106"/>
      <c r="L124" s="107"/>
      <c r="M124" s="106"/>
      <c r="N124" s="104"/>
      <c r="O124" s="104"/>
      <c r="P124" s="104"/>
      <c r="Q124" s="104"/>
      <c r="R124" s="115"/>
      <c r="S124" s="115"/>
      <c r="T124" s="105"/>
      <c r="U124" s="105"/>
      <c r="V124" s="105"/>
      <c r="W124" s="116"/>
    </row>
    <row r="125" spans="1:23" ht="15.75" hidden="1" customHeight="1">
      <c r="A125" s="103"/>
      <c r="B125" s="103"/>
      <c r="C125" s="105"/>
      <c r="D125" s="105"/>
      <c r="E125" s="105"/>
      <c r="F125" s="105"/>
      <c r="G125" s="105"/>
      <c r="H125" s="108"/>
      <c r="I125" s="108"/>
      <c r="J125" s="106"/>
      <c r="K125" s="106"/>
      <c r="L125" s="107"/>
      <c r="M125" s="106"/>
      <c r="N125" s="104"/>
      <c r="O125" s="104"/>
      <c r="P125" s="104"/>
      <c r="Q125" s="104"/>
      <c r="R125" s="115"/>
      <c r="S125" s="115"/>
      <c r="T125" s="105"/>
      <c r="U125" s="105"/>
      <c r="V125" s="105"/>
      <c r="W125" s="116"/>
    </row>
    <row r="126" spans="1:23" ht="15.75" hidden="1" customHeight="1">
      <c r="A126" s="103"/>
      <c r="B126" s="103"/>
      <c r="C126" s="105"/>
      <c r="D126" s="105"/>
      <c r="E126" s="105"/>
      <c r="F126" s="105"/>
      <c r="G126" s="105"/>
      <c r="H126" s="108"/>
      <c r="I126" s="108"/>
      <c r="J126" s="106"/>
      <c r="K126" s="106"/>
      <c r="L126" s="107"/>
      <c r="M126" s="106"/>
      <c r="N126" s="104"/>
      <c r="O126" s="104"/>
      <c r="P126" s="104"/>
      <c r="Q126" s="104"/>
      <c r="R126" s="115"/>
      <c r="S126" s="115"/>
      <c r="T126" s="105"/>
      <c r="U126" s="105"/>
      <c r="V126" s="105"/>
      <c r="W126" s="116"/>
    </row>
    <row r="127" spans="1:23" ht="15.75" hidden="1" customHeight="1">
      <c r="A127" s="103"/>
      <c r="B127" s="103"/>
      <c r="C127" s="105"/>
      <c r="D127" s="105"/>
      <c r="E127" s="105"/>
      <c r="F127" s="105"/>
      <c r="G127" s="105"/>
      <c r="H127" s="108"/>
      <c r="I127" s="108"/>
      <c r="J127" s="106"/>
      <c r="K127" s="106"/>
      <c r="L127" s="107"/>
      <c r="M127" s="106"/>
      <c r="N127" s="104"/>
      <c r="O127" s="104"/>
      <c r="P127" s="104"/>
      <c r="Q127" s="104"/>
      <c r="R127" s="115"/>
      <c r="S127" s="115"/>
      <c r="T127" s="105"/>
      <c r="U127" s="105"/>
      <c r="V127" s="105"/>
      <c r="W127" s="116"/>
    </row>
    <row r="128" spans="1:23" ht="15.75" hidden="1" customHeight="1">
      <c r="A128" s="103"/>
      <c r="B128" s="103"/>
      <c r="C128" s="105"/>
      <c r="D128" s="105"/>
      <c r="E128" s="105"/>
      <c r="F128" s="105"/>
      <c r="G128" s="105"/>
      <c r="H128" s="108"/>
      <c r="I128" s="108"/>
      <c r="J128" s="106"/>
      <c r="K128" s="106"/>
      <c r="L128" s="107"/>
      <c r="M128" s="106"/>
      <c r="N128" s="104"/>
      <c r="O128" s="104"/>
      <c r="P128" s="104"/>
      <c r="Q128" s="104"/>
      <c r="R128" s="115"/>
      <c r="S128" s="115"/>
      <c r="T128" s="105"/>
      <c r="U128" s="105"/>
      <c r="V128" s="105"/>
      <c r="W128" s="116"/>
    </row>
    <row r="129" spans="1:23" ht="15.75" hidden="1" customHeight="1">
      <c r="A129" s="103"/>
      <c r="B129" s="103"/>
      <c r="C129" s="105"/>
      <c r="D129" s="105"/>
      <c r="E129" s="105"/>
      <c r="F129" s="105"/>
      <c r="G129" s="105"/>
      <c r="H129" s="108"/>
      <c r="I129" s="108"/>
      <c r="J129" s="106"/>
      <c r="K129" s="106"/>
      <c r="L129" s="107"/>
      <c r="M129" s="106"/>
      <c r="N129" s="104"/>
      <c r="O129" s="104"/>
      <c r="P129" s="104"/>
      <c r="Q129" s="104"/>
      <c r="R129" s="115"/>
      <c r="S129" s="115"/>
      <c r="T129" s="105"/>
      <c r="U129" s="105"/>
      <c r="V129" s="105"/>
      <c r="W129" s="116"/>
    </row>
    <row r="130" spans="1:23" ht="15.75" hidden="1" customHeight="1">
      <c r="A130" s="103"/>
      <c r="B130" s="103"/>
      <c r="C130" s="105"/>
      <c r="D130" s="105"/>
      <c r="E130" s="105"/>
      <c r="F130" s="105"/>
      <c r="G130" s="105"/>
      <c r="H130" s="108"/>
      <c r="I130" s="108"/>
      <c r="J130" s="106"/>
      <c r="K130" s="106"/>
      <c r="L130" s="107"/>
      <c r="M130" s="106"/>
      <c r="N130" s="104"/>
      <c r="O130" s="104"/>
      <c r="P130" s="104"/>
      <c r="Q130" s="104"/>
      <c r="R130" s="115"/>
      <c r="S130" s="115"/>
      <c r="T130" s="105"/>
      <c r="U130" s="105"/>
      <c r="V130" s="105"/>
      <c r="W130" s="116"/>
    </row>
    <row r="131" spans="1:23" ht="15.75" hidden="1" customHeight="1">
      <c r="A131" s="103"/>
      <c r="B131" s="103"/>
      <c r="C131" s="105"/>
      <c r="D131" s="105"/>
      <c r="E131" s="105"/>
      <c r="F131" s="105"/>
      <c r="G131" s="105"/>
      <c r="H131" s="108"/>
      <c r="I131" s="108"/>
      <c r="J131" s="106"/>
      <c r="K131" s="106"/>
      <c r="L131" s="107"/>
      <c r="M131" s="106"/>
      <c r="N131" s="104"/>
      <c r="O131" s="104"/>
      <c r="P131" s="104"/>
      <c r="Q131" s="104"/>
      <c r="R131" s="115"/>
      <c r="S131" s="115"/>
      <c r="T131" s="105"/>
      <c r="U131" s="105"/>
      <c r="V131" s="105"/>
      <c r="W131" s="116"/>
    </row>
    <row r="132" spans="1:23" ht="15.75" hidden="1" customHeight="1">
      <c r="A132" s="103"/>
      <c r="B132" s="103"/>
      <c r="C132" s="105"/>
      <c r="D132" s="105"/>
      <c r="E132" s="105"/>
      <c r="F132" s="105"/>
      <c r="G132" s="105"/>
      <c r="H132" s="108"/>
      <c r="I132" s="108"/>
      <c r="J132" s="106"/>
      <c r="K132" s="106"/>
      <c r="L132" s="107"/>
      <c r="M132" s="106"/>
      <c r="N132" s="104"/>
      <c r="O132" s="104"/>
      <c r="P132" s="104"/>
      <c r="Q132" s="104"/>
      <c r="R132" s="115"/>
      <c r="S132" s="115"/>
      <c r="T132" s="105"/>
      <c r="U132" s="105"/>
      <c r="V132" s="105"/>
      <c r="W132" s="116"/>
    </row>
    <row r="133" spans="1:23" ht="15.75" hidden="1" customHeight="1">
      <c r="A133" s="103"/>
      <c r="B133" s="103"/>
      <c r="C133" s="105"/>
      <c r="D133" s="105"/>
      <c r="E133" s="105"/>
      <c r="F133" s="105"/>
      <c r="G133" s="105"/>
      <c r="H133" s="108"/>
      <c r="I133" s="108"/>
      <c r="J133" s="106"/>
      <c r="K133" s="106"/>
      <c r="L133" s="107"/>
      <c r="M133" s="106"/>
      <c r="N133" s="104"/>
      <c r="O133" s="104"/>
      <c r="P133" s="104"/>
      <c r="Q133" s="104"/>
      <c r="R133" s="115"/>
      <c r="S133" s="115"/>
      <c r="T133" s="105"/>
      <c r="U133" s="105"/>
      <c r="V133" s="105"/>
      <c r="W133" s="116"/>
    </row>
    <row r="134" spans="1:23" ht="15.75" hidden="1" customHeight="1">
      <c r="A134" s="103"/>
      <c r="B134" s="103"/>
      <c r="C134" s="105"/>
      <c r="D134" s="105"/>
      <c r="E134" s="105"/>
      <c r="F134" s="105"/>
      <c r="G134" s="105"/>
      <c r="H134" s="108"/>
      <c r="I134" s="108"/>
      <c r="J134" s="106"/>
      <c r="K134" s="106"/>
      <c r="L134" s="107"/>
      <c r="M134" s="106"/>
      <c r="N134" s="104"/>
      <c r="O134" s="104"/>
      <c r="P134" s="104"/>
      <c r="Q134" s="104"/>
      <c r="R134" s="115"/>
      <c r="S134" s="115"/>
      <c r="T134" s="105"/>
      <c r="U134" s="105"/>
      <c r="V134" s="105"/>
      <c r="W134" s="116"/>
    </row>
    <row r="135" spans="1:23" ht="15.75" hidden="1" customHeight="1">
      <c r="A135" s="103"/>
      <c r="B135" s="103"/>
      <c r="C135" s="105"/>
      <c r="D135" s="105"/>
      <c r="E135" s="105"/>
      <c r="F135" s="105"/>
      <c r="G135" s="105"/>
      <c r="H135" s="108"/>
      <c r="I135" s="108"/>
      <c r="J135" s="106"/>
      <c r="K135" s="106"/>
      <c r="L135" s="107"/>
      <c r="M135" s="106"/>
      <c r="N135" s="104"/>
      <c r="O135" s="104"/>
      <c r="P135" s="104"/>
      <c r="Q135" s="104"/>
      <c r="R135" s="115"/>
      <c r="S135" s="115"/>
      <c r="T135" s="105"/>
      <c r="U135" s="105"/>
      <c r="V135" s="105"/>
      <c r="W135" s="116"/>
    </row>
    <row r="136" spans="1:23" ht="15.75" hidden="1" customHeight="1">
      <c r="A136" s="103"/>
      <c r="B136" s="103"/>
      <c r="C136" s="105"/>
      <c r="D136" s="105"/>
      <c r="E136" s="105"/>
      <c r="F136" s="105"/>
      <c r="G136" s="105"/>
      <c r="H136" s="108"/>
      <c r="I136" s="108"/>
      <c r="J136" s="106"/>
      <c r="K136" s="106"/>
      <c r="L136" s="107"/>
      <c r="M136" s="106"/>
      <c r="N136" s="104"/>
      <c r="O136" s="104"/>
      <c r="P136" s="104"/>
      <c r="Q136" s="104"/>
      <c r="R136" s="115"/>
      <c r="S136" s="115"/>
      <c r="T136" s="105"/>
      <c r="U136" s="105"/>
      <c r="V136" s="105"/>
      <c r="W136" s="116"/>
    </row>
    <row r="137" spans="1:23" ht="15.75" hidden="1" customHeight="1">
      <c r="A137" s="103"/>
      <c r="B137" s="103"/>
      <c r="C137" s="105"/>
      <c r="D137" s="105"/>
      <c r="E137" s="105"/>
      <c r="F137" s="105"/>
      <c r="G137" s="105"/>
      <c r="H137" s="108"/>
      <c r="I137" s="108"/>
      <c r="J137" s="106"/>
      <c r="K137" s="106"/>
      <c r="L137" s="107"/>
      <c r="M137" s="106"/>
      <c r="N137" s="104"/>
      <c r="O137" s="104"/>
      <c r="P137" s="104"/>
      <c r="Q137" s="104"/>
      <c r="R137" s="115"/>
      <c r="S137" s="115"/>
      <c r="T137" s="105"/>
      <c r="U137" s="105"/>
      <c r="V137" s="105"/>
      <c r="W137" s="116"/>
    </row>
    <row r="138" spans="1:23" ht="15.75" hidden="1" customHeight="1">
      <c r="A138" s="103"/>
      <c r="B138" s="103"/>
      <c r="C138" s="105"/>
      <c r="D138" s="105"/>
      <c r="E138" s="105"/>
      <c r="F138" s="105"/>
      <c r="G138" s="105"/>
      <c r="H138" s="108"/>
      <c r="I138" s="108"/>
      <c r="J138" s="106"/>
      <c r="K138" s="106"/>
      <c r="L138" s="107"/>
      <c r="M138" s="106"/>
      <c r="N138" s="104"/>
      <c r="O138" s="104"/>
      <c r="P138" s="104"/>
      <c r="Q138" s="104"/>
      <c r="R138" s="115"/>
      <c r="S138" s="115"/>
      <c r="T138" s="105"/>
      <c r="U138" s="105"/>
      <c r="V138" s="105"/>
      <c r="W138" s="116"/>
    </row>
    <row r="139" spans="1:23" ht="15.75" hidden="1" customHeight="1">
      <c r="A139" s="103"/>
      <c r="B139" s="103"/>
      <c r="C139" s="105"/>
      <c r="D139" s="105"/>
      <c r="E139" s="105"/>
      <c r="F139" s="105"/>
      <c r="G139" s="105"/>
      <c r="H139" s="108"/>
      <c r="I139" s="108"/>
      <c r="J139" s="106"/>
      <c r="K139" s="106"/>
      <c r="L139" s="107"/>
      <c r="M139" s="106"/>
      <c r="N139" s="104"/>
      <c r="O139" s="104"/>
      <c r="P139" s="104"/>
      <c r="Q139" s="104"/>
      <c r="R139" s="115"/>
      <c r="S139" s="115"/>
      <c r="T139" s="105"/>
      <c r="U139" s="105"/>
      <c r="V139" s="105"/>
      <c r="W139" s="116"/>
    </row>
    <row r="140" spans="1:23" ht="15.75" hidden="1" customHeight="1">
      <c r="A140" s="103"/>
      <c r="B140" s="103"/>
      <c r="C140" s="105"/>
      <c r="D140" s="105"/>
      <c r="E140" s="105"/>
      <c r="F140" s="105"/>
      <c r="G140" s="105"/>
      <c r="H140" s="108"/>
      <c r="I140" s="108"/>
      <c r="J140" s="106"/>
      <c r="K140" s="106"/>
      <c r="L140" s="107"/>
      <c r="M140" s="106"/>
      <c r="N140" s="104"/>
      <c r="O140" s="104"/>
      <c r="P140" s="104"/>
      <c r="Q140" s="104"/>
      <c r="R140" s="115"/>
      <c r="S140" s="115"/>
      <c r="T140" s="105"/>
      <c r="U140" s="105"/>
      <c r="V140" s="105"/>
      <c r="W140" s="116"/>
    </row>
    <row r="141" spans="1:23" ht="15.75" hidden="1" customHeight="1">
      <c r="A141" s="103"/>
      <c r="B141" s="103"/>
      <c r="C141" s="105"/>
      <c r="D141" s="105"/>
      <c r="E141" s="105"/>
      <c r="F141" s="105"/>
      <c r="G141" s="105"/>
      <c r="H141" s="108"/>
      <c r="I141" s="108"/>
      <c r="J141" s="106"/>
      <c r="K141" s="106"/>
      <c r="L141" s="107"/>
      <c r="M141" s="106"/>
      <c r="N141" s="104"/>
      <c r="O141" s="104"/>
      <c r="P141" s="104"/>
      <c r="Q141" s="104"/>
      <c r="R141" s="115"/>
      <c r="S141" s="115"/>
      <c r="T141" s="105"/>
      <c r="U141" s="105"/>
      <c r="V141" s="105"/>
      <c r="W141" s="116"/>
    </row>
    <row r="142" spans="1:23" ht="15.75" hidden="1" customHeight="1">
      <c r="A142" s="103"/>
      <c r="B142" s="103"/>
      <c r="C142" s="105"/>
      <c r="D142" s="105"/>
      <c r="E142" s="105"/>
      <c r="F142" s="105"/>
      <c r="G142" s="105"/>
      <c r="H142" s="108"/>
      <c r="I142" s="108"/>
      <c r="J142" s="106"/>
      <c r="K142" s="106"/>
      <c r="L142" s="107"/>
      <c r="M142" s="106"/>
      <c r="N142" s="104"/>
      <c r="O142" s="104"/>
      <c r="P142" s="104"/>
      <c r="Q142" s="104"/>
      <c r="R142" s="115"/>
      <c r="S142" s="115"/>
      <c r="T142" s="105"/>
      <c r="U142" s="105"/>
      <c r="V142" s="105"/>
      <c r="W142" s="116"/>
    </row>
    <row r="143" spans="1:23" ht="15.75" hidden="1" customHeight="1">
      <c r="A143" s="103"/>
      <c r="B143" s="103"/>
      <c r="C143" s="105"/>
      <c r="D143" s="105"/>
      <c r="E143" s="105"/>
      <c r="F143" s="105"/>
      <c r="G143" s="105"/>
      <c r="H143" s="108"/>
      <c r="I143" s="108"/>
      <c r="J143" s="106"/>
      <c r="K143" s="106"/>
      <c r="L143" s="107"/>
      <c r="M143" s="106"/>
      <c r="N143" s="104"/>
      <c r="O143" s="104"/>
      <c r="P143" s="104"/>
      <c r="Q143" s="104"/>
      <c r="R143" s="115"/>
      <c r="S143" s="115"/>
      <c r="T143" s="105"/>
      <c r="U143" s="105"/>
      <c r="V143" s="105"/>
      <c r="W143" s="116"/>
    </row>
    <row r="144" spans="1:23" ht="15.75" hidden="1" customHeight="1">
      <c r="A144" s="103"/>
      <c r="B144" s="103"/>
      <c r="C144" s="105"/>
      <c r="D144" s="105"/>
      <c r="E144" s="105"/>
      <c r="F144" s="105"/>
      <c r="G144" s="105"/>
      <c r="H144" s="108"/>
      <c r="I144" s="108"/>
      <c r="J144" s="106"/>
      <c r="K144" s="106"/>
      <c r="L144" s="107"/>
      <c r="M144" s="106"/>
      <c r="N144" s="104"/>
      <c r="O144" s="104"/>
      <c r="P144" s="104"/>
      <c r="Q144" s="104"/>
      <c r="R144" s="115"/>
      <c r="S144" s="115"/>
      <c r="T144" s="105"/>
      <c r="U144" s="105"/>
      <c r="V144" s="105"/>
      <c r="W144" s="116"/>
    </row>
    <row r="145" spans="1:23" ht="15.75" hidden="1" customHeight="1">
      <c r="A145" s="103"/>
      <c r="B145" s="103"/>
      <c r="C145" s="105"/>
      <c r="D145" s="105"/>
      <c r="E145" s="105"/>
      <c r="F145" s="105"/>
      <c r="G145" s="105"/>
      <c r="H145" s="108"/>
      <c r="I145" s="108"/>
      <c r="J145" s="106"/>
      <c r="K145" s="106"/>
      <c r="L145" s="107"/>
      <c r="M145" s="106"/>
      <c r="N145" s="104"/>
      <c r="O145" s="104"/>
      <c r="P145" s="104"/>
      <c r="Q145" s="104"/>
      <c r="R145" s="115"/>
      <c r="S145" s="115"/>
      <c r="T145" s="105"/>
      <c r="U145" s="105"/>
      <c r="V145" s="105"/>
      <c r="W145" s="116"/>
    </row>
    <row r="146" spans="1:23" ht="15.75" hidden="1" customHeight="1">
      <c r="A146" s="103"/>
      <c r="B146" s="103"/>
      <c r="C146" s="105"/>
      <c r="D146" s="105"/>
      <c r="E146" s="105"/>
      <c r="F146" s="105"/>
      <c r="G146" s="105"/>
      <c r="H146" s="108"/>
      <c r="I146" s="108"/>
      <c r="J146" s="106"/>
      <c r="K146" s="106"/>
      <c r="L146" s="107"/>
      <c r="M146" s="106"/>
      <c r="N146" s="104"/>
      <c r="O146" s="104"/>
      <c r="P146" s="104"/>
      <c r="Q146" s="104"/>
      <c r="R146" s="115"/>
      <c r="S146" s="115"/>
      <c r="T146" s="105"/>
      <c r="U146" s="105"/>
      <c r="V146" s="105"/>
      <c r="W146" s="116"/>
    </row>
    <row r="147" spans="1:23" ht="15.75" hidden="1" customHeight="1">
      <c r="A147" s="103"/>
      <c r="B147" s="103"/>
      <c r="C147" s="105"/>
      <c r="D147" s="105"/>
      <c r="E147" s="105"/>
      <c r="F147" s="105"/>
      <c r="G147" s="105"/>
      <c r="H147" s="108"/>
      <c r="I147" s="108"/>
      <c r="J147" s="106"/>
      <c r="K147" s="106"/>
      <c r="L147" s="107"/>
      <c r="M147" s="106"/>
      <c r="N147" s="104"/>
      <c r="O147" s="104"/>
      <c r="P147" s="104"/>
      <c r="Q147" s="104"/>
      <c r="R147" s="115"/>
      <c r="S147" s="115"/>
      <c r="T147" s="105"/>
      <c r="U147" s="105"/>
      <c r="V147" s="105"/>
      <c r="W147" s="116"/>
    </row>
    <row r="148" spans="1:23" ht="15.75" hidden="1" customHeight="1">
      <c r="A148" s="103"/>
      <c r="B148" s="103"/>
      <c r="C148" s="105"/>
      <c r="D148" s="105"/>
      <c r="E148" s="105"/>
      <c r="F148" s="105"/>
      <c r="G148" s="105"/>
      <c r="H148" s="108"/>
      <c r="I148" s="108"/>
      <c r="J148" s="106"/>
      <c r="K148" s="106"/>
      <c r="L148" s="107"/>
      <c r="M148" s="106"/>
      <c r="N148" s="104"/>
      <c r="O148" s="104"/>
      <c r="P148" s="104"/>
      <c r="Q148" s="104"/>
      <c r="R148" s="115"/>
      <c r="S148" s="115"/>
      <c r="T148" s="105"/>
      <c r="U148" s="105"/>
      <c r="V148" s="105"/>
      <c r="W148" s="116"/>
    </row>
    <row r="149" spans="1:23" ht="15.75" hidden="1" customHeight="1">
      <c r="A149" s="103"/>
      <c r="B149" s="103"/>
      <c r="C149" s="105"/>
      <c r="D149" s="105"/>
      <c r="E149" s="105"/>
      <c r="F149" s="105"/>
      <c r="G149" s="105"/>
      <c r="H149" s="108"/>
      <c r="I149" s="108"/>
      <c r="J149" s="106"/>
      <c r="K149" s="106"/>
      <c r="L149" s="107"/>
      <c r="M149" s="106"/>
      <c r="N149" s="104"/>
      <c r="O149" s="104"/>
      <c r="P149" s="104"/>
      <c r="Q149" s="104"/>
      <c r="R149" s="115"/>
      <c r="S149" s="115"/>
      <c r="T149" s="105"/>
      <c r="U149" s="105"/>
      <c r="V149" s="105"/>
      <c r="W149" s="116"/>
    </row>
    <row r="150" spans="1:23" ht="15.75" hidden="1" customHeight="1">
      <c r="A150" s="103"/>
      <c r="B150" s="103"/>
      <c r="C150" s="105"/>
      <c r="D150" s="105"/>
      <c r="E150" s="105"/>
      <c r="F150" s="105"/>
      <c r="G150" s="105"/>
      <c r="H150" s="108"/>
      <c r="I150" s="108"/>
      <c r="J150" s="106"/>
      <c r="K150" s="106"/>
      <c r="L150" s="107"/>
      <c r="M150" s="106"/>
      <c r="N150" s="104"/>
      <c r="O150" s="104"/>
      <c r="P150" s="104"/>
      <c r="Q150" s="104"/>
      <c r="R150" s="115"/>
      <c r="S150" s="115"/>
      <c r="T150" s="105"/>
      <c r="U150" s="105"/>
      <c r="V150" s="105"/>
      <c r="W150" s="116"/>
    </row>
    <row r="151" spans="1:23" ht="15.75" hidden="1" customHeight="1">
      <c r="A151" s="103"/>
      <c r="B151" s="103"/>
      <c r="C151" s="105"/>
      <c r="D151" s="105"/>
      <c r="E151" s="105"/>
      <c r="F151" s="105"/>
      <c r="G151" s="105"/>
      <c r="H151" s="108"/>
      <c r="I151" s="108"/>
      <c r="J151" s="106"/>
      <c r="K151" s="106"/>
      <c r="L151" s="107"/>
      <c r="M151" s="106"/>
      <c r="N151" s="104"/>
      <c r="O151" s="104"/>
      <c r="P151" s="104"/>
      <c r="Q151" s="104"/>
      <c r="R151" s="115"/>
      <c r="S151" s="115"/>
      <c r="T151" s="105"/>
      <c r="U151" s="105"/>
      <c r="V151" s="105"/>
      <c r="W151" s="116"/>
    </row>
    <row r="152" spans="1:23" ht="15.75" hidden="1" customHeight="1">
      <c r="A152" s="103"/>
      <c r="B152" s="103"/>
      <c r="C152" s="105"/>
      <c r="D152" s="105"/>
      <c r="E152" s="105"/>
      <c r="F152" s="105"/>
      <c r="G152" s="105"/>
      <c r="H152" s="108"/>
      <c r="I152" s="108"/>
      <c r="J152" s="106"/>
      <c r="K152" s="106"/>
      <c r="L152" s="107"/>
      <c r="M152" s="106"/>
      <c r="N152" s="104"/>
      <c r="O152" s="104"/>
      <c r="P152" s="104"/>
      <c r="Q152" s="104"/>
      <c r="R152" s="115"/>
      <c r="S152" s="115"/>
      <c r="T152" s="105"/>
      <c r="U152" s="105"/>
      <c r="V152" s="105"/>
      <c r="W152" s="116"/>
    </row>
    <row r="153" spans="1:23" ht="15.75" hidden="1" customHeight="1">
      <c r="A153" s="103"/>
      <c r="B153" s="103"/>
      <c r="C153" s="105"/>
      <c r="D153" s="105"/>
      <c r="E153" s="105"/>
      <c r="F153" s="105"/>
      <c r="G153" s="105"/>
      <c r="H153" s="108"/>
      <c r="I153" s="108"/>
      <c r="J153" s="106"/>
      <c r="K153" s="106"/>
      <c r="L153" s="107"/>
      <c r="M153" s="106"/>
      <c r="N153" s="104"/>
      <c r="O153" s="104"/>
      <c r="P153" s="104"/>
      <c r="Q153" s="104"/>
      <c r="R153" s="115"/>
      <c r="S153" s="115"/>
      <c r="T153" s="105"/>
      <c r="U153" s="105"/>
      <c r="V153" s="105"/>
      <c r="W153" s="116"/>
    </row>
    <row r="154" spans="1:23" ht="15.75" hidden="1" customHeight="1">
      <c r="A154" s="103"/>
      <c r="B154" s="103"/>
      <c r="C154" s="105"/>
      <c r="D154" s="105"/>
      <c r="E154" s="105"/>
      <c r="F154" s="105"/>
      <c r="G154" s="105"/>
      <c r="H154" s="108"/>
      <c r="I154" s="108"/>
      <c r="J154" s="106"/>
      <c r="K154" s="106"/>
      <c r="L154" s="107"/>
      <c r="M154" s="106"/>
      <c r="N154" s="104"/>
      <c r="O154" s="104"/>
      <c r="P154" s="104"/>
      <c r="Q154" s="104"/>
      <c r="R154" s="115"/>
      <c r="S154" s="115"/>
      <c r="T154" s="105"/>
      <c r="U154" s="105"/>
      <c r="V154" s="105"/>
      <c r="W154" s="116"/>
    </row>
    <row r="155" spans="1:23" ht="15.75" hidden="1" customHeight="1">
      <c r="A155" s="103"/>
      <c r="B155" s="103"/>
      <c r="C155" s="105"/>
      <c r="D155" s="105"/>
      <c r="E155" s="105"/>
      <c r="F155" s="105"/>
      <c r="G155" s="105"/>
      <c r="H155" s="108"/>
      <c r="I155" s="108"/>
      <c r="J155" s="106"/>
      <c r="K155" s="106"/>
      <c r="L155" s="107"/>
      <c r="M155" s="106"/>
      <c r="N155" s="104"/>
      <c r="O155" s="104"/>
      <c r="P155" s="104"/>
      <c r="Q155" s="104"/>
      <c r="R155" s="115"/>
      <c r="S155" s="115"/>
      <c r="T155" s="105"/>
      <c r="U155" s="105"/>
      <c r="V155" s="105"/>
      <c r="W155" s="116"/>
    </row>
    <row r="156" spans="1:23" ht="15.75" hidden="1" customHeight="1">
      <c r="A156" s="103"/>
      <c r="B156" s="103"/>
      <c r="C156" s="105"/>
      <c r="D156" s="105"/>
      <c r="E156" s="105"/>
      <c r="F156" s="105"/>
      <c r="G156" s="105"/>
      <c r="H156" s="108"/>
      <c r="I156" s="108"/>
      <c r="J156" s="106"/>
      <c r="K156" s="106"/>
      <c r="L156" s="107"/>
      <c r="M156" s="106"/>
      <c r="N156" s="104"/>
      <c r="O156" s="104"/>
      <c r="P156" s="104"/>
      <c r="Q156" s="104"/>
      <c r="R156" s="115"/>
      <c r="S156" s="115"/>
      <c r="T156" s="105"/>
      <c r="U156" s="105"/>
      <c r="V156" s="105"/>
      <c r="W156" s="116"/>
    </row>
    <row r="157" spans="1:23" ht="15.75" hidden="1" customHeight="1">
      <c r="A157" s="103"/>
      <c r="B157" s="103"/>
      <c r="C157" s="105"/>
      <c r="D157" s="105"/>
      <c r="E157" s="105"/>
      <c r="F157" s="105"/>
      <c r="G157" s="105"/>
      <c r="H157" s="108"/>
      <c r="I157" s="108"/>
      <c r="J157" s="106"/>
      <c r="K157" s="106"/>
      <c r="L157" s="107"/>
      <c r="M157" s="106"/>
      <c r="N157" s="104"/>
      <c r="O157" s="104"/>
      <c r="P157" s="104"/>
      <c r="Q157" s="104"/>
      <c r="R157" s="115"/>
      <c r="S157" s="115"/>
      <c r="T157" s="105"/>
      <c r="U157" s="105"/>
      <c r="V157" s="105"/>
      <c r="W157" s="116"/>
    </row>
    <row r="158" spans="1:23" ht="15.75" hidden="1" customHeight="1">
      <c r="A158" s="103"/>
      <c r="B158" s="103"/>
      <c r="C158" s="105"/>
      <c r="D158" s="105"/>
      <c r="E158" s="105"/>
      <c r="F158" s="105"/>
      <c r="G158" s="105"/>
      <c r="H158" s="108"/>
      <c r="I158" s="108"/>
      <c r="J158" s="106"/>
      <c r="K158" s="106"/>
      <c r="L158" s="107"/>
      <c r="M158" s="106"/>
      <c r="N158" s="104"/>
      <c r="O158" s="104"/>
      <c r="P158" s="104"/>
      <c r="Q158" s="104"/>
      <c r="R158" s="115"/>
      <c r="S158" s="115"/>
      <c r="T158" s="105"/>
      <c r="U158" s="105"/>
      <c r="V158" s="105"/>
      <c r="W158" s="116"/>
    </row>
    <row r="159" spans="1:23" ht="15.75" hidden="1" customHeight="1">
      <c r="A159" s="103"/>
      <c r="B159" s="103"/>
      <c r="C159" s="105"/>
      <c r="D159" s="105"/>
      <c r="E159" s="105"/>
      <c r="F159" s="105"/>
      <c r="G159" s="105"/>
      <c r="H159" s="108"/>
      <c r="I159" s="108"/>
      <c r="J159" s="106"/>
      <c r="K159" s="106"/>
      <c r="L159" s="107"/>
      <c r="M159" s="106"/>
      <c r="N159" s="104"/>
      <c r="O159" s="104"/>
      <c r="P159" s="104"/>
      <c r="Q159" s="104"/>
      <c r="R159" s="115"/>
      <c r="S159" s="115"/>
      <c r="T159" s="105"/>
      <c r="U159" s="105"/>
      <c r="V159" s="105"/>
      <c r="W159" s="116"/>
    </row>
    <row r="160" spans="1:23" ht="15.75" hidden="1" customHeight="1">
      <c r="A160" s="103"/>
      <c r="B160" s="103"/>
      <c r="C160" s="105"/>
      <c r="D160" s="105"/>
      <c r="E160" s="105"/>
      <c r="F160" s="105"/>
      <c r="G160" s="105"/>
      <c r="H160" s="108"/>
      <c r="I160" s="108"/>
      <c r="J160" s="106"/>
      <c r="K160" s="106"/>
      <c r="L160" s="107"/>
      <c r="M160" s="106"/>
      <c r="N160" s="104"/>
      <c r="O160" s="104"/>
      <c r="P160" s="104"/>
      <c r="Q160" s="104"/>
      <c r="R160" s="115"/>
      <c r="S160" s="115"/>
      <c r="T160" s="105"/>
      <c r="U160" s="105"/>
      <c r="V160" s="105"/>
      <c r="W160" s="116"/>
    </row>
    <row r="161" spans="1:23" ht="15.75" hidden="1" customHeight="1">
      <c r="A161" s="103"/>
      <c r="B161" s="103"/>
      <c r="C161" s="105"/>
      <c r="D161" s="105"/>
      <c r="E161" s="105"/>
      <c r="F161" s="105"/>
      <c r="G161" s="105"/>
      <c r="H161" s="108"/>
      <c r="I161" s="108"/>
      <c r="J161" s="106"/>
      <c r="K161" s="106"/>
      <c r="L161" s="107"/>
      <c r="M161" s="106"/>
      <c r="N161" s="104"/>
      <c r="O161" s="104"/>
      <c r="P161" s="104"/>
      <c r="Q161" s="104"/>
      <c r="R161" s="115"/>
      <c r="S161" s="115"/>
      <c r="T161" s="105"/>
      <c r="U161" s="105"/>
      <c r="V161" s="105"/>
      <c r="W161" s="116"/>
    </row>
    <row r="162" spans="1:23" ht="15.75" hidden="1" customHeight="1">
      <c r="A162" s="103"/>
      <c r="B162" s="103"/>
      <c r="C162" s="105"/>
      <c r="D162" s="105"/>
      <c r="E162" s="105"/>
      <c r="F162" s="105"/>
      <c r="G162" s="105"/>
      <c r="H162" s="108"/>
      <c r="I162" s="108"/>
      <c r="J162" s="106"/>
      <c r="K162" s="106"/>
      <c r="L162" s="107"/>
      <c r="M162" s="106"/>
      <c r="N162" s="104"/>
      <c r="O162" s="104"/>
      <c r="P162" s="104"/>
      <c r="Q162" s="104"/>
      <c r="R162" s="115"/>
      <c r="S162" s="115"/>
      <c r="T162" s="105"/>
      <c r="U162" s="105"/>
      <c r="V162" s="105"/>
      <c r="W162" s="116"/>
    </row>
    <row r="163" spans="1:23" ht="15.75" hidden="1" customHeight="1">
      <c r="A163" s="103"/>
      <c r="B163" s="103"/>
      <c r="C163" s="105"/>
      <c r="D163" s="105"/>
      <c r="E163" s="105"/>
      <c r="F163" s="105"/>
      <c r="G163" s="105"/>
      <c r="H163" s="108"/>
      <c r="I163" s="108"/>
      <c r="J163" s="106"/>
      <c r="K163" s="106"/>
      <c r="L163" s="107"/>
      <c r="M163" s="106"/>
      <c r="N163" s="104"/>
      <c r="O163" s="104"/>
      <c r="P163" s="104"/>
      <c r="Q163" s="104"/>
      <c r="R163" s="115"/>
      <c r="S163" s="115"/>
      <c r="T163" s="105"/>
      <c r="U163" s="105"/>
      <c r="V163" s="105"/>
      <c r="W163" s="116"/>
    </row>
    <row r="164" spans="1:23" ht="15.75" hidden="1" customHeight="1">
      <c r="A164" s="103"/>
      <c r="B164" s="103"/>
      <c r="C164" s="105"/>
      <c r="D164" s="105"/>
      <c r="E164" s="105"/>
      <c r="F164" s="105"/>
      <c r="G164" s="105"/>
      <c r="H164" s="108"/>
      <c r="I164" s="108"/>
      <c r="J164" s="106"/>
      <c r="K164" s="106"/>
      <c r="L164" s="107"/>
      <c r="M164" s="106"/>
      <c r="N164" s="104"/>
      <c r="O164" s="104"/>
      <c r="P164" s="104"/>
      <c r="Q164" s="104"/>
      <c r="R164" s="115"/>
      <c r="S164" s="115"/>
      <c r="T164" s="105"/>
      <c r="U164" s="105"/>
      <c r="V164" s="105"/>
      <c r="W164" s="116"/>
    </row>
    <row r="165" spans="1:23" ht="15.75" hidden="1" customHeight="1">
      <c r="A165" s="103"/>
      <c r="B165" s="103"/>
      <c r="C165" s="105"/>
      <c r="D165" s="105"/>
      <c r="E165" s="105"/>
      <c r="F165" s="105"/>
      <c r="G165" s="105"/>
      <c r="H165" s="108"/>
      <c r="I165" s="108"/>
      <c r="J165" s="106"/>
      <c r="K165" s="106"/>
      <c r="L165" s="107"/>
      <c r="M165" s="106"/>
      <c r="N165" s="104"/>
      <c r="O165" s="104"/>
      <c r="P165" s="104"/>
      <c r="Q165" s="104"/>
      <c r="R165" s="115"/>
      <c r="S165" s="115"/>
      <c r="T165" s="105"/>
      <c r="U165" s="105"/>
      <c r="V165" s="105"/>
      <c r="W165" s="116"/>
    </row>
    <row r="166" spans="1:23" ht="15.75" hidden="1" customHeight="1">
      <c r="A166" s="103"/>
      <c r="B166" s="103"/>
      <c r="C166" s="105"/>
      <c r="D166" s="105"/>
      <c r="E166" s="105"/>
      <c r="F166" s="105"/>
      <c r="G166" s="105"/>
      <c r="H166" s="108"/>
      <c r="I166" s="108"/>
      <c r="J166" s="106"/>
      <c r="K166" s="106"/>
      <c r="L166" s="107"/>
      <c r="M166" s="106"/>
      <c r="N166" s="104"/>
      <c r="O166" s="104"/>
      <c r="P166" s="104"/>
      <c r="Q166" s="104"/>
      <c r="R166" s="115"/>
      <c r="S166" s="115"/>
      <c r="T166" s="105"/>
      <c r="U166" s="105"/>
      <c r="V166" s="105"/>
      <c r="W166" s="116"/>
    </row>
    <row r="167" spans="1:23" ht="15.75" hidden="1" customHeight="1">
      <c r="A167" s="103"/>
      <c r="B167" s="103"/>
      <c r="C167" s="105"/>
      <c r="D167" s="105"/>
      <c r="E167" s="105"/>
      <c r="F167" s="105"/>
      <c r="G167" s="105"/>
      <c r="H167" s="108"/>
      <c r="I167" s="108"/>
      <c r="J167" s="106"/>
      <c r="K167" s="106"/>
      <c r="L167" s="107"/>
      <c r="M167" s="106"/>
      <c r="N167" s="104"/>
      <c r="O167" s="104"/>
      <c r="P167" s="104"/>
      <c r="Q167" s="104"/>
      <c r="R167" s="115"/>
      <c r="S167" s="115"/>
      <c r="T167" s="105"/>
      <c r="U167" s="105"/>
      <c r="V167" s="105"/>
      <c r="W167" s="116"/>
    </row>
    <row r="168" spans="1:23" ht="15.75" hidden="1" customHeight="1">
      <c r="A168" s="103"/>
      <c r="B168" s="103"/>
      <c r="C168" s="105"/>
      <c r="D168" s="105"/>
      <c r="E168" s="105"/>
      <c r="F168" s="105"/>
      <c r="G168" s="105"/>
      <c r="H168" s="108"/>
      <c r="I168" s="108"/>
      <c r="J168" s="106"/>
      <c r="K168" s="106"/>
      <c r="L168" s="107"/>
      <c r="M168" s="106"/>
      <c r="N168" s="104"/>
      <c r="O168" s="104"/>
      <c r="P168" s="104"/>
      <c r="Q168" s="104"/>
      <c r="R168" s="115"/>
      <c r="S168" s="115"/>
      <c r="T168" s="105"/>
      <c r="U168" s="105"/>
      <c r="V168" s="105"/>
      <c r="W168" s="116"/>
    </row>
    <row r="169" spans="1:23" ht="15.75" hidden="1" customHeight="1">
      <c r="A169" s="103"/>
      <c r="B169" s="103"/>
      <c r="C169" s="105"/>
      <c r="D169" s="105"/>
      <c r="E169" s="105"/>
      <c r="F169" s="105"/>
      <c r="G169" s="105"/>
      <c r="H169" s="108"/>
      <c r="I169" s="108"/>
      <c r="J169" s="106"/>
      <c r="K169" s="106"/>
      <c r="L169" s="107"/>
      <c r="M169" s="106"/>
      <c r="N169" s="104"/>
      <c r="O169" s="104"/>
      <c r="P169" s="104"/>
      <c r="Q169" s="104"/>
      <c r="R169" s="115"/>
      <c r="S169" s="115"/>
      <c r="T169" s="105"/>
      <c r="U169" s="105"/>
      <c r="V169" s="105"/>
      <c r="W169" s="116"/>
    </row>
    <row r="170" spans="1:23" ht="15.75" hidden="1" customHeight="1">
      <c r="A170" s="103"/>
      <c r="B170" s="103"/>
      <c r="C170" s="105"/>
      <c r="D170" s="105"/>
      <c r="E170" s="105"/>
      <c r="F170" s="105"/>
      <c r="G170" s="105"/>
      <c r="H170" s="108"/>
      <c r="I170" s="108"/>
      <c r="J170" s="106"/>
      <c r="K170" s="106"/>
      <c r="L170" s="107"/>
      <c r="M170" s="106"/>
      <c r="N170" s="104"/>
      <c r="O170" s="104"/>
      <c r="P170" s="104"/>
      <c r="Q170" s="104"/>
      <c r="R170" s="115"/>
      <c r="S170" s="115"/>
      <c r="T170" s="105"/>
      <c r="U170" s="105"/>
      <c r="V170" s="105"/>
      <c r="W170" s="116"/>
    </row>
    <row r="171" spans="1:23" ht="15.75" hidden="1" customHeight="1">
      <c r="A171" s="103"/>
      <c r="B171" s="103"/>
      <c r="C171" s="105"/>
      <c r="D171" s="105"/>
      <c r="E171" s="105"/>
      <c r="F171" s="105"/>
      <c r="G171" s="105"/>
      <c r="H171" s="108"/>
      <c r="I171" s="108"/>
      <c r="J171" s="106"/>
      <c r="K171" s="106"/>
      <c r="L171" s="107"/>
      <c r="M171" s="106"/>
      <c r="N171" s="104"/>
      <c r="O171" s="104"/>
      <c r="P171" s="104"/>
      <c r="Q171" s="104"/>
      <c r="R171" s="115"/>
      <c r="S171" s="115"/>
      <c r="T171" s="105"/>
      <c r="U171" s="105"/>
      <c r="V171" s="105"/>
      <c r="W171" s="116"/>
    </row>
    <row r="172" spans="1:23" ht="15.75" hidden="1" customHeight="1">
      <c r="A172" s="103"/>
      <c r="B172" s="103"/>
      <c r="C172" s="105"/>
      <c r="D172" s="105"/>
      <c r="E172" s="105"/>
      <c r="F172" s="105"/>
      <c r="G172" s="105"/>
      <c r="H172" s="108"/>
      <c r="I172" s="108"/>
      <c r="J172" s="106"/>
      <c r="K172" s="106"/>
      <c r="L172" s="107"/>
      <c r="M172" s="106"/>
      <c r="N172" s="104"/>
      <c r="O172" s="104"/>
      <c r="P172" s="104"/>
      <c r="Q172" s="104"/>
      <c r="R172" s="115"/>
      <c r="S172" s="115"/>
      <c r="T172" s="105"/>
      <c r="U172" s="105"/>
      <c r="V172" s="105"/>
      <c r="W172" s="116"/>
    </row>
    <row r="173" spans="1:23" ht="15.75" hidden="1" customHeight="1">
      <c r="A173" s="103"/>
      <c r="B173" s="103"/>
      <c r="C173" s="105"/>
      <c r="D173" s="105"/>
      <c r="E173" s="105"/>
      <c r="F173" s="105"/>
      <c r="G173" s="105"/>
      <c r="H173" s="108"/>
      <c r="I173" s="108"/>
      <c r="J173" s="106"/>
      <c r="K173" s="106"/>
      <c r="L173" s="107"/>
      <c r="M173" s="106"/>
      <c r="N173" s="104"/>
      <c r="O173" s="104"/>
      <c r="P173" s="104"/>
      <c r="Q173" s="104"/>
      <c r="R173" s="115"/>
      <c r="S173" s="115"/>
      <c r="T173" s="105"/>
      <c r="U173" s="105"/>
      <c r="V173" s="105"/>
      <c r="W173" s="116"/>
    </row>
    <row r="174" spans="1:23" ht="15.75" hidden="1" customHeight="1">
      <c r="A174" s="103"/>
      <c r="B174" s="103"/>
      <c r="C174" s="105"/>
      <c r="D174" s="105"/>
      <c r="E174" s="105"/>
      <c r="F174" s="105"/>
      <c r="G174" s="105"/>
      <c r="H174" s="108"/>
      <c r="I174" s="108"/>
      <c r="J174" s="106"/>
      <c r="K174" s="106"/>
      <c r="L174" s="107"/>
      <c r="M174" s="106"/>
      <c r="N174" s="104"/>
      <c r="O174" s="104"/>
      <c r="P174" s="104"/>
      <c r="Q174" s="104"/>
      <c r="R174" s="115"/>
      <c r="S174" s="115"/>
      <c r="T174" s="105"/>
      <c r="U174" s="105"/>
      <c r="V174" s="105"/>
      <c r="W174" s="116"/>
    </row>
    <row r="175" spans="1:23" ht="15.75" hidden="1" customHeight="1">
      <c r="A175" s="103"/>
      <c r="B175" s="103"/>
      <c r="C175" s="105"/>
      <c r="D175" s="105"/>
      <c r="E175" s="105"/>
      <c r="F175" s="105"/>
      <c r="G175" s="105"/>
      <c r="H175" s="108"/>
      <c r="I175" s="108"/>
      <c r="J175" s="106"/>
      <c r="K175" s="106"/>
      <c r="L175" s="107"/>
      <c r="M175" s="106"/>
      <c r="N175" s="104"/>
      <c r="O175" s="104"/>
      <c r="P175" s="104"/>
      <c r="Q175" s="104"/>
      <c r="R175" s="115"/>
      <c r="S175" s="115"/>
      <c r="T175" s="105"/>
      <c r="U175" s="105"/>
      <c r="V175" s="105"/>
      <c r="W175" s="116"/>
    </row>
    <row r="176" spans="1:23" ht="15.75" hidden="1" customHeight="1">
      <c r="A176" s="103"/>
      <c r="B176" s="103"/>
      <c r="C176" s="105"/>
      <c r="D176" s="105"/>
      <c r="E176" s="105"/>
      <c r="F176" s="105"/>
      <c r="G176" s="105"/>
      <c r="H176" s="108"/>
      <c r="I176" s="108"/>
      <c r="J176" s="106"/>
      <c r="K176" s="106"/>
      <c r="L176" s="107"/>
      <c r="M176" s="106"/>
      <c r="N176" s="104"/>
      <c r="O176" s="104"/>
      <c r="P176" s="104"/>
      <c r="Q176" s="104"/>
      <c r="R176" s="115"/>
      <c r="S176" s="115"/>
      <c r="T176" s="105"/>
      <c r="U176" s="105"/>
      <c r="V176" s="105"/>
      <c r="W176" s="116"/>
    </row>
    <row r="177" spans="1:23" ht="15.75" hidden="1" customHeight="1">
      <c r="A177" s="103"/>
      <c r="B177" s="103"/>
      <c r="C177" s="105"/>
      <c r="D177" s="105"/>
      <c r="E177" s="105"/>
      <c r="F177" s="105"/>
      <c r="G177" s="105"/>
      <c r="H177" s="108"/>
      <c r="I177" s="108"/>
      <c r="J177" s="106"/>
      <c r="K177" s="106"/>
      <c r="L177" s="107"/>
      <c r="M177" s="106"/>
      <c r="N177" s="104"/>
      <c r="O177" s="104"/>
      <c r="P177" s="104"/>
      <c r="Q177" s="104"/>
      <c r="R177" s="115"/>
      <c r="S177" s="115"/>
      <c r="T177" s="105"/>
      <c r="U177" s="105"/>
      <c r="V177" s="105"/>
      <c r="W177" s="116"/>
    </row>
    <row r="178" spans="1:23" ht="15.75" hidden="1" customHeight="1">
      <c r="A178" s="103"/>
      <c r="B178" s="103"/>
      <c r="C178" s="105"/>
      <c r="D178" s="105"/>
      <c r="E178" s="105"/>
      <c r="F178" s="105"/>
      <c r="G178" s="105"/>
      <c r="H178" s="108"/>
      <c r="I178" s="108"/>
      <c r="J178" s="106"/>
      <c r="K178" s="106"/>
      <c r="L178" s="107"/>
      <c r="M178" s="106"/>
      <c r="N178" s="104"/>
      <c r="O178" s="104"/>
      <c r="P178" s="104"/>
      <c r="Q178" s="104"/>
      <c r="R178" s="115"/>
      <c r="S178" s="115"/>
      <c r="T178" s="105"/>
      <c r="U178" s="105"/>
      <c r="V178" s="105"/>
      <c r="W178" s="116"/>
    </row>
    <row r="179" spans="1:23" ht="15.75" hidden="1" customHeight="1">
      <c r="A179" s="103"/>
      <c r="B179" s="103"/>
      <c r="C179" s="105"/>
      <c r="D179" s="105"/>
      <c r="E179" s="105"/>
      <c r="F179" s="105"/>
      <c r="G179" s="105"/>
      <c r="H179" s="108"/>
      <c r="I179" s="108"/>
      <c r="J179" s="106"/>
      <c r="K179" s="106"/>
      <c r="L179" s="107"/>
      <c r="M179" s="106"/>
      <c r="N179" s="104"/>
      <c r="O179" s="104"/>
      <c r="P179" s="104"/>
      <c r="Q179" s="104"/>
      <c r="R179" s="115"/>
      <c r="S179" s="115"/>
      <c r="T179" s="105"/>
      <c r="U179" s="105"/>
      <c r="V179" s="105"/>
      <c r="W179" s="116"/>
    </row>
    <row r="180" spans="1:23" ht="15.75" hidden="1" customHeight="1">
      <c r="A180" s="103"/>
      <c r="B180" s="103"/>
      <c r="C180" s="105"/>
      <c r="D180" s="105"/>
      <c r="E180" s="105"/>
      <c r="F180" s="105"/>
      <c r="G180" s="105"/>
      <c r="H180" s="108"/>
      <c r="I180" s="108"/>
      <c r="J180" s="106"/>
      <c r="K180" s="106"/>
      <c r="L180" s="107"/>
      <c r="M180" s="106"/>
      <c r="N180" s="104"/>
      <c r="O180" s="104"/>
      <c r="P180" s="104"/>
      <c r="Q180" s="104"/>
      <c r="R180" s="115"/>
      <c r="S180" s="115"/>
      <c r="T180" s="105"/>
      <c r="U180" s="105"/>
      <c r="V180" s="105"/>
      <c r="W180" s="116"/>
    </row>
    <row r="181" spans="1:23" ht="15.75" hidden="1" customHeight="1">
      <c r="A181" s="103"/>
      <c r="B181" s="103"/>
      <c r="C181" s="105"/>
      <c r="D181" s="105"/>
      <c r="E181" s="105"/>
      <c r="F181" s="105"/>
      <c r="G181" s="105"/>
      <c r="H181" s="108"/>
      <c r="I181" s="108"/>
      <c r="J181" s="106"/>
      <c r="K181" s="106"/>
      <c r="L181" s="107"/>
      <c r="M181" s="106"/>
      <c r="N181" s="104"/>
      <c r="O181" s="104"/>
      <c r="P181" s="104"/>
      <c r="Q181" s="104"/>
      <c r="R181" s="115"/>
      <c r="S181" s="115"/>
      <c r="T181" s="105"/>
      <c r="U181" s="105"/>
      <c r="V181" s="105"/>
      <c r="W181" s="116"/>
    </row>
    <row r="182" spans="1:23" ht="15.75" hidden="1" customHeight="1">
      <c r="A182" s="103"/>
      <c r="B182" s="103"/>
      <c r="C182" s="105"/>
      <c r="D182" s="105"/>
      <c r="E182" s="105"/>
      <c r="F182" s="105"/>
      <c r="G182" s="105"/>
      <c r="H182" s="108"/>
      <c r="I182" s="108"/>
      <c r="J182" s="106"/>
      <c r="K182" s="106"/>
      <c r="L182" s="107"/>
      <c r="M182" s="106"/>
      <c r="N182" s="104"/>
      <c r="O182" s="104"/>
      <c r="P182" s="104"/>
      <c r="Q182" s="104"/>
      <c r="R182" s="115"/>
      <c r="S182" s="115"/>
      <c r="T182" s="105"/>
      <c r="U182" s="105"/>
      <c r="V182" s="105"/>
      <c r="W182" s="116"/>
    </row>
    <row r="183" spans="1:23" ht="15.75" hidden="1" customHeight="1">
      <c r="A183" s="103"/>
      <c r="B183" s="103"/>
      <c r="C183" s="105"/>
      <c r="D183" s="105"/>
      <c r="E183" s="105"/>
      <c r="F183" s="105"/>
      <c r="G183" s="105"/>
      <c r="H183" s="108"/>
      <c r="I183" s="108"/>
      <c r="J183" s="106"/>
      <c r="K183" s="106"/>
      <c r="L183" s="107"/>
      <c r="M183" s="106"/>
      <c r="N183" s="104"/>
      <c r="O183" s="104"/>
      <c r="P183" s="104"/>
      <c r="Q183" s="104"/>
      <c r="R183" s="115"/>
      <c r="S183" s="115"/>
      <c r="T183" s="105"/>
      <c r="U183" s="105"/>
      <c r="V183" s="105"/>
      <c r="W183" s="116"/>
    </row>
    <row r="184" spans="1:23" ht="15.75" hidden="1" customHeight="1">
      <c r="A184" s="103"/>
      <c r="B184" s="103"/>
      <c r="C184" s="105"/>
      <c r="D184" s="105"/>
      <c r="E184" s="105"/>
      <c r="F184" s="105"/>
      <c r="G184" s="105"/>
      <c r="H184" s="108"/>
      <c r="I184" s="108"/>
      <c r="J184" s="106"/>
      <c r="K184" s="106"/>
      <c r="L184" s="107"/>
      <c r="M184" s="106"/>
      <c r="N184" s="104"/>
      <c r="O184" s="104"/>
      <c r="P184" s="104"/>
      <c r="Q184" s="104"/>
      <c r="R184" s="115"/>
      <c r="S184" s="115"/>
      <c r="T184" s="105"/>
      <c r="U184" s="105"/>
      <c r="V184" s="105"/>
      <c r="W184" s="116"/>
    </row>
    <row r="185" spans="1:23" ht="15.75" hidden="1" customHeight="1">
      <c r="A185" s="103"/>
      <c r="B185" s="103"/>
      <c r="C185" s="105"/>
      <c r="D185" s="105"/>
      <c r="E185" s="105"/>
      <c r="F185" s="105"/>
      <c r="G185" s="105"/>
      <c r="H185" s="108"/>
      <c r="I185" s="108"/>
      <c r="J185" s="106"/>
      <c r="K185" s="106"/>
      <c r="L185" s="107"/>
      <c r="M185" s="106"/>
      <c r="N185" s="104"/>
      <c r="O185" s="104"/>
      <c r="P185" s="104"/>
      <c r="Q185" s="104"/>
      <c r="R185" s="115"/>
      <c r="S185" s="115"/>
      <c r="T185" s="105"/>
      <c r="U185" s="105"/>
      <c r="V185" s="105"/>
      <c r="W185" s="116"/>
    </row>
    <row r="186" spans="1:23" ht="15.75" hidden="1" customHeight="1">
      <c r="A186" s="103"/>
      <c r="B186" s="103"/>
      <c r="C186" s="105"/>
      <c r="D186" s="105"/>
      <c r="E186" s="105"/>
      <c r="F186" s="105"/>
      <c r="G186" s="105"/>
      <c r="H186" s="108"/>
      <c r="I186" s="108"/>
      <c r="J186" s="106"/>
      <c r="K186" s="106"/>
      <c r="L186" s="107"/>
      <c r="M186" s="106"/>
      <c r="N186" s="104"/>
      <c r="O186" s="104"/>
      <c r="P186" s="104"/>
      <c r="Q186" s="104"/>
      <c r="R186" s="115"/>
      <c r="S186" s="115"/>
      <c r="T186" s="105"/>
      <c r="U186" s="105"/>
      <c r="V186" s="105"/>
      <c r="W186" s="116"/>
    </row>
    <row r="187" spans="1:23" ht="15.75" hidden="1" customHeight="1">
      <c r="A187" s="103"/>
      <c r="B187" s="103"/>
      <c r="C187" s="105"/>
      <c r="D187" s="105"/>
      <c r="E187" s="105"/>
      <c r="F187" s="105"/>
      <c r="G187" s="105"/>
      <c r="H187" s="108"/>
      <c r="I187" s="108"/>
      <c r="J187" s="106"/>
      <c r="K187" s="106"/>
      <c r="L187" s="107"/>
      <c r="M187" s="106"/>
      <c r="N187" s="104"/>
      <c r="O187" s="104"/>
      <c r="P187" s="104"/>
      <c r="Q187" s="104"/>
      <c r="R187" s="115"/>
      <c r="S187" s="115"/>
      <c r="T187" s="105"/>
      <c r="U187" s="105"/>
      <c r="V187" s="105"/>
      <c r="W187" s="116"/>
    </row>
    <row r="188" spans="1:23" ht="15.75" hidden="1" customHeight="1">
      <c r="A188" s="103"/>
      <c r="B188" s="103"/>
      <c r="C188" s="105"/>
      <c r="D188" s="105"/>
      <c r="E188" s="105"/>
      <c r="F188" s="105"/>
      <c r="G188" s="105"/>
      <c r="H188" s="108"/>
      <c r="I188" s="108"/>
      <c r="J188" s="106"/>
      <c r="K188" s="106"/>
      <c r="L188" s="107"/>
      <c r="M188" s="106"/>
      <c r="N188" s="104"/>
      <c r="O188" s="104"/>
      <c r="P188" s="104"/>
      <c r="Q188" s="104"/>
      <c r="R188" s="115"/>
      <c r="S188" s="115"/>
      <c r="T188" s="105"/>
      <c r="U188" s="105"/>
      <c r="V188" s="105"/>
      <c r="W188" s="116"/>
    </row>
    <row r="189" spans="1:23" ht="15.75" hidden="1" customHeight="1">
      <c r="A189" s="103"/>
      <c r="B189" s="103"/>
      <c r="C189" s="105"/>
      <c r="D189" s="105"/>
      <c r="E189" s="105"/>
      <c r="F189" s="105"/>
      <c r="G189" s="105"/>
      <c r="H189" s="108"/>
      <c r="I189" s="108"/>
      <c r="J189" s="106"/>
      <c r="K189" s="106"/>
      <c r="L189" s="107"/>
      <c r="M189" s="106"/>
      <c r="N189" s="104"/>
      <c r="O189" s="104"/>
      <c r="P189" s="104"/>
      <c r="Q189" s="104"/>
      <c r="R189" s="115"/>
      <c r="S189" s="115"/>
      <c r="T189" s="105"/>
      <c r="U189" s="105"/>
      <c r="V189" s="105"/>
      <c r="W189" s="116"/>
    </row>
    <row r="190" spans="1:23" ht="15.75" hidden="1" customHeight="1">
      <c r="A190" s="103"/>
      <c r="B190" s="103"/>
      <c r="C190" s="105"/>
      <c r="D190" s="105"/>
      <c r="E190" s="105"/>
      <c r="F190" s="105"/>
      <c r="G190" s="105"/>
      <c r="H190" s="108"/>
      <c r="I190" s="108"/>
      <c r="J190" s="106"/>
      <c r="K190" s="106"/>
      <c r="L190" s="107"/>
      <c r="M190" s="106"/>
      <c r="N190" s="104"/>
      <c r="O190" s="104"/>
      <c r="P190" s="104"/>
      <c r="Q190" s="104"/>
      <c r="R190" s="115"/>
      <c r="S190" s="115"/>
      <c r="T190" s="105"/>
      <c r="U190" s="105"/>
      <c r="V190" s="105"/>
      <c r="W190" s="116"/>
    </row>
    <row r="191" spans="1:23" ht="15.75" hidden="1" customHeight="1">
      <c r="A191" s="103"/>
      <c r="B191" s="103"/>
      <c r="C191" s="105"/>
      <c r="D191" s="105"/>
      <c r="E191" s="105"/>
      <c r="F191" s="105"/>
      <c r="G191" s="105"/>
      <c r="H191" s="108"/>
      <c r="I191" s="108"/>
      <c r="J191" s="106"/>
      <c r="K191" s="106"/>
      <c r="L191" s="107"/>
      <c r="M191" s="106"/>
      <c r="N191" s="104"/>
      <c r="O191" s="104"/>
      <c r="P191" s="104"/>
      <c r="Q191" s="104"/>
      <c r="R191" s="115"/>
      <c r="S191" s="115"/>
      <c r="T191" s="105"/>
      <c r="U191" s="105"/>
      <c r="V191" s="105"/>
      <c r="W191" s="116"/>
    </row>
    <row r="192" spans="1:23" ht="15.75" hidden="1" customHeight="1">
      <c r="A192" s="103"/>
      <c r="B192" s="103"/>
      <c r="C192" s="105"/>
      <c r="D192" s="105"/>
      <c r="E192" s="105"/>
      <c r="F192" s="105"/>
      <c r="G192" s="105"/>
      <c r="H192" s="108"/>
      <c r="I192" s="108"/>
      <c r="J192" s="106"/>
      <c r="K192" s="106"/>
      <c r="L192" s="107"/>
      <c r="M192" s="106"/>
      <c r="N192" s="104"/>
      <c r="O192" s="104"/>
      <c r="P192" s="104"/>
      <c r="Q192" s="104"/>
      <c r="R192" s="115"/>
      <c r="S192" s="115"/>
      <c r="T192" s="105"/>
      <c r="U192" s="105"/>
      <c r="V192" s="105"/>
      <c r="W192" s="116"/>
    </row>
    <row r="193" spans="1:23" ht="15.75" hidden="1" customHeight="1">
      <c r="A193" s="103"/>
      <c r="B193" s="103"/>
      <c r="C193" s="105"/>
      <c r="D193" s="105"/>
      <c r="E193" s="105"/>
      <c r="F193" s="105"/>
      <c r="G193" s="105"/>
      <c r="H193" s="108"/>
      <c r="I193" s="108"/>
      <c r="J193" s="106"/>
      <c r="K193" s="106"/>
      <c r="L193" s="107"/>
      <c r="M193" s="106"/>
      <c r="N193" s="104"/>
      <c r="O193" s="104"/>
      <c r="P193" s="104"/>
      <c r="Q193" s="104"/>
      <c r="R193" s="115"/>
      <c r="S193" s="115"/>
      <c r="T193" s="105"/>
      <c r="U193" s="105"/>
      <c r="V193" s="105"/>
      <c r="W193" s="116"/>
    </row>
    <row r="194" spans="1:23" ht="15.75" hidden="1" customHeight="1">
      <c r="A194" s="103"/>
      <c r="B194" s="103"/>
      <c r="C194" s="105"/>
      <c r="D194" s="105"/>
      <c r="E194" s="105"/>
      <c r="F194" s="105"/>
      <c r="G194" s="105"/>
      <c r="H194" s="108"/>
      <c r="I194" s="108"/>
      <c r="J194" s="106"/>
      <c r="K194" s="106"/>
      <c r="L194" s="107"/>
      <c r="M194" s="106"/>
      <c r="N194" s="104"/>
      <c r="O194" s="104"/>
      <c r="P194" s="104"/>
      <c r="Q194" s="104"/>
      <c r="R194" s="115"/>
      <c r="S194" s="115"/>
      <c r="T194" s="105"/>
      <c r="U194" s="105"/>
      <c r="V194" s="105"/>
      <c r="W194" s="116"/>
    </row>
    <row r="195" spans="1:23" ht="15.75" hidden="1" customHeight="1">
      <c r="A195" s="103"/>
      <c r="B195" s="103"/>
      <c r="C195" s="105"/>
      <c r="D195" s="105"/>
      <c r="E195" s="105"/>
      <c r="F195" s="105"/>
      <c r="G195" s="105"/>
      <c r="H195" s="108"/>
      <c r="I195" s="108"/>
      <c r="J195" s="106"/>
      <c r="K195" s="106"/>
      <c r="L195" s="107"/>
      <c r="M195" s="106"/>
      <c r="N195" s="104"/>
      <c r="O195" s="104"/>
      <c r="P195" s="104"/>
      <c r="Q195" s="104"/>
      <c r="R195" s="115"/>
      <c r="S195" s="115"/>
      <c r="T195" s="105"/>
      <c r="U195" s="105"/>
      <c r="V195" s="105"/>
      <c r="W195" s="116"/>
    </row>
    <row r="196" spans="1:23" ht="15.75" hidden="1" customHeight="1">
      <c r="A196" s="103"/>
      <c r="B196" s="103"/>
      <c r="C196" s="105"/>
      <c r="D196" s="105"/>
      <c r="E196" s="105"/>
      <c r="F196" s="105"/>
      <c r="G196" s="105"/>
      <c r="H196" s="108"/>
      <c r="I196" s="108"/>
      <c r="J196" s="106"/>
      <c r="K196" s="106"/>
      <c r="L196" s="107"/>
      <c r="M196" s="106"/>
      <c r="N196" s="104"/>
      <c r="O196" s="104"/>
      <c r="P196" s="104"/>
      <c r="Q196" s="104"/>
      <c r="R196" s="115"/>
      <c r="S196" s="115"/>
      <c r="T196" s="105"/>
      <c r="U196" s="105"/>
      <c r="V196" s="105"/>
      <c r="W196" s="116"/>
    </row>
    <row r="197" spans="1:23" ht="15.75" hidden="1" customHeight="1">
      <c r="A197" s="103"/>
      <c r="B197" s="103"/>
      <c r="C197" s="105"/>
      <c r="D197" s="105"/>
      <c r="E197" s="105"/>
      <c r="F197" s="105"/>
      <c r="G197" s="105"/>
      <c r="H197" s="108"/>
      <c r="I197" s="108"/>
      <c r="J197" s="106"/>
      <c r="K197" s="106"/>
      <c r="L197" s="107"/>
      <c r="M197" s="106"/>
      <c r="N197" s="104"/>
      <c r="O197" s="104"/>
      <c r="P197" s="104"/>
      <c r="Q197" s="104"/>
      <c r="R197" s="115"/>
      <c r="S197" s="115"/>
      <c r="T197" s="105"/>
      <c r="U197" s="105"/>
      <c r="V197" s="105"/>
      <c r="W197" s="116"/>
    </row>
    <row r="198" spans="1:23" ht="15.75" hidden="1" customHeight="1">
      <c r="A198" s="103"/>
      <c r="B198" s="103"/>
      <c r="C198" s="105"/>
      <c r="D198" s="105"/>
      <c r="E198" s="105"/>
      <c r="F198" s="105"/>
      <c r="G198" s="105"/>
      <c r="H198" s="108"/>
      <c r="I198" s="108"/>
      <c r="J198" s="106"/>
      <c r="K198" s="106"/>
      <c r="L198" s="107"/>
      <c r="M198" s="106"/>
      <c r="N198" s="104"/>
      <c r="O198" s="104"/>
      <c r="P198" s="104"/>
      <c r="Q198" s="104"/>
      <c r="R198" s="115"/>
      <c r="S198" s="115"/>
      <c r="T198" s="105"/>
      <c r="U198" s="105"/>
      <c r="V198" s="105"/>
      <c r="W198" s="116"/>
    </row>
    <row r="199" spans="1:23" ht="15.75" hidden="1" customHeight="1">
      <c r="A199" s="103"/>
      <c r="B199" s="103"/>
      <c r="C199" s="105"/>
      <c r="D199" s="105"/>
      <c r="E199" s="105"/>
      <c r="F199" s="105"/>
      <c r="G199" s="105"/>
      <c r="H199" s="108"/>
      <c r="I199" s="108"/>
      <c r="J199" s="106"/>
      <c r="K199" s="106"/>
      <c r="L199" s="107"/>
      <c r="M199" s="106"/>
      <c r="N199" s="104"/>
      <c r="O199" s="104"/>
      <c r="P199" s="104"/>
      <c r="Q199" s="104"/>
      <c r="R199" s="115"/>
      <c r="S199" s="115"/>
      <c r="T199" s="105"/>
      <c r="U199" s="105"/>
      <c r="V199" s="105"/>
      <c r="W199" s="116"/>
    </row>
    <row r="200" spans="1:23" ht="15.75" hidden="1" customHeight="1">
      <c r="A200" s="103"/>
      <c r="B200" s="103"/>
      <c r="C200" s="105"/>
      <c r="D200" s="105"/>
      <c r="E200" s="105"/>
      <c r="F200" s="105"/>
      <c r="G200" s="105"/>
      <c r="H200" s="108"/>
      <c r="I200" s="108"/>
      <c r="J200" s="106"/>
      <c r="K200" s="106"/>
      <c r="L200" s="107"/>
      <c r="M200" s="106"/>
      <c r="N200" s="104"/>
      <c r="O200" s="104"/>
      <c r="P200" s="104"/>
      <c r="Q200" s="104"/>
      <c r="R200" s="115"/>
      <c r="S200" s="115"/>
      <c r="T200" s="105"/>
      <c r="U200" s="105"/>
      <c r="V200" s="105"/>
      <c r="W200" s="116"/>
    </row>
    <row r="201" spans="1:23" ht="15.75" hidden="1" customHeight="1">
      <c r="A201" s="103"/>
      <c r="B201" s="103"/>
      <c r="C201" s="105"/>
      <c r="D201" s="105"/>
      <c r="E201" s="105"/>
      <c r="F201" s="105"/>
      <c r="G201" s="105"/>
      <c r="H201" s="108"/>
      <c r="I201" s="108"/>
      <c r="J201" s="106"/>
      <c r="K201" s="106"/>
      <c r="L201" s="107"/>
      <c r="M201" s="106"/>
      <c r="N201" s="104"/>
      <c r="O201" s="104"/>
      <c r="P201" s="104"/>
      <c r="Q201" s="104"/>
      <c r="R201" s="115"/>
      <c r="S201" s="115"/>
      <c r="T201" s="105"/>
      <c r="U201" s="105"/>
      <c r="V201" s="105"/>
      <c r="W201" s="116"/>
    </row>
    <row r="202" spans="1:23" ht="15.75" hidden="1" customHeight="1">
      <c r="A202" s="103"/>
      <c r="B202" s="103"/>
      <c r="C202" s="105"/>
      <c r="D202" s="105"/>
      <c r="E202" s="105"/>
      <c r="F202" s="105"/>
      <c r="G202" s="105"/>
      <c r="H202" s="108"/>
      <c r="I202" s="108"/>
      <c r="J202" s="106"/>
      <c r="K202" s="106"/>
      <c r="L202" s="107"/>
      <c r="M202" s="106"/>
      <c r="N202" s="104"/>
      <c r="O202" s="104"/>
      <c r="P202" s="104"/>
      <c r="Q202" s="104"/>
      <c r="R202" s="115"/>
      <c r="S202" s="115"/>
      <c r="T202" s="105"/>
      <c r="U202" s="105"/>
      <c r="V202" s="105"/>
      <c r="W202" s="116"/>
    </row>
    <row r="203" spans="1:23" ht="15.75" hidden="1" customHeight="1">
      <c r="A203" s="103"/>
      <c r="B203" s="103"/>
      <c r="C203" s="105"/>
      <c r="D203" s="105"/>
      <c r="E203" s="105"/>
      <c r="F203" s="105"/>
      <c r="G203" s="105"/>
      <c r="H203" s="108"/>
      <c r="I203" s="108"/>
      <c r="J203" s="106"/>
      <c r="K203" s="106"/>
      <c r="L203" s="107"/>
      <c r="M203" s="106"/>
      <c r="N203" s="104"/>
      <c r="O203" s="104"/>
      <c r="P203" s="104"/>
      <c r="Q203" s="104"/>
      <c r="R203" s="115"/>
      <c r="S203" s="115"/>
      <c r="T203" s="105"/>
      <c r="U203" s="105"/>
      <c r="V203" s="105"/>
      <c r="W203" s="116"/>
    </row>
    <row r="204" spans="1:23" ht="15.75" hidden="1" customHeight="1">
      <c r="A204" s="103"/>
      <c r="B204" s="103"/>
      <c r="C204" s="105"/>
      <c r="D204" s="105"/>
      <c r="E204" s="105"/>
      <c r="F204" s="105"/>
      <c r="G204" s="105"/>
      <c r="H204" s="108"/>
      <c r="I204" s="108"/>
      <c r="J204" s="106"/>
      <c r="K204" s="106"/>
      <c r="L204" s="107"/>
      <c r="M204" s="106"/>
      <c r="N204" s="104"/>
      <c r="O204" s="104"/>
      <c r="P204" s="104"/>
      <c r="Q204" s="104"/>
      <c r="R204" s="115"/>
      <c r="S204" s="115"/>
      <c r="T204" s="105"/>
      <c r="U204" s="105"/>
      <c r="V204" s="105"/>
      <c r="W204" s="116"/>
    </row>
    <row r="205" spans="1:23" ht="15.75" hidden="1" customHeight="1">
      <c r="A205" s="103"/>
      <c r="B205" s="103"/>
      <c r="C205" s="105"/>
      <c r="D205" s="105"/>
      <c r="E205" s="105"/>
      <c r="F205" s="105"/>
      <c r="G205" s="105"/>
      <c r="H205" s="108"/>
      <c r="I205" s="108"/>
      <c r="J205" s="106"/>
      <c r="K205" s="106"/>
      <c r="L205" s="107"/>
      <c r="M205" s="106"/>
      <c r="N205" s="104"/>
      <c r="O205" s="104"/>
      <c r="P205" s="104"/>
      <c r="Q205" s="104"/>
      <c r="R205" s="115"/>
      <c r="S205" s="115"/>
      <c r="T205" s="105"/>
      <c r="U205" s="105"/>
      <c r="V205" s="105"/>
      <c r="W205" s="116"/>
    </row>
    <row r="206" spans="1:23" ht="15.75" hidden="1" customHeight="1">
      <c r="A206" s="103"/>
      <c r="B206" s="103"/>
      <c r="C206" s="105"/>
      <c r="D206" s="105"/>
      <c r="E206" s="105"/>
      <c r="F206" s="105"/>
      <c r="G206" s="105"/>
      <c r="H206" s="108"/>
      <c r="I206" s="108"/>
      <c r="J206" s="106"/>
      <c r="K206" s="106"/>
      <c r="L206" s="107"/>
      <c r="M206" s="106"/>
      <c r="N206" s="104"/>
      <c r="O206" s="104"/>
      <c r="P206" s="104"/>
      <c r="Q206" s="104"/>
      <c r="R206" s="115"/>
      <c r="S206" s="115"/>
      <c r="T206" s="105"/>
      <c r="U206" s="105"/>
      <c r="V206" s="105"/>
      <c r="W206" s="116"/>
    </row>
    <row r="207" spans="1:23" ht="15.75" hidden="1" customHeight="1">
      <c r="A207" s="103"/>
      <c r="B207" s="103"/>
      <c r="C207" s="105"/>
      <c r="D207" s="105"/>
      <c r="E207" s="105"/>
      <c r="F207" s="105"/>
      <c r="G207" s="105"/>
      <c r="H207" s="108"/>
      <c r="I207" s="108"/>
      <c r="J207" s="106"/>
      <c r="K207" s="106"/>
      <c r="L207" s="107"/>
      <c r="M207" s="106"/>
      <c r="N207" s="104"/>
      <c r="O207" s="104"/>
      <c r="P207" s="104"/>
      <c r="Q207" s="104"/>
      <c r="R207" s="115"/>
      <c r="S207" s="115"/>
      <c r="T207" s="105"/>
      <c r="U207" s="105"/>
      <c r="V207" s="105"/>
      <c r="W207" s="116"/>
    </row>
    <row r="208" spans="1:23" ht="15.75" hidden="1" customHeight="1">
      <c r="A208" s="103"/>
      <c r="B208" s="103"/>
      <c r="C208" s="105"/>
      <c r="D208" s="105"/>
      <c r="E208" s="105"/>
      <c r="F208" s="105"/>
      <c r="G208" s="105"/>
      <c r="H208" s="108"/>
      <c r="I208" s="108"/>
      <c r="J208" s="106"/>
      <c r="K208" s="106"/>
      <c r="L208" s="107"/>
      <c r="M208" s="106"/>
      <c r="N208" s="104"/>
      <c r="O208" s="104"/>
      <c r="P208" s="104"/>
      <c r="Q208" s="104"/>
      <c r="R208" s="115"/>
      <c r="S208" s="115"/>
      <c r="T208" s="105"/>
      <c r="U208" s="105"/>
      <c r="V208" s="105"/>
      <c r="W208" s="116"/>
    </row>
    <row r="209" spans="1:23" ht="15.75" hidden="1" customHeight="1">
      <c r="A209" s="103"/>
      <c r="B209" s="103"/>
      <c r="C209" s="105"/>
      <c r="D209" s="105"/>
      <c r="E209" s="105"/>
      <c r="F209" s="105"/>
      <c r="G209" s="105"/>
      <c r="H209" s="108"/>
      <c r="I209" s="108"/>
      <c r="J209" s="106"/>
      <c r="K209" s="106"/>
      <c r="L209" s="107"/>
      <c r="M209" s="106"/>
      <c r="N209" s="104"/>
      <c r="O209" s="104"/>
      <c r="P209" s="104"/>
      <c r="Q209" s="104"/>
      <c r="R209" s="115"/>
      <c r="S209" s="115"/>
      <c r="T209" s="105"/>
      <c r="U209" s="105"/>
      <c r="V209" s="105"/>
      <c r="W209" s="116"/>
    </row>
    <row r="210" spans="1:23" ht="15.75" hidden="1" customHeight="1">
      <c r="A210" s="103"/>
      <c r="B210" s="103"/>
      <c r="C210" s="105"/>
      <c r="D210" s="105"/>
      <c r="E210" s="105"/>
      <c r="F210" s="105"/>
      <c r="G210" s="105"/>
      <c r="H210" s="108"/>
      <c r="I210" s="108"/>
      <c r="J210" s="106"/>
      <c r="K210" s="106"/>
      <c r="L210" s="107"/>
      <c r="M210" s="106"/>
      <c r="N210" s="104"/>
      <c r="O210" s="104"/>
      <c r="P210" s="104"/>
      <c r="Q210" s="104"/>
      <c r="R210" s="115"/>
      <c r="S210" s="115"/>
      <c r="T210" s="105"/>
      <c r="U210" s="105"/>
      <c r="V210" s="105"/>
      <c r="W210" s="116"/>
    </row>
    <row r="211" spans="1:23" ht="15.75" hidden="1" customHeight="1">
      <c r="A211" s="103"/>
      <c r="B211" s="103"/>
      <c r="C211" s="105"/>
      <c r="D211" s="105"/>
      <c r="E211" s="105"/>
      <c r="F211" s="105"/>
      <c r="G211" s="105"/>
      <c r="H211" s="108"/>
      <c r="I211" s="108"/>
      <c r="J211" s="106"/>
      <c r="K211" s="106"/>
      <c r="L211" s="107"/>
      <c r="M211" s="106"/>
      <c r="N211" s="104"/>
      <c r="O211" s="104"/>
      <c r="P211" s="104"/>
      <c r="Q211" s="104"/>
      <c r="R211" s="115"/>
      <c r="S211" s="115"/>
      <c r="T211" s="105"/>
      <c r="U211" s="105"/>
      <c r="V211" s="105"/>
      <c r="W211" s="116"/>
    </row>
    <row r="212" spans="1:23" ht="15.75" hidden="1" customHeight="1">
      <c r="A212" s="103"/>
      <c r="B212" s="103"/>
      <c r="C212" s="105"/>
      <c r="D212" s="105"/>
      <c r="E212" s="105"/>
      <c r="F212" s="105"/>
      <c r="G212" s="105"/>
      <c r="H212" s="108"/>
      <c r="I212" s="108"/>
      <c r="J212" s="106"/>
      <c r="K212" s="106"/>
      <c r="L212" s="107"/>
      <c r="M212" s="106"/>
      <c r="N212" s="104"/>
      <c r="O212" s="104"/>
      <c r="P212" s="104"/>
      <c r="Q212" s="104"/>
      <c r="R212" s="115"/>
      <c r="S212" s="115"/>
      <c r="T212" s="105"/>
      <c r="U212" s="105"/>
      <c r="V212" s="105"/>
      <c r="W212" s="116"/>
    </row>
    <row r="213" spans="1:23" ht="15.75" hidden="1" customHeight="1">
      <c r="A213" s="103"/>
      <c r="B213" s="103"/>
      <c r="C213" s="105"/>
      <c r="D213" s="105"/>
      <c r="E213" s="105"/>
      <c r="F213" s="105"/>
      <c r="G213" s="105"/>
      <c r="H213" s="108"/>
      <c r="I213" s="108"/>
      <c r="J213" s="106"/>
      <c r="K213" s="106"/>
      <c r="L213" s="107"/>
      <c r="M213" s="106"/>
      <c r="N213" s="104"/>
      <c r="O213" s="104"/>
      <c r="P213" s="104"/>
      <c r="Q213" s="104"/>
      <c r="R213" s="115"/>
      <c r="S213" s="115"/>
      <c r="T213" s="105"/>
      <c r="U213" s="105"/>
      <c r="V213" s="105"/>
      <c r="W213" s="116"/>
    </row>
    <row r="214" spans="1:23" ht="15.75" hidden="1" customHeight="1">
      <c r="A214" s="103"/>
      <c r="B214" s="103"/>
      <c r="C214" s="105"/>
      <c r="D214" s="105"/>
      <c r="E214" s="105"/>
      <c r="F214" s="105"/>
      <c r="G214" s="105"/>
      <c r="H214" s="108"/>
      <c r="I214" s="108"/>
      <c r="J214" s="106"/>
      <c r="K214" s="106"/>
      <c r="L214" s="107"/>
      <c r="M214" s="106"/>
      <c r="N214" s="104"/>
      <c r="O214" s="104"/>
      <c r="P214" s="104"/>
      <c r="Q214" s="104"/>
      <c r="R214" s="115"/>
      <c r="S214" s="115"/>
      <c r="T214" s="105"/>
      <c r="U214" s="105"/>
      <c r="V214" s="105"/>
      <c r="W214" s="116"/>
    </row>
    <row r="215" spans="1:23" ht="15.75" hidden="1" customHeight="1">
      <c r="A215" s="103"/>
      <c r="B215" s="103"/>
      <c r="C215" s="105"/>
      <c r="D215" s="105"/>
      <c r="E215" s="105"/>
      <c r="F215" s="105"/>
      <c r="G215" s="105"/>
      <c r="H215" s="108"/>
      <c r="I215" s="108"/>
      <c r="J215" s="106"/>
      <c r="K215" s="106"/>
      <c r="L215" s="107"/>
      <c r="M215" s="106"/>
      <c r="N215" s="104"/>
      <c r="O215" s="104"/>
      <c r="P215" s="104"/>
      <c r="Q215" s="104"/>
      <c r="R215" s="115"/>
      <c r="S215" s="115"/>
      <c r="T215" s="105"/>
      <c r="U215" s="105"/>
      <c r="V215" s="105"/>
      <c r="W215" s="116"/>
    </row>
    <row r="216" spans="1:23" ht="15.75" hidden="1" customHeight="1">
      <c r="A216" s="103"/>
      <c r="B216" s="103"/>
      <c r="C216" s="105"/>
      <c r="D216" s="105"/>
      <c r="E216" s="105"/>
      <c r="F216" s="105"/>
      <c r="G216" s="105"/>
      <c r="H216" s="108"/>
      <c r="I216" s="108"/>
      <c r="J216" s="106"/>
      <c r="K216" s="106"/>
      <c r="L216" s="107"/>
      <c r="M216" s="106"/>
      <c r="N216" s="104"/>
      <c r="O216" s="104"/>
      <c r="P216" s="104"/>
      <c r="Q216" s="104"/>
      <c r="R216" s="115"/>
      <c r="S216" s="115"/>
      <c r="T216" s="105"/>
      <c r="U216" s="105"/>
      <c r="V216" s="105"/>
      <c r="W216" s="116"/>
    </row>
    <row r="217" spans="1:23" ht="15.75" hidden="1" customHeight="1">
      <c r="A217" s="103"/>
      <c r="B217" s="103"/>
      <c r="C217" s="105"/>
      <c r="D217" s="105"/>
      <c r="E217" s="105"/>
      <c r="F217" s="105"/>
      <c r="G217" s="105"/>
      <c r="H217" s="108"/>
      <c r="I217" s="108"/>
      <c r="J217" s="106"/>
      <c r="K217" s="106"/>
      <c r="L217" s="107"/>
      <c r="M217" s="106"/>
      <c r="N217" s="104"/>
      <c r="O217" s="104"/>
      <c r="P217" s="104"/>
      <c r="Q217" s="104"/>
      <c r="R217" s="115"/>
      <c r="S217" s="115"/>
      <c r="T217" s="105"/>
      <c r="U217" s="105"/>
      <c r="V217" s="105"/>
      <c r="W217" s="116"/>
    </row>
    <row r="218" spans="1:23" ht="15.75" hidden="1" customHeight="1">
      <c r="A218" s="103"/>
      <c r="B218" s="103"/>
      <c r="C218" s="105"/>
      <c r="D218" s="105"/>
      <c r="E218" s="105"/>
      <c r="F218" s="105"/>
      <c r="G218" s="105"/>
      <c r="H218" s="108"/>
      <c r="I218" s="108"/>
      <c r="J218" s="106"/>
      <c r="K218" s="106"/>
      <c r="L218" s="107"/>
      <c r="M218" s="106"/>
      <c r="N218" s="104"/>
      <c r="O218" s="104"/>
      <c r="P218" s="104"/>
      <c r="Q218" s="104"/>
      <c r="R218" s="115"/>
      <c r="S218" s="115"/>
      <c r="T218" s="105"/>
      <c r="U218" s="105"/>
      <c r="V218" s="105"/>
      <c r="W218" s="116"/>
    </row>
    <row r="219" spans="1:23" ht="15.75" hidden="1" customHeight="1">
      <c r="A219" s="103"/>
      <c r="B219" s="103"/>
      <c r="C219" s="105"/>
      <c r="D219" s="105"/>
      <c r="E219" s="105"/>
      <c r="F219" s="105"/>
      <c r="G219" s="105"/>
      <c r="H219" s="108"/>
      <c r="I219" s="108"/>
      <c r="J219" s="106"/>
      <c r="K219" s="106"/>
      <c r="L219" s="107"/>
      <c r="M219" s="106"/>
      <c r="N219" s="104"/>
      <c r="O219" s="104"/>
      <c r="P219" s="104"/>
      <c r="Q219" s="104"/>
      <c r="R219" s="115"/>
      <c r="S219" s="115"/>
      <c r="T219" s="105"/>
      <c r="U219" s="105"/>
      <c r="V219" s="105"/>
      <c r="W219" s="116"/>
    </row>
    <row r="220" spans="1:23" ht="15.75" hidden="1" customHeight="1">
      <c r="A220" s="103"/>
      <c r="B220" s="103"/>
      <c r="C220" s="105"/>
      <c r="D220" s="105"/>
      <c r="E220" s="105"/>
      <c r="F220" s="105"/>
      <c r="G220" s="105"/>
      <c r="H220" s="108"/>
      <c r="I220" s="108"/>
      <c r="J220" s="106"/>
      <c r="K220" s="106"/>
      <c r="L220" s="107"/>
      <c r="M220" s="106"/>
      <c r="N220" s="104"/>
      <c r="O220" s="104"/>
      <c r="P220" s="104"/>
      <c r="Q220" s="104"/>
      <c r="R220" s="115"/>
      <c r="S220" s="115"/>
      <c r="T220" s="105"/>
      <c r="U220" s="105"/>
      <c r="V220" s="105"/>
      <c r="W220" s="116"/>
    </row>
    <row r="221" spans="1:23" ht="15.75" hidden="1" customHeight="1">
      <c r="A221" s="103"/>
      <c r="B221" s="103"/>
      <c r="C221" s="105"/>
      <c r="D221" s="105"/>
      <c r="E221" s="105"/>
      <c r="F221" s="105"/>
      <c r="G221" s="105"/>
      <c r="H221" s="108"/>
      <c r="I221" s="108"/>
      <c r="J221" s="106"/>
      <c r="K221" s="106"/>
      <c r="L221" s="107"/>
      <c r="M221" s="106"/>
      <c r="N221" s="104"/>
      <c r="O221" s="104"/>
      <c r="P221" s="104"/>
      <c r="Q221" s="104"/>
      <c r="R221" s="115"/>
      <c r="S221" s="115"/>
      <c r="T221" s="105"/>
      <c r="U221" s="105"/>
      <c r="V221" s="105"/>
      <c r="W221" s="116"/>
    </row>
    <row r="222" spans="1:23" ht="15.75" hidden="1" customHeight="1">
      <c r="A222" s="103"/>
      <c r="B222" s="103"/>
      <c r="C222" s="105"/>
      <c r="D222" s="105"/>
      <c r="E222" s="105"/>
      <c r="F222" s="105"/>
      <c r="G222" s="105"/>
      <c r="H222" s="108"/>
      <c r="I222" s="108"/>
      <c r="J222" s="106"/>
      <c r="K222" s="106"/>
      <c r="L222" s="107"/>
      <c r="M222" s="106"/>
      <c r="N222" s="104"/>
      <c r="O222" s="104"/>
      <c r="P222" s="104"/>
      <c r="Q222" s="104"/>
      <c r="R222" s="115"/>
      <c r="S222" s="115"/>
      <c r="T222" s="105"/>
      <c r="U222" s="105"/>
      <c r="V222" s="105"/>
      <c r="W222" s="116"/>
    </row>
    <row r="223" spans="1:23" ht="15.75" hidden="1" customHeight="1">
      <c r="A223" s="103"/>
      <c r="B223" s="103"/>
      <c r="C223" s="105"/>
      <c r="D223" s="105"/>
      <c r="E223" s="105"/>
      <c r="F223" s="105"/>
      <c r="G223" s="105"/>
      <c r="H223" s="108"/>
      <c r="I223" s="108"/>
      <c r="J223" s="106"/>
      <c r="K223" s="106"/>
      <c r="L223" s="107"/>
      <c r="M223" s="106"/>
      <c r="N223" s="104"/>
      <c r="O223" s="104"/>
      <c r="P223" s="104"/>
      <c r="Q223" s="104"/>
      <c r="R223" s="115"/>
      <c r="S223" s="115"/>
      <c r="T223" s="105"/>
      <c r="U223" s="105"/>
      <c r="V223" s="105"/>
      <c r="W223" s="116"/>
    </row>
    <row r="224" spans="1:23" ht="15.75" hidden="1" customHeight="1">
      <c r="A224" s="103"/>
      <c r="B224" s="103"/>
      <c r="C224" s="105"/>
      <c r="D224" s="105"/>
      <c r="E224" s="105"/>
      <c r="F224" s="105"/>
      <c r="G224" s="105"/>
      <c r="H224" s="108"/>
      <c r="I224" s="108"/>
      <c r="J224" s="106"/>
      <c r="K224" s="106"/>
      <c r="L224" s="107"/>
      <c r="M224" s="106"/>
      <c r="N224" s="104"/>
      <c r="O224" s="104"/>
      <c r="P224" s="104"/>
      <c r="Q224" s="104"/>
      <c r="R224" s="115"/>
      <c r="S224" s="115"/>
      <c r="T224" s="105"/>
      <c r="U224" s="105"/>
      <c r="V224" s="105"/>
      <c r="W224" s="116"/>
    </row>
    <row r="225" spans="1:23" ht="15.75" hidden="1" customHeight="1">
      <c r="A225" s="103"/>
      <c r="B225" s="103"/>
      <c r="C225" s="105"/>
      <c r="D225" s="105"/>
      <c r="E225" s="105"/>
      <c r="F225" s="105"/>
      <c r="G225" s="105"/>
      <c r="H225" s="108"/>
      <c r="I225" s="108"/>
      <c r="J225" s="106"/>
      <c r="K225" s="106"/>
      <c r="L225" s="107"/>
      <c r="M225" s="106"/>
      <c r="N225" s="104"/>
      <c r="O225" s="104"/>
      <c r="P225" s="104"/>
      <c r="Q225" s="104"/>
      <c r="R225" s="115"/>
      <c r="S225" s="115"/>
      <c r="T225" s="105"/>
      <c r="U225" s="105"/>
      <c r="V225" s="105"/>
      <c r="W225" s="116"/>
    </row>
    <row r="226" spans="1:23" ht="15.75" hidden="1" customHeight="1">
      <c r="A226" s="103"/>
      <c r="B226" s="103"/>
      <c r="C226" s="105"/>
      <c r="D226" s="105"/>
      <c r="E226" s="105"/>
      <c r="F226" s="105"/>
      <c r="G226" s="105"/>
      <c r="H226" s="108"/>
      <c r="I226" s="108"/>
      <c r="J226" s="106"/>
      <c r="K226" s="106"/>
      <c r="L226" s="107"/>
      <c r="M226" s="106"/>
      <c r="N226" s="104"/>
      <c r="O226" s="104"/>
      <c r="P226" s="104"/>
      <c r="Q226" s="104"/>
      <c r="R226" s="115"/>
      <c r="S226" s="115"/>
      <c r="T226" s="105"/>
      <c r="U226" s="105"/>
      <c r="V226" s="105"/>
      <c r="W226" s="116"/>
    </row>
    <row r="227" spans="1:23" ht="15.75" hidden="1" customHeight="1">
      <c r="A227" s="103"/>
      <c r="B227" s="103"/>
      <c r="C227" s="105"/>
      <c r="D227" s="105"/>
      <c r="E227" s="105"/>
      <c r="F227" s="105"/>
      <c r="G227" s="105"/>
      <c r="H227" s="108"/>
      <c r="I227" s="108"/>
      <c r="J227" s="106"/>
      <c r="K227" s="106"/>
      <c r="L227" s="107"/>
      <c r="M227" s="106"/>
      <c r="N227" s="104"/>
      <c r="O227" s="104"/>
      <c r="P227" s="104"/>
      <c r="Q227" s="104"/>
      <c r="R227" s="115"/>
      <c r="S227" s="115"/>
      <c r="T227" s="105"/>
      <c r="U227" s="105"/>
      <c r="V227" s="105"/>
      <c r="W227" s="116"/>
    </row>
    <row r="228" spans="1:23" ht="15.75" hidden="1" customHeight="1">
      <c r="A228" s="103"/>
      <c r="B228" s="103"/>
      <c r="C228" s="105"/>
      <c r="D228" s="105"/>
      <c r="E228" s="105"/>
      <c r="F228" s="105"/>
      <c r="G228" s="105"/>
      <c r="H228" s="108"/>
      <c r="I228" s="108"/>
      <c r="J228" s="106"/>
      <c r="K228" s="106"/>
      <c r="L228" s="107"/>
      <c r="M228" s="106"/>
      <c r="N228" s="104"/>
      <c r="O228" s="104"/>
      <c r="P228" s="104"/>
      <c r="Q228" s="104"/>
      <c r="R228" s="115"/>
      <c r="S228" s="115"/>
      <c r="T228" s="105"/>
      <c r="U228" s="105"/>
      <c r="V228" s="105"/>
      <c r="W228" s="116"/>
    </row>
    <row r="229" spans="1:23" ht="15.75" hidden="1" customHeight="1">
      <c r="A229" s="103"/>
      <c r="B229" s="103"/>
      <c r="C229" s="105"/>
      <c r="D229" s="105"/>
      <c r="E229" s="105"/>
      <c r="F229" s="105"/>
      <c r="G229" s="105"/>
      <c r="H229" s="108"/>
      <c r="I229" s="108"/>
      <c r="J229" s="106"/>
      <c r="K229" s="106"/>
      <c r="L229" s="107"/>
      <c r="M229" s="106"/>
      <c r="N229" s="104"/>
      <c r="O229" s="104"/>
      <c r="P229" s="104"/>
      <c r="Q229" s="104"/>
      <c r="R229" s="115"/>
      <c r="S229" s="115"/>
      <c r="T229" s="105"/>
      <c r="U229" s="105"/>
      <c r="V229" s="105"/>
      <c r="W229" s="116"/>
    </row>
    <row r="230" spans="1:23" ht="15.75" hidden="1" customHeight="1">
      <c r="A230" s="103"/>
      <c r="B230" s="103"/>
      <c r="C230" s="105"/>
      <c r="D230" s="105"/>
      <c r="E230" s="105"/>
      <c r="F230" s="105"/>
      <c r="G230" s="105"/>
      <c r="H230" s="108"/>
      <c r="I230" s="108"/>
      <c r="J230" s="106"/>
      <c r="K230" s="106"/>
      <c r="L230" s="107"/>
      <c r="M230" s="106"/>
      <c r="N230" s="104"/>
      <c r="O230" s="104"/>
      <c r="P230" s="104"/>
      <c r="Q230" s="104"/>
      <c r="R230" s="115"/>
      <c r="S230" s="115"/>
      <c r="T230" s="105"/>
      <c r="U230" s="105"/>
      <c r="V230" s="105"/>
      <c r="W230" s="116"/>
    </row>
    <row r="231" spans="1:23" ht="15.75" hidden="1" customHeight="1">
      <c r="A231" s="103"/>
      <c r="B231" s="103"/>
      <c r="C231" s="105"/>
      <c r="D231" s="105"/>
      <c r="E231" s="105"/>
      <c r="F231" s="105"/>
      <c r="G231" s="105"/>
      <c r="H231" s="108"/>
      <c r="I231" s="108"/>
      <c r="J231" s="106"/>
      <c r="K231" s="106"/>
      <c r="L231" s="107"/>
      <c r="M231" s="106"/>
      <c r="N231" s="104"/>
      <c r="O231" s="104"/>
      <c r="P231" s="104"/>
      <c r="Q231" s="104"/>
      <c r="R231" s="115"/>
      <c r="S231" s="115"/>
      <c r="T231" s="105"/>
      <c r="U231" s="105"/>
      <c r="V231" s="105"/>
      <c r="W231" s="116"/>
    </row>
    <row r="232" spans="1:23" ht="15.75" hidden="1" customHeight="1">
      <c r="A232" s="103"/>
      <c r="B232" s="103"/>
      <c r="C232" s="105"/>
      <c r="D232" s="105"/>
      <c r="E232" s="105"/>
      <c r="F232" s="105"/>
      <c r="G232" s="105"/>
      <c r="H232" s="108"/>
      <c r="I232" s="108"/>
      <c r="J232" s="106"/>
      <c r="K232" s="106"/>
      <c r="L232" s="107"/>
      <c r="M232" s="106"/>
      <c r="N232" s="104"/>
      <c r="O232" s="104"/>
      <c r="P232" s="104"/>
      <c r="Q232" s="104"/>
      <c r="R232" s="115"/>
      <c r="S232" s="115"/>
      <c r="T232" s="105"/>
      <c r="U232" s="105"/>
      <c r="V232" s="105"/>
      <c r="W232" s="116"/>
    </row>
    <row r="233" spans="1:23" ht="15.75" hidden="1" customHeight="1">
      <c r="A233" s="103"/>
      <c r="B233" s="103"/>
      <c r="C233" s="105"/>
      <c r="D233" s="105"/>
      <c r="E233" s="105"/>
      <c r="F233" s="105"/>
      <c r="G233" s="105"/>
      <c r="H233" s="108"/>
      <c r="I233" s="108"/>
      <c r="J233" s="106"/>
      <c r="K233" s="106"/>
      <c r="L233" s="107"/>
      <c r="M233" s="106"/>
      <c r="N233" s="104"/>
      <c r="O233" s="104"/>
      <c r="P233" s="104"/>
      <c r="Q233" s="104"/>
      <c r="R233" s="115"/>
      <c r="S233" s="115"/>
      <c r="T233" s="105"/>
      <c r="U233" s="105"/>
      <c r="V233" s="105"/>
      <c r="W233" s="116"/>
    </row>
    <row r="234" spans="1:23" ht="15.75" hidden="1" customHeight="1">
      <c r="A234" s="103"/>
      <c r="B234" s="103"/>
      <c r="C234" s="105"/>
      <c r="D234" s="105"/>
      <c r="E234" s="105"/>
      <c r="F234" s="105"/>
      <c r="G234" s="105"/>
      <c r="H234" s="108"/>
      <c r="I234" s="108"/>
      <c r="J234" s="106"/>
      <c r="K234" s="106"/>
      <c r="L234" s="107"/>
      <c r="M234" s="106"/>
      <c r="N234" s="104"/>
      <c r="O234" s="104"/>
      <c r="P234" s="104"/>
      <c r="Q234" s="104"/>
      <c r="R234" s="115"/>
      <c r="S234" s="115"/>
      <c r="T234" s="105"/>
      <c r="U234" s="105"/>
      <c r="V234" s="105"/>
      <c r="W234" s="116"/>
    </row>
    <row r="235" spans="1:23" ht="15.75" hidden="1" customHeight="1">
      <c r="A235" s="103"/>
      <c r="B235" s="103"/>
      <c r="C235" s="105"/>
      <c r="D235" s="105"/>
      <c r="E235" s="105"/>
      <c r="F235" s="105"/>
      <c r="G235" s="105"/>
      <c r="H235" s="108"/>
      <c r="I235" s="108"/>
      <c r="J235" s="106"/>
      <c r="K235" s="106"/>
      <c r="L235" s="107"/>
      <c r="M235" s="106"/>
      <c r="N235" s="104"/>
      <c r="O235" s="104"/>
      <c r="P235" s="104"/>
      <c r="Q235" s="104"/>
      <c r="R235" s="115"/>
      <c r="S235" s="115"/>
      <c r="T235" s="105"/>
      <c r="U235" s="105"/>
      <c r="V235" s="105"/>
      <c r="W235" s="116"/>
    </row>
    <row r="236" spans="1:23" ht="15.75" hidden="1" customHeight="1">
      <c r="A236" s="103"/>
      <c r="B236" s="103"/>
      <c r="C236" s="105"/>
      <c r="D236" s="105"/>
      <c r="E236" s="105"/>
      <c r="F236" s="105"/>
      <c r="G236" s="105"/>
      <c r="H236" s="108"/>
      <c r="I236" s="108"/>
      <c r="J236" s="106"/>
      <c r="K236" s="106"/>
      <c r="L236" s="107"/>
      <c r="M236" s="106"/>
      <c r="N236" s="104"/>
      <c r="O236" s="104"/>
      <c r="P236" s="104"/>
      <c r="Q236" s="104"/>
      <c r="R236" s="115"/>
      <c r="S236" s="115"/>
      <c r="T236" s="105"/>
      <c r="U236" s="105"/>
      <c r="V236" s="105"/>
      <c r="W236" s="116"/>
    </row>
    <row r="237" spans="1:23" ht="15.75" hidden="1" customHeight="1">
      <c r="A237" s="103"/>
      <c r="B237" s="103"/>
      <c r="C237" s="105"/>
      <c r="D237" s="105"/>
      <c r="E237" s="105"/>
      <c r="F237" s="105"/>
      <c r="G237" s="105"/>
      <c r="H237" s="108"/>
      <c r="I237" s="108"/>
      <c r="J237" s="106"/>
      <c r="K237" s="106"/>
      <c r="L237" s="107"/>
      <c r="M237" s="106"/>
      <c r="N237" s="104"/>
      <c r="O237" s="104"/>
      <c r="P237" s="104"/>
      <c r="Q237" s="104"/>
      <c r="R237" s="115"/>
      <c r="S237" s="115"/>
      <c r="T237" s="105"/>
      <c r="U237" s="105"/>
      <c r="V237" s="105"/>
      <c r="W237" s="116"/>
    </row>
    <row r="238" spans="1:23" ht="15.75" hidden="1" customHeight="1">
      <c r="A238" s="103"/>
      <c r="B238" s="103"/>
      <c r="C238" s="105"/>
      <c r="D238" s="105"/>
      <c r="E238" s="105"/>
      <c r="F238" s="105"/>
      <c r="G238" s="105"/>
      <c r="H238" s="108"/>
      <c r="I238" s="108"/>
      <c r="J238" s="106"/>
      <c r="K238" s="106"/>
      <c r="L238" s="107"/>
      <c r="M238" s="106"/>
      <c r="N238" s="104"/>
      <c r="O238" s="104"/>
      <c r="P238" s="104"/>
      <c r="Q238" s="104"/>
      <c r="R238" s="115"/>
      <c r="S238" s="115"/>
      <c r="T238" s="105"/>
      <c r="U238" s="105"/>
      <c r="V238" s="105"/>
      <c r="W238" s="116"/>
    </row>
    <row r="239" spans="1:23" ht="15.75" hidden="1" customHeight="1">
      <c r="A239" s="103"/>
      <c r="B239" s="103"/>
      <c r="C239" s="105"/>
      <c r="D239" s="105"/>
      <c r="E239" s="105"/>
      <c r="F239" s="105"/>
      <c r="G239" s="105"/>
      <c r="H239" s="108"/>
      <c r="I239" s="108"/>
      <c r="J239" s="106"/>
      <c r="K239" s="106"/>
      <c r="L239" s="107"/>
      <c r="M239" s="106"/>
      <c r="N239" s="104"/>
      <c r="O239" s="104"/>
      <c r="P239" s="104"/>
      <c r="Q239" s="104"/>
      <c r="R239" s="115"/>
      <c r="S239" s="115"/>
      <c r="T239" s="105"/>
      <c r="U239" s="105"/>
      <c r="V239" s="105"/>
      <c r="W239" s="116"/>
    </row>
    <row r="240" spans="1:23" ht="15.75" hidden="1" customHeight="1">
      <c r="A240" s="103"/>
      <c r="B240" s="103"/>
      <c r="C240" s="105"/>
      <c r="D240" s="105"/>
      <c r="E240" s="105"/>
      <c r="F240" s="105"/>
      <c r="G240" s="105"/>
      <c r="H240" s="108"/>
      <c r="I240" s="108"/>
      <c r="J240" s="106"/>
      <c r="K240" s="106"/>
      <c r="L240" s="107"/>
      <c r="M240" s="106"/>
      <c r="N240" s="104"/>
      <c r="O240" s="104"/>
      <c r="P240" s="104"/>
      <c r="Q240" s="104"/>
      <c r="R240" s="115"/>
      <c r="S240" s="115"/>
      <c r="T240" s="105"/>
      <c r="U240" s="105"/>
      <c r="V240" s="105"/>
      <c r="W240" s="116"/>
    </row>
    <row r="241" spans="1:23" ht="15.75" hidden="1" customHeight="1">
      <c r="A241" s="103"/>
      <c r="B241" s="103"/>
      <c r="C241" s="105"/>
      <c r="D241" s="105"/>
      <c r="E241" s="105"/>
      <c r="F241" s="105"/>
      <c r="G241" s="105"/>
      <c r="H241" s="108"/>
      <c r="I241" s="108"/>
      <c r="J241" s="106"/>
      <c r="K241" s="106"/>
      <c r="L241" s="107"/>
      <c r="M241" s="106"/>
      <c r="N241" s="104"/>
      <c r="O241" s="104"/>
      <c r="P241" s="104"/>
      <c r="Q241" s="104"/>
      <c r="R241" s="115"/>
      <c r="S241" s="115"/>
      <c r="T241" s="105"/>
      <c r="U241" s="105"/>
      <c r="V241" s="105"/>
      <c r="W241" s="116"/>
    </row>
    <row r="242" spans="1:23" ht="15.75" hidden="1" customHeight="1">
      <c r="A242" s="103"/>
      <c r="B242" s="103"/>
      <c r="C242" s="105"/>
      <c r="D242" s="105"/>
      <c r="E242" s="105"/>
      <c r="F242" s="105"/>
      <c r="G242" s="105"/>
      <c r="H242" s="108"/>
      <c r="I242" s="108"/>
      <c r="J242" s="106"/>
      <c r="K242" s="106"/>
      <c r="L242" s="107"/>
      <c r="M242" s="106"/>
      <c r="N242" s="104"/>
      <c r="O242" s="104"/>
      <c r="P242" s="104"/>
      <c r="Q242" s="104"/>
      <c r="R242" s="115"/>
      <c r="S242" s="115"/>
      <c r="T242" s="105"/>
      <c r="U242" s="105"/>
      <c r="V242" s="105"/>
      <c r="W242" s="116"/>
    </row>
    <row r="243" spans="1:23" ht="15.75" hidden="1" customHeight="1">
      <c r="A243" s="103"/>
      <c r="B243" s="103"/>
      <c r="C243" s="105"/>
      <c r="D243" s="105"/>
      <c r="E243" s="105"/>
      <c r="F243" s="105"/>
      <c r="G243" s="105"/>
      <c r="H243" s="108"/>
      <c r="I243" s="108"/>
      <c r="J243" s="106"/>
      <c r="K243" s="106"/>
      <c r="L243" s="107"/>
      <c r="M243" s="106"/>
      <c r="N243" s="104"/>
      <c r="O243" s="104"/>
      <c r="P243" s="104"/>
      <c r="Q243" s="104"/>
      <c r="R243" s="115"/>
      <c r="S243" s="115"/>
      <c r="T243" s="105"/>
      <c r="U243" s="105"/>
      <c r="V243" s="105"/>
      <c r="W243" s="116"/>
    </row>
    <row r="244" spans="1:23" ht="15.75" hidden="1" customHeight="1">
      <c r="A244" s="103"/>
      <c r="B244" s="103"/>
      <c r="C244" s="105"/>
      <c r="D244" s="105"/>
      <c r="E244" s="105"/>
      <c r="F244" s="105"/>
      <c r="G244" s="105"/>
      <c r="H244" s="108"/>
      <c r="I244" s="108"/>
      <c r="J244" s="106"/>
      <c r="K244" s="106"/>
      <c r="L244" s="107"/>
      <c r="M244" s="106"/>
      <c r="N244" s="104"/>
      <c r="O244" s="104"/>
      <c r="P244" s="104"/>
      <c r="Q244" s="104"/>
      <c r="R244" s="115"/>
      <c r="S244" s="115"/>
      <c r="T244" s="105"/>
      <c r="U244" s="105"/>
      <c r="V244" s="105"/>
      <c r="W244" s="116"/>
    </row>
    <row r="245" spans="1:23" ht="15.75" hidden="1" customHeight="1">
      <c r="A245" s="103"/>
      <c r="B245" s="103"/>
      <c r="C245" s="105"/>
      <c r="D245" s="105"/>
      <c r="E245" s="105"/>
      <c r="F245" s="105"/>
      <c r="G245" s="105"/>
      <c r="H245" s="108"/>
      <c r="I245" s="108"/>
      <c r="J245" s="106"/>
      <c r="K245" s="106"/>
      <c r="L245" s="107"/>
      <c r="M245" s="106"/>
      <c r="N245" s="104"/>
      <c r="O245" s="104"/>
      <c r="P245" s="104"/>
      <c r="Q245" s="104"/>
      <c r="R245" s="115"/>
      <c r="S245" s="115"/>
      <c r="T245" s="105"/>
      <c r="U245" s="105"/>
      <c r="V245" s="105"/>
      <c r="W245" s="116"/>
    </row>
    <row r="246" spans="1:23" ht="15.75" hidden="1" customHeight="1">
      <c r="A246" s="103"/>
      <c r="B246" s="103"/>
      <c r="C246" s="105"/>
      <c r="D246" s="105"/>
      <c r="E246" s="105"/>
      <c r="F246" s="105"/>
      <c r="G246" s="105"/>
      <c r="H246" s="108"/>
      <c r="I246" s="108"/>
      <c r="J246" s="106"/>
      <c r="K246" s="106"/>
      <c r="L246" s="107"/>
      <c r="M246" s="106"/>
      <c r="N246" s="104"/>
      <c r="O246" s="104"/>
      <c r="P246" s="104"/>
      <c r="Q246" s="104"/>
      <c r="R246" s="115"/>
      <c r="S246" s="115"/>
      <c r="T246" s="105"/>
      <c r="U246" s="105"/>
      <c r="V246" s="105"/>
      <c r="W246" s="116"/>
    </row>
    <row r="247" spans="1:23" ht="15.75" hidden="1" customHeight="1">
      <c r="A247" s="103"/>
      <c r="B247" s="103"/>
      <c r="C247" s="105"/>
      <c r="D247" s="105"/>
      <c r="E247" s="105"/>
      <c r="F247" s="105"/>
      <c r="G247" s="105"/>
      <c r="H247" s="108"/>
      <c r="I247" s="108"/>
      <c r="J247" s="106"/>
      <c r="K247" s="106"/>
      <c r="L247" s="107"/>
      <c r="M247" s="106"/>
      <c r="N247" s="104"/>
      <c r="O247" s="104"/>
      <c r="P247" s="104"/>
      <c r="Q247" s="104"/>
      <c r="R247" s="115"/>
      <c r="S247" s="115"/>
      <c r="T247" s="105"/>
      <c r="U247" s="105"/>
      <c r="V247" s="105"/>
      <c r="W247" s="116"/>
    </row>
    <row r="248" spans="1:23" ht="15.75" hidden="1" customHeight="1">
      <c r="A248" s="103"/>
      <c r="B248" s="103"/>
      <c r="C248" s="105"/>
      <c r="D248" s="105"/>
      <c r="E248" s="105"/>
      <c r="F248" s="105"/>
      <c r="G248" s="105"/>
      <c r="H248" s="108"/>
      <c r="I248" s="108"/>
      <c r="J248" s="106"/>
      <c r="K248" s="106"/>
      <c r="L248" s="107"/>
      <c r="M248" s="106"/>
      <c r="N248" s="104"/>
      <c r="O248" s="104"/>
      <c r="P248" s="104"/>
      <c r="Q248" s="104"/>
      <c r="R248" s="115"/>
      <c r="S248" s="115"/>
      <c r="T248" s="105"/>
      <c r="U248" s="105"/>
      <c r="V248" s="105"/>
      <c r="W248" s="116"/>
    </row>
    <row r="249" spans="1:23" ht="15.75" hidden="1" customHeight="1">
      <c r="A249" s="103"/>
      <c r="B249" s="103"/>
      <c r="C249" s="105"/>
      <c r="D249" s="105"/>
      <c r="E249" s="105"/>
      <c r="F249" s="105"/>
      <c r="G249" s="105"/>
      <c r="H249" s="108"/>
      <c r="I249" s="108"/>
      <c r="J249" s="106"/>
      <c r="K249" s="106"/>
      <c r="L249" s="107"/>
      <c r="M249" s="106"/>
      <c r="N249" s="104"/>
      <c r="O249" s="104"/>
      <c r="P249" s="104"/>
      <c r="Q249" s="104"/>
      <c r="R249" s="115"/>
      <c r="S249" s="115"/>
      <c r="T249" s="105"/>
      <c r="U249" s="105"/>
      <c r="V249" s="105"/>
      <c r="W249" s="116"/>
    </row>
    <row r="250" spans="1:23" ht="15.75" hidden="1" customHeight="1">
      <c r="A250" s="103"/>
      <c r="B250" s="103"/>
      <c r="C250" s="105"/>
      <c r="D250" s="105"/>
      <c r="E250" s="105"/>
      <c r="F250" s="105"/>
      <c r="G250" s="105"/>
      <c r="H250" s="108"/>
      <c r="I250" s="108"/>
      <c r="J250" s="106"/>
      <c r="K250" s="106"/>
      <c r="L250" s="107"/>
      <c r="M250" s="106"/>
      <c r="N250" s="104"/>
      <c r="O250" s="104"/>
      <c r="P250" s="104"/>
      <c r="Q250" s="104"/>
      <c r="R250" s="115"/>
      <c r="S250" s="115"/>
      <c r="T250" s="105"/>
      <c r="U250" s="105"/>
      <c r="V250" s="105"/>
      <c r="W250" s="116"/>
    </row>
    <row r="251" spans="1:23" ht="15.75" hidden="1" customHeight="1">
      <c r="A251" s="103"/>
      <c r="B251" s="103"/>
      <c r="C251" s="105"/>
      <c r="D251" s="105"/>
      <c r="E251" s="105"/>
      <c r="F251" s="105"/>
      <c r="G251" s="105"/>
      <c r="H251" s="108"/>
      <c r="I251" s="108"/>
      <c r="J251" s="106"/>
      <c r="K251" s="106"/>
      <c r="L251" s="107"/>
      <c r="M251" s="106"/>
      <c r="N251" s="104"/>
      <c r="O251" s="104"/>
      <c r="P251" s="104"/>
      <c r="Q251" s="104"/>
      <c r="R251" s="115"/>
      <c r="S251" s="115"/>
      <c r="T251" s="105"/>
      <c r="U251" s="105"/>
      <c r="V251" s="105"/>
      <c r="W251" s="116"/>
    </row>
    <row r="252" spans="1:23" ht="15.75" hidden="1" customHeight="1">
      <c r="A252" s="103"/>
      <c r="B252" s="103"/>
      <c r="C252" s="105"/>
      <c r="D252" s="105"/>
      <c r="E252" s="105"/>
      <c r="F252" s="105"/>
      <c r="G252" s="105"/>
      <c r="H252" s="108"/>
      <c r="I252" s="108"/>
      <c r="J252" s="106"/>
      <c r="K252" s="106"/>
      <c r="L252" s="107"/>
      <c r="M252" s="106"/>
      <c r="N252" s="104"/>
      <c r="O252" s="104"/>
      <c r="P252" s="104"/>
      <c r="Q252" s="104"/>
      <c r="R252" s="115"/>
      <c r="S252" s="115"/>
      <c r="T252" s="105"/>
      <c r="U252" s="105"/>
      <c r="V252" s="105"/>
      <c r="W252" s="116"/>
    </row>
    <row r="253" spans="1:23" ht="15.75" hidden="1" customHeight="1">
      <c r="A253" s="103"/>
      <c r="B253" s="103"/>
      <c r="C253" s="105"/>
      <c r="D253" s="105"/>
      <c r="E253" s="105"/>
      <c r="F253" s="105"/>
      <c r="G253" s="105"/>
      <c r="H253" s="108"/>
      <c r="I253" s="108"/>
      <c r="J253" s="106"/>
      <c r="K253" s="106"/>
      <c r="L253" s="107"/>
      <c r="M253" s="106"/>
      <c r="N253" s="104"/>
      <c r="O253" s="104"/>
      <c r="P253" s="104"/>
      <c r="Q253" s="104"/>
      <c r="R253" s="115"/>
      <c r="S253" s="115"/>
      <c r="T253" s="105"/>
      <c r="U253" s="105"/>
      <c r="V253" s="105"/>
      <c r="W253" s="116"/>
    </row>
    <row r="254" spans="1:23" ht="15.75" hidden="1" customHeight="1">
      <c r="A254" s="103"/>
      <c r="B254" s="103"/>
      <c r="C254" s="105"/>
      <c r="D254" s="105"/>
      <c r="E254" s="105"/>
      <c r="F254" s="105"/>
      <c r="G254" s="105"/>
      <c r="H254" s="108"/>
      <c r="I254" s="108"/>
      <c r="J254" s="106"/>
      <c r="K254" s="106"/>
      <c r="L254" s="107"/>
      <c r="M254" s="106"/>
      <c r="N254" s="104"/>
      <c r="O254" s="104"/>
      <c r="P254" s="104"/>
      <c r="Q254" s="104"/>
      <c r="R254" s="115"/>
      <c r="S254" s="115"/>
      <c r="T254" s="105"/>
      <c r="U254" s="105"/>
      <c r="V254" s="105"/>
      <c r="W254" s="116"/>
    </row>
    <row r="255" spans="1:23" ht="15.75" hidden="1" customHeight="1">
      <c r="A255" s="103"/>
      <c r="B255" s="103"/>
      <c r="C255" s="105"/>
      <c r="D255" s="105"/>
      <c r="E255" s="105"/>
      <c r="F255" s="105"/>
      <c r="G255" s="105"/>
      <c r="H255" s="108"/>
      <c r="I255" s="108"/>
      <c r="J255" s="106"/>
      <c r="K255" s="106"/>
      <c r="L255" s="107"/>
      <c r="M255" s="106"/>
      <c r="N255" s="104"/>
      <c r="O255" s="104"/>
      <c r="P255" s="104"/>
      <c r="Q255" s="104"/>
      <c r="R255" s="115"/>
      <c r="S255" s="115"/>
      <c r="T255" s="105"/>
      <c r="U255" s="105"/>
      <c r="V255" s="105"/>
      <c r="W255" s="116"/>
    </row>
    <row r="256" spans="1:23" ht="15.75" hidden="1" customHeight="1">
      <c r="A256" s="103"/>
      <c r="B256" s="103"/>
      <c r="C256" s="105"/>
      <c r="D256" s="105"/>
      <c r="E256" s="105"/>
      <c r="F256" s="105"/>
      <c r="G256" s="105"/>
      <c r="H256" s="108"/>
      <c r="I256" s="108"/>
      <c r="J256" s="106"/>
      <c r="K256" s="106"/>
      <c r="L256" s="107"/>
      <c r="M256" s="106"/>
      <c r="N256" s="104"/>
      <c r="O256" s="104"/>
      <c r="P256" s="104"/>
      <c r="Q256" s="104"/>
      <c r="R256" s="115"/>
      <c r="S256" s="115"/>
      <c r="T256" s="105"/>
      <c r="U256" s="105"/>
      <c r="V256" s="105"/>
      <c r="W256" s="116"/>
    </row>
    <row r="257" spans="1:23" ht="15.75" hidden="1" customHeight="1">
      <c r="A257" s="103"/>
      <c r="B257" s="103"/>
      <c r="C257" s="105"/>
      <c r="D257" s="105"/>
      <c r="E257" s="105"/>
      <c r="F257" s="105"/>
      <c r="G257" s="105"/>
      <c r="H257" s="108"/>
      <c r="I257" s="108"/>
      <c r="J257" s="106"/>
      <c r="K257" s="106"/>
      <c r="L257" s="107"/>
      <c r="M257" s="106"/>
      <c r="N257" s="104"/>
      <c r="O257" s="104"/>
      <c r="P257" s="104"/>
      <c r="Q257" s="104"/>
      <c r="R257" s="115"/>
      <c r="S257" s="115"/>
      <c r="T257" s="105"/>
      <c r="U257" s="105"/>
      <c r="V257" s="105"/>
      <c r="W257" s="116"/>
    </row>
    <row r="258" spans="1:23" ht="15.75" hidden="1" customHeight="1">
      <c r="A258" s="103"/>
      <c r="B258" s="103"/>
      <c r="C258" s="105"/>
      <c r="D258" s="105"/>
      <c r="E258" s="105"/>
      <c r="F258" s="105"/>
      <c r="G258" s="105"/>
      <c r="H258" s="108"/>
      <c r="I258" s="108"/>
      <c r="J258" s="106"/>
      <c r="K258" s="106"/>
      <c r="L258" s="107"/>
      <c r="M258" s="106"/>
      <c r="N258" s="104"/>
      <c r="O258" s="104"/>
      <c r="P258" s="104"/>
      <c r="Q258" s="104"/>
      <c r="R258" s="115"/>
      <c r="S258" s="115"/>
      <c r="T258" s="105"/>
      <c r="U258" s="105"/>
      <c r="V258" s="105"/>
      <c r="W258" s="116"/>
    </row>
    <row r="259" spans="1:23" ht="15.75" hidden="1" customHeight="1">
      <c r="A259" s="103"/>
      <c r="B259" s="103"/>
      <c r="C259" s="105"/>
      <c r="D259" s="105"/>
      <c r="E259" s="105"/>
      <c r="F259" s="105"/>
      <c r="G259" s="105"/>
      <c r="H259" s="108"/>
      <c r="I259" s="108"/>
      <c r="J259" s="106"/>
      <c r="K259" s="106"/>
      <c r="L259" s="107"/>
      <c r="M259" s="106"/>
      <c r="N259" s="104"/>
      <c r="O259" s="104"/>
      <c r="P259" s="104"/>
      <c r="Q259" s="104"/>
      <c r="R259" s="115"/>
      <c r="S259" s="115"/>
      <c r="T259" s="105"/>
      <c r="U259" s="105"/>
      <c r="V259" s="105"/>
      <c r="W259" s="116"/>
    </row>
    <row r="260" spans="1:23" ht="15.75" hidden="1" customHeight="1">
      <c r="A260" s="103"/>
      <c r="B260" s="103"/>
      <c r="C260" s="105"/>
      <c r="D260" s="105"/>
      <c r="E260" s="105"/>
      <c r="F260" s="105"/>
      <c r="G260" s="105"/>
      <c r="H260" s="108"/>
      <c r="I260" s="108"/>
      <c r="J260" s="106"/>
      <c r="K260" s="106"/>
      <c r="L260" s="107"/>
      <c r="M260" s="106"/>
      <c r="N260" s="104"/>
      <c r="O260" s="104"/>
      <c r="P260" s="104"/>
      <c r="Q260" s="104"/>
      <c r="R260" s="115"/>
      <c r="S260" s="115"/>
      <c r="T260" s="105"/>
      <c r="U260" s="105"/>
      <c r="V260" s="105"/>
      <c r="W260" s="116"/>
    </row>
    <row r="261" spans="1:23" ht="15.75" hidden="1" customHeight="1">
      <c r="A261" s="103"/>
      <c r="B261" s="103"/>
      <c r="C261" s="105"/>
      <c r="D261" s="105"/>
      <c r="E261" s="105"/>
      <c r="F261" s="105"/>
      <c r="G261" s="105"/>
      <c r="H261" s="108"/>
      <c r="I261" s="108"/>
      <c r="J261" s="106"/>
      <c r="K261" s="106"/>
      <c r="L261" s="107"/>
      <c r="M261" s="106"/>
      <c r="N261" s="104"/>
      <c r="O261" s="104"/>
      <c r="P261" s="104"/>
      <c r="Q261" s="104"/>
      <c r="R261" s="115"/>
      <c r="S261" s="115"/>
      <c r="T261" s="105"/>
      <c r="U261" s="105"/>
      <c r="V261" s="105"/>
      <c r="W261" s="116"/>
    </row>
    <row r="262" spans="1:23" ht="15.75" hidden="1" customHeight="1">
      <c r="A262" s="103"/>
      <c r="B262" s="103"/>
      <c r="C262" s="105"/>
      <c r="D262" s="105"/>
      <c r="E262" s="105"/>
      <c r="F262" s="105"/>
      <c r="G262" s="105"/>
      <c r="H262" s="108"/>
      <c r="I262" s="108"/>
      <c r="J262" s="106"/>
      <c r="K262" s="106"/>
      <c r="L262" s="107"/>
      <c r="M262" s="106"/>
      <c r="N262" s="104"/>
      <c r="O262" s="104"/>
      <c r="P262" s="104"/>
      <c r="Q262" s="104"/>
      <c r="R262" s="115"/>
      <c r="S262" s="115"/>
      <c r="T262" s="105"/>
      <c r="U262" s="105"/>
      <c r="V262" s="105"/>
      <c r="W262" s="116"/>
    </row>
    <row r="263" spans="1:23" ht="15.75" hidden="1" customHeight="1">
      <c r="A263" s="103"/>
      <c r="B263" s="103"/>
      <c r="C263" s="105"/>
      <c r="D263" s="105"/>
      <c r="E263" s="105"/>
      <c r="F263" s="105"/>
      <c r="G263" s="105"/>
      <c r="H263" s="108"/>
      <c r="I263" s="108"/>
      <c r="J263" s="106"/>
      <c r="K263" s="106"/>
      <c r="L263" s="107"/>
      <c r="M263" s="106"/>
      <c r="N263" s="104"/>
      <c r="O263" s="104"/>
      <c r="P263" s="104"/>
      <c r="Q263" s="104"/>
      <c r="R263" s="115"/>
      <c r="S263" s="115"/>
      <c r="T263" s="105"/>
      <c r="U263" s="105"/>
      <c r="V263" s="105"/>
      <c r="W263" s="116"/>
    </row>
    <row r="264" spans="1:23" ht="15.75" hidden="1" customHeight="1">
      <c r="A264" s="103"/>
      <c r="B264" s="103"/>
      <c r="C264" s="105"/>
      <c r="D264" s="105"/>
      <c r="E264" s="105"/>
      <c r="F264" s="105"/>
      <c r="G264" s="105"/>
      <c r="H264" s="108"/>
      <c r="I264" s="108"/>
      <c r="J264" s="106"/>
      <c r="K264" s="106"/>
      <c r="L264" s="107"/>
      <c r="M264" s="106"/>
      <c r="N264" s="104"/>
      <c r="O264" s="104"/>
      <c r="P264" s="104"/>
      <c r="Q264" s="104"/>
      <c r="R264" s="115"/>
      <c r="S264" s="115"/>
      <c r="T264" s="105"/>
      <c r="U264" s="105"/>
      <c r="V264" s="105"/>
      <c r="W264" s="116"/>
    </row>
    <row r="265" spans="1:23" ht="15.75" hidden="1" customHeight="1">
      <c r="A265" s="103"/>
      <c r="B265" s="103"/>
      <c r="C265" s="105"/>
      <c r="D265" s="105"/>
      <c r="E265" s="105"/>
      <c r="F265" s="105"/>
      <c r="G265" s="105"/>
      <c r="H265" s="108"/>
      <c r="I265" s="108"/>
      <c r="J265" s="106"/>
      <c r="K265" s="107"/>
      <c r="L265" s="106"/>
      <c r="M265" s="104"/>
      <c r="N265" s="104"/>
      <c r="O265" s="104"/>
      <c r="P265" s="104"/>
      <c r="Q265" s="104"/>
      <c r="R265" s="115"/>
      <c r="S265" s="115"/>
      <c r="T265" s="105"/>
      <c r="U265" s="105"/>
      <c r="V265" s="105"/>
      <c r="W265" s="116"/>
    </row>
    <row r="266" spans="1:23" ht="15.75" hidden="1" customHeight="1">
      <c r="A266" s="103"/>
      <c r="B266" s="103"/>
      <c r="C266" s="105"/>
      <c r="D266" s="105"/>
      <c r="E266" s="105"/>
      <c r="F266" s="105"/>
      <c r="G266" s="105"/>
      <c r="H266" s="108"/>
      <c r="I266" s="108"/>
      <c r="J266" s="106"/>
      <c r="K266" s="107"/>
      <c r="L266" s="106"/>
      <c r="M266" s="104"/>
      <c r="N266" s="104"/>
      <c r="O266" s="104"/>
      <c r="P266" s="104"/>
      <c r="Q266" s="104"/>
      <c r="R266" s="115"/>
      <c r="S266" s="115"/>
      <c r="T266" s="105"/>
      <c r="U266" s="105"/>
      <c r="V266" s="105"/>
      <c r="W266" s="116"/>
    </row>
    <row r="267" spans="1:23" ht="15.75" hidden="1" customHeight="1">
      <c r="A267" s="103"/>
      <c r="B267" s="103"/>
      <c r="C267" s="105"/>
      <c r="D267" s="105"/>
      <c r="E267" s="105"/>
      <c r="F267" s="105"/>
      <c r="G267" s="105"/>
      <c r="H267" s="108"/>
      <c r="I267" s="108"/>
      <c r="J267" s="106"/>
      <c r="K267" s="107"/>
      <c r="L267" s="106"/>
      <c r="M267" s="104"/>
      <c r="N267" s="104"/>
      <c r="O267" s="104"/>
      <c r="P267" s="104"/>
      <c r="Q267" s="104"/>
      <c r="R267" s="115"/>
      <c r="S267" s="115"/>
      <c r="T267" s="105"/>
      <c r="U267" s="105"/>
      <c r="V267" s="105"/>
      <c r="W267" s="116"/>
    </row>
    <row r="268" spans="1:23" ht="15.75" hidden="1" customHeight="1">
      <c r="A268" s="103"/>
      <c r="B268" s="103"/>
      <c r="C268" s="105"/>
      <c r="D268" s="105"/>
      <c r="E268" s="105"/>
      <c r="F268" s="105"/>
      <c r="G268" s="105"/>
      <c r="H268" s="108"/>
      <c r="I268" s="108"/>
      <c r="J268" s="106"/>
      <c r="K268" s="107"/>
      <c r="L268" s="106"/>
      <c r="M268" s="104"/>
      <c r="N268" s="104"/>
      <c r="O268" s="104"/>
      <c r="P268" s="104"/>
      <c r="Q268" s="104"/>
      <c r="R268" s="115"/>
      <c r="S268" s="115"/>
      <c r="T268" s="105"/>
      <c r="U268" s="105"/>
      <c r="V268" s="105"/>
      <c r="W268" s="116"/>
    </row>
    <row r="269" spans="1:23" ht="15.75" hidden="1" customHeight="1">
      <c r="A269" s="103"/>
      <c r="B269" s="103"/>
      <c r="C269" s="105"/>
      <c r="D269" s="105"/>
      <c r="E269" s="105"/>
      <c r="F269" s="105"/>
      <c r="G269" s="105"/>
      <c r="H269" s="108"/>
      <c r="I269" s="108"/>
      <c r="J269" s="106"/>
      <c r="K269" s="107"/>
      <c r="L269" s="106"/>
      <c r="M269" s="104"/>
      <c r="N269" s="104"/>
      <c r="O269" s="104"/>
      <c r="P269" s="104"/>
      <c r="Q269" s="104"/>
      <c r="R269" s="115"/>
      <c r="S269" s="115"/>
      <c r="T269" s="105"/>
      <c r="U269" s="105"/>
      <c r="V269" s="105"/>
      <c r="W269" s="116"/>
    </row>
    <row r="270" spans="1:23" ht="15.75" hidden="1" customHeight="1">
      <c r="A270" s="103"/>
      <c r="B270" s="103"/>
      <c r="C270" s="105"/>
      <c r="D270" s="105"/>
      <c r="E270" s="105"/>
      <c r="F270" s="105"/>
      <c r="G270" s="105"/>
      <c r="H270" s="108"/>
      <c r="I270" s="108"/>
      <c r="J270" s="106"/>
      <c r="K270" s="107"/>
      <c r="L270" s="106"/>
      <c r="M270" s="104"/>
      <c r="N270" s="104"/>
      <c r="O270" s="104"/>
      <c r="P270" s="104"/>
      <c r="Q270" s="104"/>
      <c r="R270" s="115"/>
      <c r="S270" s="115"/>
      <c r="T270" s="105"/>
      <c r="U270" s="105"/>
      <c r="V270" s="105"/>
      <c r="W270" s="116"/>
    </row>
    <row r="271" spans="1:23" ht="15.75" hidden="1" customHeight="1">
      <c r="A271" s="103"/>
      <c r="B271" s="103"/>
      <c r="C271" s="105"/>
      <c r="D271" s="105"/>
      <c r="E271" s="105"/>
      <c r="F271" s="105"/>
      <c r="G271" s="105"/>
      <c r="H271" s="108"/>
      <c r="I271" s="108"/>
      <c r="J271" s="106"/>
      <c r="K271" s="107"/>
      <c r="L271" s="106"/>
      <c r="M271" s="104"/>
      <c r="N271" s="104"/>
      <c r="O271" s="104"/>
      <c r="P271" s="104"/>
      <c r="Q271" s="104"/>
      <c r="R271" s="115"/>
      <c r="S271" s="115"/>
      <c r="T271" s="105"/>
      <c r="U271" s="105"/>
      <c r="V271" s="105"/>
      <c r="W271" s="116"/>
    </row>
    <row r="272" spans="1:23" ht="15.75" hidden="1" customHeight="1">
      <c r="A272" s="103"/>
      <c r="B272" s="103"/>
      <c r="C272" s="105"/>
      <c r="D272" s="105"/>
      <c r="E272" s="105"/>
      <c r="F272" s="105"/>
      <c r="G272" s="105"/>
      <c r="H272" s="108"/>
      <c r="I272" s="108"/>
      <c r="J272" s="106"/>
      <c r="K272" s="107"/>
      <c r="L272" s="106"/>
      <c r="M272" s="104"/>
      <c r="N272" s="104"/>
      <c r="O272" s="104"/>
      <c r="P272" s="104"/>
      <c r="Q272" s="104"/>
      <c r="R272" s="115"/>
      <c r="S272" s="115"/>
      <c r="T272" s="105"/>
      <c r="U272" s="105"/>
      <c r="V272" s="105"/>
      <c r="W272" s="116"/>
    </row>
    <row r="273" spans="1:23" ht="15.75" hidden="1" customHeight="1">
      <c r="A273" s="103"/>
      <c r="B273" s="103"/>
      <c r="C273" s="105"/>
      <c r="D273" s="105"/>
      <c r="E273" s="105"/>
      <c r="F273" s="105"/>
      <c r="G273" s="105"/>
      <c r="H273" s="108"/>
      <c r="I273" s="108"/>
      <c r="J273" s="106"/>
      <c r="K273" s="107"/>
      <c r="L273" s="106"/>
      <c r="M273" s="104"/>
      <c r="N273" s="104"/>
      <c r="O273" s="104"/>
      <c r="P273" s="104"/>
      <c r="Q273" s="104"/>
      <c r="R273" s="115"/>
      <c r="S273" s="115"/>
      <c r="T273" s="105"/>
      <c r="U273" s="105"/>
      <c r="V273" s="105"/>
      <c r="W273" s="116"/>
    </row>
    <row r="274" spans="1:23" ht="15.75" hidden="1" customHeight="1">
      <c r="A274" s="103"/>
      <c r="B274" s="103"/>
      <c r="C274" s="105"/>
      <c r="D274" s="105"/>
      <c r="E274" s="105"/>
      <c r="F274" s="105"/>
      <c r="G274" s="105"/>
      <c r="H274" s="108"/>
      <c r="I274" s="108"/>
      <c r="J274" s="106"/>
      <c r="K274" s="107"/>
      <c r="L274" s="106"/>
      <c r="M274" s="104"/>
      <c r="N274" s="104"/>
      <c r="O274" s="104"/>
      <c r="P274" s="104"/>
      <c r="Q274" s="104"/>
      <c r="R274" s="115"/>
      <c r="S274" s="115"/>
      <c r="T274" s="105"/>
      <c r="U274" s="105"/>
      <c r="V274" s="105"/>
      <c r="W274" s="116"/>
    </row>
    <row r="275" spans="1:23" ht="15.75" hidden="1" customHeight="1">
      <c r="A275" s="103"/>
      <c r="B275" s="103"/>
      <c r="C275" s="105"/>
      <c r="D275" s="105"/>
      <c r="E275" s="105"/>
      <c r="F275" s="105"/>
      <c r="G275" s="105"/>
      <c r="H275" s="108"/>
      <c r="I275" s="108"/>
      <c r="J275" s="106"/>
      <c r="K275" s="107"/>
      <c r="L275" s="106"/>
      <c r="M275" s="104"/>
      <c r="N275" s="104"/>
      <c r="O275" s="104"/>
      <c r="P275" s="104"/>
      <c r="Q275" s="104"/>
      <c r="R275" s="115"/>
      <c r="S275" s="115"/>
      <c r="T275" s="105"/>
      <c r="U275" s="105"/>
      <c r="V275" s="105"/>
      <c r="W275" s="116"/>
    </row>
    <row r="276" spans="1:23" ht="15.75" hidden="1" customHeight="1">
      <c r="A276" s="103"/>
      <c r="B276" s="103"/>
      <c r="C276" s="105"/>
      <c r="D276" s="105"/>
      <c r="E276" s="105"/>
      <c r="F276" s="105"/>
      <c r="G276" s="105"/>
      <c r="H276" s="108"/>
      <c r="I276" s="108"/>
      <c r="J276" s="106"/>
      <c r="K276" s="107"/>
      <c r="L276" s="106"/>
      <c r="M276" s="104"/>
      <c r="N276" s="104"/>
      <c r="O276" s="104"/>
      <c r="P276" s="104"/>
      <c r="Q276" s="104"/>
      <c r="R276" s="115"/>
      <c r="S276" s="115"/>
      <c r="T276" s="105"/>
      <c r="U276" s="105"/>
      <c r="V276" s="105"/>
      <c r="W276" s="116"/>
    </row>
    <row r="277" spans="1:23" ht="15.75" hidden="1" customHeight="1">
      <c r="A277" s="103"/>
      <c r="B277" s="103"/>
      <c r="C277" s="105"/>
      <c r="D277" s="105"/>
      <c r="E277" s="105"/>
      <c r="F277" s="105"/>
      <c r="G277" s="105"/>
      <c r="H277" s="108"/>
      <c r="I277" s="108"/>
      <c r="J277" s="106"/>
      <c r="K277" s="107"/>
      <c r="L277" s="106"/>
      <c r="M277" s="104"/>
      <c r="N277" s="104"/>
      <c r="O277" s="104"/>
      <c r="P277" s="104"/>
      <c r="Q277" s="104"/>
      <c r="R277" s="115"/>
      <c r="S277" s="115"/>
      <c r="T277" s="105"/>
      <c r="U277" s="105"/>
      <c r="V277" s="105"/>
      <c r="W277" s="116"/>
    </row>
    <row r="278" spans="1:23" ht="15.75" hidden="1" customHeight="1">
      <c r="A278" s="103"/>
      <c r="B278" s="103"/>
      <c r="C278" s="105"/>
      <c r="D278" s="105"/>
      <c r="E278" s="105"/>
      <c r="F278" s="105"/>
      <c r="G278" s="105"/>
      <c r="H278" s="108"/>
      <c r="I278" s="108"/>
      <c r="J278" s="106"/>
      <c r="K278" s="107"/>
      <c r="L278" s="106"/>
      <c r="M278" s="104"/>
      <c r="N278" s="104"/>
      <c r="O278" s="104"/>
      <c r="P278" s="104"/>
      <c r="Q278" s="104"/>
      <c r="R278" s="115"/>
      <c r="S278" s="115"/>
      <c r="T278" s="105"/>
      <c r="U278" s="105"/>
      <c r="V278" s="105"/>
      <c r="W278" s="116"/>
    </row>
    <row r="279" spans="1:23" ht="15.75" hidden="1" customHeight="1">
      <c r="A279" s="103"/>
      <c r="B279" s="103"/>
      <c r="C279" s="105"/>
      <c r="D279" s="105"/>
      <c r="E279" s="105"/>
      <c r="F279" s="105"/>
      <c r="G279" s="105"/>
      <c r="H279" s="108"/>
      <c r="I279" s="108"/>
      <c r="J279" s="106"/>
      <c r="K279" s="107"/>
      <c r="L279" s="106"/>
      <c r="M279" s="104"/>
      <c r="N279" s="104"/>
      <c r="O279" s="104"/>
      <c r="P279" s="104"/>
      <c r="Q279" s="104"/>
      <c r="R279" s="115"/>
      <c r="S279" s="115"/>
      <c r="T279" s="105"/>
      <c r="U279" s="105"/>
      <c r="V279" s="105"/>
      <c r="W279" s="116"/>
    </row>
    <row r="280" spans="1:23" ht="15.75" hidden="1" customHeight="1"/>
    <row r="281" spans="1:23" ht="15.75" hidden="1" customHeight="1"/>
    <row r="282" spans="1:23" ht="15.75" hidden="1" customHeight="1"/>
    <row r="283" spans="1:23" ht="15.75" hidden="1" customHeight="1"/>
    <row r="284" spans="1:23" ht="15.75" hidden="1" customHeight="1"/>
    <row r="285" spans="1:23" ht="15.75" hidden="1" customHeight="1"/>
    <row r="286" spans="1:23" ht="15.75" hidden="1" customHeight="1"/>
    <row r="287" spans="1:23" ht="15.75" hidden="1" customHeight="1"/>
    <row r="288" spans="1:23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2"/>
  <sheetViews>
    <sheetView workbookViewId="0">
      <selection activeCell="I19" sqref="I19"/>
    </sheetView>
  </sheetViews>
  <sheetFormatPr defaultColWidth="14.42578125" defaultRowHeight="15" customHeight="1"/>
  <cols>
    <col min="1" max="1" width="6.140625" customWidth="1"/>
    <col min="2" max="2" width="19" customWidth="1"/>
    <col min="3" max="9" width="8" customWidth="1"/>
    <col min="10" max="10" width="9.28515625" customWidth="1"/>
    <col min="11" max="22" width="8" customWidth="1"/>
    <col min="23" max="24" width="14.42578125" customWidth="1"/>
    <col min="25" max="26" width="8" customWidth="1"/>
  </cols>
  <sheetData>
    <row r="1" spans="1:26" ht="26.25" customHeight="1">
      <c r="A1" s="232">
        <f>'Final Attainment'!A1:V1</f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69"/>
      <c r="X1" s="69"/>
      <c r="Y1" s="75"/>
      <c r="Z1" s="75"/>
    </row>
    <row r="2" spans="1:26" ht="19.5" customHeight="1">
      <c r="A2" s="233">
        <f>'Final Attainment'!A2:V2</f>
        <v>0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75"/>
      <c r="X2" s="75"/>
      <c r="Y2" s="75"/>
      <c r="Z2" s="75"/>
    </row>
    <row r="3" spans="1:26" ht="15.75" customHeight="1">
      <c r="A3" s="70"/>
      <c r="B3" s="70"/>
      <c r="C3" s="70"/>
      <c r="D3" s="70"/>
      <c r="E3" s="75"/>
      <c r="F3" s="75"/>
      <c r="G3" s="75"/>
      <c r="H3" s="75"/>
      <c r="I3" s="70"/>
      <c r="J3" s="70"/>
      <c r="K3" s="71"/>
      <c r="L3" s="70"/>
      <c r="M3" s="75"/>
      <c r="N3" s="75"/>
      <c r="O3" s="70"/>
      <c r="P3" s="75"/>
      <c r="Q3" s="75"/>
      <c r="R3" s="70"/>
      <c r="S3" s="70"/>
      <c r="T3" s="75"/>
      <c r="U3" s="75"/>
      <c r="V3" s="70"/>
      <c r="W3" s="71"/>
      <c r="X3" s="71"/>
      <c r="Y3" s="75"/>
      <c r="Z3" s="75"/>
    </row>
    <row r="4" spans="1:26" ht="39" customHeight="1">
      <c r="A4" s="234" t="s">
        <v>202</v>
      </c>
      <c r="B4" s="224"/>
      <c r="C4" s="72" t="str">
        <f>'Final Attainment'!C4</f>
        <v>2024-2025 EVEN</v>
      </c>
      <c r="D4" s="70"/>
      <c r="E4" s="234" t="s">
        <v>203</v>
      </c>
      <c r="F4" s="224"/>
      <c r="G4" s="73" t="str">
        <f>'Final Attainment'!G4</f>
        <v>IV &amp; II</v>
      </c>
      <c r="H4" s="235" t="s">
        <v>204</v>
      </c>
      <c r="I4" s="224"/>
      <c r="J4" s="224"/>
      <c r="K4" s="236" t="str">
        <f>'Final Attainment'!K4:Q4</f>
        <v>22EE401 &amp; POWER GENERATION, TRANSMISSION AND DISTRIBUTION</v>
      </c>
      <c r="L4" s="224"/>
      <c r="M4" s="224"/>
      <c r="N4" s="224"/>
      <c r="O4" s="224"/>
      <c r="P4" s="224"/>
      <c r="Q4" s="224"/>
      <c r="R4" s="70" t="s">
        <v>205</v>
      </c>
      <c r="S4" s="74" t="str">
        <f>'Final Attainment'!S4</f>
        <v>Dr.SIVARAMAN P / EE1329</v>
      </c>
      <c r="T4" s="75"/>
      <c r="U4" s="74"/>
      <c r="V4" s="74"/>
      <c r="W4" s="71"/>
      <c r="X4" s="71"/>
      <c r="Y4" s="75"/>
      <c r="Z4" s="75"/>
    </row>
    <row r="5" spans="1:26" ht="16.5" customHeight="1">
      <c r="A5" s="70"/>
      <c r="B5" s="70"/>
      <c r="C5" s="70"/>
      <c r="D5" s="76"/>
      <c r="E5" s="75"/>
      <c r="F5" s="75"/>
      <c r="G5" s="75"/>
      <c r="H5" s="75"/>
      <c r="I5" s="70"/>
      <c r="J5" s="70"/>
      <c r="K5" s="71"/>
      <c r="L5" s="77"/>
      <c r="M5" s="75"/>
      <c r="N5" s="75"/>
      <c r="O5" s="70"/>
      <c r="P5" s="75"/>
      <c r="Q5" s="75"/>
      <c r="R5" s="77"/>
      <c r="S5" s="77"/>
      <c r="T5" s="75"/>
      <c r="U5" s="75"/>
      <c r="V5" s="70"/>
      <c r="W5" s="71"/>
      <c r="X5" s="71"/>
      <c r="Y5" s="75"/>
      <c r="Z5" s="75"/>
    </row>
    <row r="6" spans="1:26" ht="28.5" customHeight="1">
      <c r="A6" s="274" t="s">
        <v>200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9"/>
      <c r="W6" s="78"/>
      <c r="X6" s="78"/>
      <c r="Y6" s="75"/>
      <c r="Z6" s="75"/>
    </row>
    <row r="7" spans="1:26" ht="28.5" customHeight="1">
      <c r="A7" s="243" t="s">
        <v>207</v>
      </c>
      <c r="B7" s="246" t="str">
        <f>'Final Attainment'!X1</f>
        <v>CO Attainment Level 0: &lt;50% of students scoring less than the target marks
CO Attainment Level 1: 50% of students scoring more than the target marks
CO Attainment Level 2: 60% of students scoring more than the target marks
CO Attainment Level 3: 70% of students scoring more than the target marks</v>
      </c>
      <c r="C7" s="247"/>
      <c r="D7" s="247"/>
      <c r="E7" s="247"/>
      <c r="F7" s="247"/>
      <c r="G7" s="247"/>
      <c r="H7" s="247"/>
      <c r="I7" s="247"/>
      <c r="J7" s="247"/>
      <c r="K7" s="248"/>
      <c r="L7" s="240" t="s">
        <v>208</v>
      </c>
      <c r="M7" s="241"/>
      <c r="N7" s="241"/>
      <c r="O7" s="241"/>
      <c r="P7" s="241"/>
      <c r="Q7" s="241"/>
      <c r="R7" s="241"/>
      <c r="S7" s="241"/>
      <c r="T7" s="241"/>
      <c r="U7" s="241"/>
      <c r="V7" s="242"/>
      <c r="W7" s="75"/>
      <c r="X7" s="75"/>
      <c r="Y7" s="75"/>
      <c r="Z7" s="75"/>
    </row>
    <row r="8" spans="1:26" ht="15.75" customHeight="1">
      <c r="A8" s="244"/>
      <c r="B8" s="249"/>
      <c r="C8" s="224"/>
      <c r="D8" s="224"/>
      <c r="E8" s="224"/>
      <c r="F8" s="224"/>
      <c r="G8" s="224"/>
      <c r="H8" s="224"/>
      <c r="I8" s="224"/>
      <c r="J8" s="224"/>
      <c r="K8" s="250"/>
      <c r="L8" s="251"/>
      <c r="M8" s="212"/>
      <c r="N8" s="212"/>
      <c r="O8" s="212"/>
      <c r="P8" s="212"/>
      <c r="Q8" s="213"/>
      <c r="R8" s="79" t="s">
        <v>209</v>
      </c>
      <c r="S8" s="79" t="s">
        <v>210</v>
      </c>
      <c r="T8" s="79" t="s">
        <v>211</v>
      </c>
      <c r="U8" s="79" t="s">
        <v>212</v>
      </c>
      <c r="V8" s="80" t="s">
        <v>213</v>
      </c>
      <c r="W8" s="75"/>
      <c r="X8" s="75"/>
      <c r="Y8" s="75"/>
      <c r="Z8" s="75"/>
    </row>
    <row r="9" spans="1:26" ht="16.5" customHeight="1">
      <c r="A9" s="245"/>
      <c r="B9" s="249"/>
      <c r="C9" s="224"/>
      <c r="D9" s="224"/>
      <c r="E9" s="224"/>
      <c r="F9" s="224"/>
      <c r="G9" s="224"/>
      <c r="H9" s="224"/>
      <c r="I9" s="224"/>
      <c r="J9" s="224"/>
      <c r="K9" s="250"/>
      <c r="L9" s="252" t="s">
        <v>214</v>
      </c>
      <c r="M9" s="212"/>
      <c r="N9" s="212"/>
      <c r="O9" s="212"/>
      <c r="P9" s="212"/>
      <c r="Q9" s="213"/>
      <c r="R9" s="81">
        <f t="shared" ref="R9:V9" si="0">COUNTIF(H16:H542,"&gt;=0")</f>
        <v>66</v>
      </c>
      <c r="S9" s="81">
        <f t="shared" si="0"/>
        <v>0</v>
      </c>
      <c r="T9" s="81">
        <f t="shared" si="0"/>
        <v>0</v>
      </c>
      <c r="U9" s="81">
        <f t="shared" si="0"/>
        <v>0</v>
      </c>
      <c r="V9" s="82">
        <f t="shared" si="0"/>
        <v>0</v>
      </c>
      <c r="W9" s="75"/>
      <c r="X9" s="75"/>
      <c r="Y9" s="75"/>
      <c r="Z9" s="75"/>
    </row>
    <row r="10" spans="1:26" ht="15.75" customHeight="1">
      <c r="A10" s="253" t="s">
        <v>215</v>
      </c>
      <c r="B10" s="254"/>
      <c r="C10" s="254"/>
      <c r="D10" s="254"/>
      <c r="E10" s="255">
        <f>'Final Attainment'!E7</f>
        <v>58</v>
      </c>
      <c r="F10" s="256"/>
      <c r="G10" s="83"/>
      <c r="H10" s="84"/>
      <c r="I10" s="84"/>
      <c r="J10" s="84"/>
      <c r="K10" s="85"/>
      <c r="L10" s="252" t="s">
        <v>216</v>
      </c>
      <c r="M10" s="212"/>
      <c r="N10" s="212"/>
      <c r="O10" s="212"/>
      <c r="P10" s="212"/>
      <c r="Q10" s="213"/>
      <c r="R10" s="81">
        <f t="shared" ref="R10:V10" si="1">COUNTIF(M16:M542,"&gt;="&amp;$E$10)</f>
        <v>63</v>
      </c>
      <c r="S10" s="117">
        <f t="shared" si="1"/>
        <v>0</v>
      </c>
      <c r="T10" s="117">
        <f t="shared" si="1"/>
        <v>0</v>
      </c>
      <c r="U10" s="117">
        <f t="shared" si="1"/>
        <v>0</v>
      </c>
      <c r="V10" s="82">
        <f t="shared" si="1"/>
        <v>0</v>
      </c>
      <c r="W10" s="75"/>
      <c r="X10" s="75"/>
      <c r="Y10" s="75"/>
      <c r="Z10" s="75"/>
    </row>
    <row r="11" spans="1:26" ht="15.75" customHeight="1">
      <c r="A11" s="262" t="s">
        <v>217</v>
      </c>
      <c r="B11" s="263"/>
      <c r="C11" s="263"/>
      <c r="D11" s="263"/>
      <c r="E11" s="264">
        <f>COUNTA(B16:B542)</f>
        <v>66</v>
      </c>
      <c r="F11" s="265"/>
      <c r="G11" s="87"/>
      <c r="H11" s="88"/>
      <c r="I11" s="88"/>
      <c r="J11" s="88"/>
      <c r="K11" s="89"/>
      <c r="L11" s="252" t="s">
        <v>218</v>
      </c>
      <c r="M11" s="212"/>
      <c r="N11" s="212"/>
      <c r="O11" s="212"/>
      <c r="P11" s="212"/>
      <c r="Q11" s="213"/>
      <c r="R11" s="91">
        <f ca="1"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)))"),3)</f>
        <v>3</v>
      </c>
      <c r="S11" s="90" t="str">
        <f ca="1"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)))"),"")</f>
        <v/>
      </c>
      <c r="T11" s="90" t="str">
        <f ca="1"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)))"),"")</f>
        <v/>
      </c>
      <c r="U11" s="90" t="str">
        <f ca="1"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)))"),"")</f>
        <v/>
      </c>
      <c r="V11" s="118" t="str">
        <f ca="1"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  <c r="W11" s="75"/>
      <c r="X11" s="75"/>
      <c r="Y11" s="75"/>
      <c r="Z11" s="75"/>
    </row>
    <row r="12" spans="1:26" ht="16.5" customHeight="1">
      <c r="A12" s="266" t="s">
        <v>219</v>
      </c>
      <c r="B12" s="267"/>
      <c r="C12" s="267"/>
      <c r="D12" s="267"/>
      <c r="E12" s="268">
        <f>R9</f>
        <v>66</v>
      </c>
      <c r="F12" s="269"/>
      <c r="G12" s="93"/>
      <c r="H12" s="94"/>
      <c r="I12" s="94"/>
      <c r="J12" s="94"/>
      <c r="K12" s="95"/>
      <c r="L12" s="270" t="s">
        <v>220</v>
      </c>
      <c r="M12" s="271"/>
      <c r="N12" s="271"/>
      <c r="O12" s="271"/>
      <c r="P12" s="271"/>
      <c r="Q12" s="272"/>
      <c r="R12" s="96">
        <f t="shared" ref="R12:V12" si="2">R9-R10</f>
        <v>3</v>
      </c>
      <c r="S12" s="119">
        <f t="shared" si="2"/>
        <v>0</v>
      </c>
      <c r="T12" s="119">
        <f t="shared" si="2"/>
        <v>0</v>
      </c>
      <c r="U12" s="119">
        <f t="shared" si="2"/>
        <v>0</v>
      </c>
      <c r="V12" s="97">
        <f t="shared" si="2"/>
        <v>0</v>
      </c>
      <c r="W12" s="75"/>
      <c r="X12" s="75"/>
      <c r="Y12" s="75"/>
      <c r="Z12" s="75"/>
    </row>
    <row r="13" spans="1:26" ht="15.75" customHeight="1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112"/>
      <c r="X13" s="100"/>
      <c r="Y13" s="75"/>
      <c r="Z13" s="75"/>
    </row>
    <row r="14" spans="1:26" ht="15.75" customHeight="1">
      <c r="A14" s="257" t="s">
        <v>221</v>
      </c>
      <c r="B14" s="257" t="s">
        <v>222</v>
      </c>
      <c r="C14" s="258" t="s">
        <v>223</v>
      </c>
      <c r="D14" s="259"/>
      <c r="E14" s="259"/>
      <c r="F14" s="259"/>
      <c r="G14" s="260"/>
      <c r="H14" s="258" t="s">
        <v>224</v>
      </c>
      <c r="I14" s="259"/>
      <c r="J14" s="259"/>
      <c r="K14" s="259"/>
      <c r="L14" s="260"/>
      <c r="M14" s="261" t="s">
        <v>225</v>
      </c>
      <c r="N14" s="212"/>
      <c r="O14" s="212"/>
      <c r="P14" s="212"/>
      <c r="Q14" s="213"/>
      <c r="R14" s="261" t="s">
        <v>226</v>
      </c>
      <c r="S14" s="212"/>
      <c r="T14" s="212"/>
      <c r="U14" s="212"/>
      <c r="V14" s="213"/>
      <c r="W14" s="113" t="s">
        <v>200</v>
      </c>
      <c r="X14" s="75"/>
      <c r="Y14" s="75"/>
      <c r="Z14" s="75"/>
    </row>
    <row r="15" spans="1:26" ht="15.75" customHeight="1">
      <c r="A15" s="229"/>
      <c r="B15" s="229"/>
      <c r="C15" s="102" t="s">
        <v>209</v>
      </c>
      <c r="D15" s="102" t="s">
        <v>210</v>
      </c>
      <c r="E15" s="102" t="s">
        <v>211</v>
      </c>
      <c r="F15" s="102" t="s">
        <v>212</v>
      </c>
      <c r="G15" s="102" t="s">
        <v>213</v>
      </c>
      <c r="H15" s="102" t="s">
        <v>209</v>
      </c>
      <c r="I15" s="102" t="s">
        <v>210</v>
      </c>
      <c r="J15" s="102" t="s">
        <v>211</v>
      </c>
      <c r="K15" s="102" t="s">
        <v>212</v>
      </c>
      <c r="L15" s="102" t="s">
        <v>213</v>
      </c>
      <c r="M15" s="101" t="s">
        <v>209</v>
      </c>
      <c r="N15" s="101" t="s">
        <v>210</v>
      </c>
      <c r="O15" s="101" t="s">
        <v>211</v>
      </c>
      <c r="P15" s="101" t="s">
        <v>212</v>
      </c>
      <c r="Q15" s="101" t="s">
        <v>213</v>
      </c>
      <c r="R15" s="101" t="s">
        <v>209</v>
      </c>
      <c r="S15" s="101" t="s">
        <v>210</v>
      </c>
      <c r="T15" s="101" t="s">
        <v>211</v>
      </c>
      <c r="U15" s="101" t="s">
        <v>212</v>
      </c>
      <c r="V15" s="101" t="s">
        <v>213</v>
      </c>
      <c r="W15" s="113" t="s">
        <v>227</v>
      </c>
      <c r="X15" s="75"/>
      <c r="Y15" s="75"/>
      <c r="Z15" s="75"/>
    </row>
    <row r="16" spans="1:26" ht="16.5" customHeight="1">
      <c r="A16" s="103">
        <f>Theory!A6</f>
        <v>1</v>
      </c>
      <c r="B16" s="103" t="str">
        <f>Theory!B6</f>
        <v>7376231EE102</v>
      </c>
      <c r="C16" s="120">
        <v>8</v>
      </c>
      <c r="D16" s="121"/>
      <c r="E16" s="105"/>
      <c r="F16" s="121"/>
      <c r="G16" s="105"/>
      <c r="H16" s="108">
        <v>8</v>
      </c>
      <c r="I16" s="108"/>
      <c r="J16" s="107"/>
      <c r="K16" s="108"/>
      <c r="L16" s="108"/>
      <c r="M16" s="104">
        <f t="shared" ref="M16:Q16" si="3">IF(C16="","",H16*100/C16)</f>
        <v>100</v>
      </c>
      <c r="N16" s="104" t="str">
        <f t="shared" si="3"/>
        <v/>
      </c>
      <c r="O16" s="104" t="str">
        <f t="shared" si="3"/>
        <v/>
      </c>
      <c r="P16" s="104" t="str">
        <f t="shared" si="3"/>
        <v/>
      </c>
      <c r="Q16" s="104" t="str">
        <f t="shared" si="3"/>
        <v/>
      </c>
      <c r="R16" s="105"/>
      <c r="S16" s="105"/>
      <c r="T16" s="105"/>
      <c r="U16" s="105"/>
      <c r="V16" s="105"/>
      <c r="W16" s="122">
        <f>IP!D6</f>
        <v>8</v>
      </c>
      <c r="X16" s="75"/>
      <c r="Y16" s="75"/>
      <c r="Z16" s="75"/>
    </row>
    <row r="17" spans="1:26" ht="16.5" customHeight="1">
      <c r="A17" s="103">
        <f>Theory!A7</f>
        <v>2</v>
      </c>
      <c r="B17" s="103" t="str">
        <f>Theory!B7</f>
        <v>7376231EE103</v>
      </c>
      <c r="C17" s="120">
        <v>8</v>
      </c>
      <c r="D17" s="121"/>
      <c r="E17" s="105"/>
      <c r="F17" s="121"/>
      <c r="G17" s="105"/>
      <c r="H17" s="108">
        <v>8</v>
      </c>
      <c r="I17" s="108"/>
      <c r="J17" s="107"/>
      <c r="K17" s="108"/>
      <c r="L17" s="108"/>
      <c r="M17" s="104">
        <f t="shared" ref="M17:Q17" si="4">IF(C17="","",H17*100/C17)</f>
        <v>100</v>
      </c>
      <c r="N17" s="104" t="str">
        <f t="shared" si="4"/>
        <v/>
      </c>
      <c r="O17" s="104" t="str">
        <f t="shared" si="4"/>
        <v/>
      </c>
      <c r="P17" s="104" t="str">
        <f t="shared" si="4"/>
        <v/>
      </c>
      <c r="Q17" s="104" t="str">
        <f t="shared" si="4"/>
        <v/>
      </c>
      <c r="R17" s="105"/>
      <c r="S17" s="105"/>
      <c r="T17" s="105"/>
      <c r="U17" s="105"/>
      <c r="V17" s="105"/>
      <c r="W17" s="122">
        <f>IP!D7</f>
        <v>8</v>
      </c>
      <c r="X17" s="75"/>
      <c r="Y17" s="75"/>
      <c r="Z17" s="75"/>
    </row>
    <row r="18" spans="1:26" ht="16.5" customHeight="1">
      <c r="A18" s="103">
        <f>Theory!A8</f>
        <v>3</v>
      </c>
      <c r="B18" s="103" t="str">
        <f>Theory!B8</f>
        <v>7376231EE104</v>
      </c>
      <c r="C18" s="120">
        <v>8</v>
      </c>
      <c r="D18" s="121"/>
      <c r="E18" s="105"/>
      <c r="F18" s="121"/>
      <c r="G18" s="105"/>
      <c r="H18" s="108">
        <v>5</v>
      </c>
      <c r="I18" s="108"/>
      <c r="J18" s="107"/>
      <c r="K18" s="108"/>
      <c r="L18" s="108"/>
      <c r="M18" s="104">
        <f t="shared" ref="M18:Q18" si="5">IF(C18="","",H18*100/C18)</f>
        <v>62.5</v>
      </c>
      <c r="N18" s="104" t="str">
        <f t="shared" si="5"/>
        <v/>
      </c>
      <c r="O18" s="104" t="str">
        <f t="shared" si="5"/>
        <v/>
      </c>
      <c r="P18" s="104" t="str">
        <f t="shared" si="5"/>
        <v/>
      </c>
      <c r="Q18" s="104" t="str">
        <f t="shared" si="5"/>
        <v/>
      </c>
      <c r="R18" s="105"/>
      <c r="S18" s="105"/>
      <c r="T18" s="105"/>
      <c r="U18" s="105"/>
      <c r="V18" s="105"/>
      <c r="W18" s="122">
        <f>IP!D8</f>
        <v>5</v>
      </c>
      <c r="X18" s="75"/>
      <c r="Y18" s="75"/>
      <c r="Z18" s="75"/>
    </row>
    <row r="19" spans="1:26" ht="16.5" customHeight="1">
      <c r="A19" s="103">
        <f>Theory!A9</f>
        <v>4</v>
      </c>
      <c r="B19" s="103" t="str">
        <f>Theory!B9</f>
        <v>7376231EE105</v>
      </c>
      <c r="C19" s="120">
        <v>8</v>
      </c>
      <c r="D19" s="121"/>
      <c r="E19" s="105"/>
      <c r="F19" s="121"/>
      <c r="G19" s="105"/>
      <c r="H19" s="108">
        <v>8</v>
      </c>
      <c r="I19" s="108"/>
      <c r="J19" s="107"/>
      <c r="K19" s="108"/>
      <c r="L19" s="108"/>
      <c r="M19" s="104">
        <f t="shared" ref="M19:Q19" si="6">IF(C19="","",H19*100/C19)</f>
        <v>100</v>
      </c>
      <c r="N19" s="104" t="str">
        <f t="shared" si="6"/>
        <v/>
      </c>
      <c r="O19" s="104" t="str">
        <f t="shared" si="6"/>
        <v/>
      </c>
      <c r="P19" s="104" t="str">
        <f t="shared" si="6"/>
        <v/>
      </c>
      <c r="Q19" s="104" t="str">
        <f t="shared" si="6"/>
        <v/>
      </c>
      <c r="R19" s="105"/>
      <c r="S19" s="105"/>
      <c r="T19" s="105"/>
      <c r="U19" s="105"/>
      <c r="V19" s="105"/>
      <c r="W19" s="122">
        <f>IP!D9</f>
        <v>8</v>
      </c>
      <c r="X19" s="75"/>
      <c r="Y19" s="75"/>
      <c r="Z19" s="75"/>
    </row>
    <row r="20" spans="1:26" ht="16.5" customHeight="1">
      <c r="A20" s="103">
        <f>Theory!A10</f>
        <v>5</v>
      </c>
      <c r="B20" s="103" t="str">
        <f>Theory!B10</f>
        <v>7376231EE106</v>
      </c>
      <c r="C20" s="120">
        <v>8</v>
      </c>
      <c r="D20" s="121"/>
      <c r="E20" s="105"/>
      <c r="F20" s="121"/>
      <c r="G20" s="105"/>
      <c r="H20" s="108">
        <v>7</v>
      </c>
      <c r="I20" s="108"/>
      <c r="J20" s="107"/>
      <c r="K20" s="108"/>
      <c r="L20" s="108"/>
      <c r="M20" s="104">
        <f t="shared" ref="M20:Q20" si="7">IF(C20="","",H20*100/C20)</f>
        <v>87.5</v>
      </c>
      <c r="N20" s="104" t="str">
        <f t="shared" si="7"/>
        <v/>
      </c>
      <c r="O20" s="104" t="str">
        <f t="shared" si="7"/>
        <v/>
      </c>
      <c r="P20" s="104" t="str">
        <f t="shared" si="7"/>
        <v/>
      </c>
      <c r="Q20" s="104" t="str">
        <f t="shared" si="7"/>
        <v/>
      </c>
      <c r="R20" s="105"/>
      <c r="S20" s="105"/>
      <c r="T20" s="105"/>
      <c r="U20" s="105"/>
      <c r="V20" s="105"/>
      <c r="W20" s="122">
        <f>IP!D10</f>
        <v>7</v>
      </c>
      <c r="X20" s="75"/>
      <c r="Y20" s="75"/>
      <c r="Z20" s="75"/>
    </row>
    <row r="21" spans="1:26" ht="16.5" customHeight="1">
      <c r="A21" s="103">
        <f>Theory!A11</f>
        <v>6</v>
      </c>
      <c r="B21" s="103" t="str">
        <f>Theory!B11</f>
        <v>7376231EE107</v>
      </c>
      <c r="C21" s="120">
        <v>8</v>
      </c>
      <c r="D21" s="121"/>
      <c r="E21" s="105"/>
      <c r="F21" s="121"/>
      <c r="G21" s="105"/>
      <c r="H21" s="108">
        <v>8</v>
      </c>
      <c r="I21" s="108"/>
      <c r="J21" s="107"/>
      <c r="K21" s="108"/>
      <c r="L21" s="108"/>
      <c r="M21" s="104">
        <f t="shared" ref="M21:Q21" si="8">IF(C21="","",H21*100/C21)</f>
        <v>100</v>
      </c>
      <c r="N21" s="104" t="str">
        <f t="shared" si="8"/>
        <v/>
      </c>
      <c r="O21" s="104" t="str">
        <f t="shared" si="8"/>
        <v/>
      </c>
      <c r="P21" s="104" t="str">
        <f t="shared" si="8"/>
        <v/>
      </c>
      <c r="Q21" s="104" t="str">
        <f t="shared" si="8"/>
        <v/>
      </c>
      <c r="R21" s="105"/>
      <c r="S21" s="105"/>
      <c r="T21" s="105"/>
      <c r="U21" s="105"/>
      <c r="V21" s="105"/>
      <c r="W21" s="122">
        <f>IP!D11</f>
        <v>8</v>
      </c>
      <c r="X21" s="75"/>
      <c r="Y21" s="75"/>
      <c r="Z21" s="75"/>
    </row>
    <row r="22" spans="1:26" ht="16.5" customHeight="1">
      <c r="A22" s="103">
        <f>Theory!A12</f>
        <v>7</v>
      </c>
      <c r="B22" s="103" t="str">
        <f>Theory!B12</f>
        <v>7376231EE108</v>
      </c>
      <c r="C22" s="120">
        <v>8</v>
      </c>
      <c r="D22" s="121"/>
      <c r="E22" s="105"/>
      <c r="F22" s="121"/>
      <c r="G22" s="105"/>
      <c r="H22" s="108">
        <v>8</v>
      </c>
      <c r="I22" s="108"/>
      <c r="J22" s="107"/>
      <c r="K22" s="108"/>
      <c r="L22" s="108"/>
      <c r="M22" s="104">
        <f t="shared" ref="M22:Q22" si="9">IF(C22="","",H22*100/C22)</f>
        <v>100</v>
      </c>
      <c r="N22" s="104" t="str">
        <f t="shared" si="9"/>
        <v/>
      </c>
      <c r="O22" s="104" t="str">
        <f t="shared" si="9"/>
        <v/>
      </c>
      <c r="P22" s="104" t="str">
        <f t="shared" si="9"/>
        <v/>
      </c>
      <c r="Q22" s="104" t="str">
        <f t="shared" si="9"/>
        <v/>
      </c>
      <c r="R22" s="105"/>
      <c r="S22" s="105"/>
      <c r="T22" s="105"/>
      <c r="U22" s="105"/>
      <c r="V22" s="105"/>
      <c r="W22" s="122">
        <f>IP!D12</f>
        <v>8</v>
      </c>
      <c r="X22" s="75"/>
      <c r="Y22" s="75"/>
      <c r="Z22" s="75"/>
    </row>
    <row r="23" spans="1:26" ht="16.5" customHeight="1">
      <c r="A23" s="103">
        <f>Theory!A13</f>
        <v>8</v>
      </c>
      <c r="B23" s="103" t="str">
        <f>Theory!B13</f>
        <v>7376231EE109</v>
      </c>
      <c r="C23" s="120">
        <v>8</v>
      </c>
      <c r="D23" s="121"/>
      <c r="E23" s="105"/>
      <c r="F23" s="121"/>
      <c r="G23" s="105"/>
      <c r="H23" s="108">
        <v>8</v>
      </c>
      <c r="I23" s="108"/>
      <c r="J23" s="107"/>
      <c r="K23" s="108"/>
      <c r="L23" s="108"/>
      <c r="M23" s="104">
        <f t="shared" ref="M23:Q23" si="10">IF(C23="","",H23*100/C23)</f>
        <v>100</v>
      </c>
      <c r="N23" s="104" t="str">
        <f t="shared" si="10"/>
        <v/>
      </c>
      <c r="O23" s="104" t="str">
        <f t="shared" si="10"/>
        <v/>
      </c>
      <c r="P23" s="104" t="str">
        <f t="shared" si="10"/>
        <v/>
      </c>
      <c r="Q23" s="104" t="str">
        <f t="shared" si="10"/>
        <v/>
      </c>
      <c r="R23" s="105"/>
      <c r="S23" s="105"/>
      <c r="T23" s="105"/>
      <c r="U23" s="105"/>
      <c r="V23" s="105"/>
      <c r="W23" s="122">
        <f>IP!D13</f>
        <v>8</v>
      </c>
      <c r="X23" s="75"/>
      <c r="Y23" s="75"/>
      <c r="Z23" s="75"/>
    </row>
    <row r="24" spans="1:26" ht="16.5" customHeight="1">
      <c r="A24" s="103">
        <f>Theory!A14</f>
        <v>9</v>
      </c>
      <c r="B24" s="103" t="str">
        <f>Theory!B14</f>
        <v>7376231EE110</v>
      </c>
      <c r="C24" s="120">
        <v>8</v>
      </c>
      <c r="D24" s="121"/>
      <c r="E24" s="105"/>
      <c r="F24" s="121"/>
      <c r="G24" s="105"/>
      <c r="H24" s="108">
        <v>8</v>
      </c>
      <c r="I24" s="108"/>
      <c r="J24" s="107"/>
      <c r="K24" s="108"/>
      <c r="L24" s="108"/>
      <c r="M24" s="104">
        <f t="shared" ref="M24:Q24" si="11">IF(C24="","",H24*100/C24)</f>
        <v>100</v>
      </c>
      <c r="N24" s="104" t="str">
        <f t="shared" si="11"/>
        <v/>
      </c>
      <c r="O24" s="104" t="str">
        <f t="shared" si="11"/>
        <v/>
      </c>
      <c r="P24" s="104" t="str">
        <f t="shared" si="11"/>
        <v/>
      </c>
      <c r="Q24" s="104" t="str">
        <f t="shared" si="11"/>
        <v/>
      </c>
      <c r="R24" s="105"/>
      <c r="S24" s="105"/>
      <c r="T24" s="105"/>
      <c r="U24" s="105"/>
      <c r="V24" s="105"/>
      <c r="W24" s="122">
        <f>IP!D14</f>
        <v>8</v>
      </c>
      <c r="X24" s="75"/>
      <c r="Y24" s="75"/>
      <c r="Z24" s="75"/>
    </row>
    <row r="25" spans="1:26" ht="16.5" customHeight="1">
      <c r="A25" s="103">
        <f>Theory!A15</f>
        <v>10</v>
      </c>
      <c r="B25" s="103" t="str">
        <f>Theory!B15</f>
        <v>7376231EE111</v>
      </c>
      <c r="C25" s="120">
        <v>8</v>
      </c>
      <c r="D25" s="121"/>
      <c r="E25" s="105"/>
      <c r="F25" s="121"/>
      <c r="G25" s="105"/>
      <c r="H25" s="108">
        <v>2</v>
      </c>
      <c r="I25" s="108"/>
      <c r="J25" s="107"/>
      <c r="K25" s="108"/>
      <c r="L25" s="108"/>
      <c r="M25" s="104">
        <f t="shared" ref="M25:Q25" si="12">IF(C25="","",H25*100/C25)</f>
        <v>25</v>
      </c>
      <c r="N25" s="104" t="str">
        <f t="shared" si="12"/>
        <v/>
      </c>
      <c r="O25" s="104" t="str">
        <f t="shared" si="12"/>
        <v/>
      </c>
      <c r="P25" s="104" t="str">
        <f t="shared" si="12"/>
        <v/>
      </c>
      <c r="Q25" s="104" t="str">
        <f t="shared" si="12"/>
        <v/>
      </c>
      <c r="R25" s="105"/>
      <c r="S25" s="105"/>
      <c r="T25" s="105"/>
      <c r="U25" s="105"/>
      <c r="V25" s="105"/>
      <c r="W25" s="122">
        <f>IP!D15</f>
        <v>2</v>
      </c>
      <c r="X25" s="75"/>
      <c r="Y25" s="75"/>
      <c r="Z25" s="75"/>
    </row>
    <row r="26" spans="1:26" ht="16.5" customHeight="1">
      <c r="A26" s="103">
        <f>Theory!A16</f>
        <v>11</v>
      </c>
      <c r="B26" s="103" t="str">
        <f>Theory!B16</f>
        <v>7376231EE112</v>
      </c>
      <c r="C26" s="120">
        <v>8</v>
      </c>
      <c r="D26" s="121"/>
      <c r="E26" s="105"/>
      <c r="F26" s="121"/>
      <c r="G26" s="105"/>
      <c r="H26" s="108">
        <v>7</v>
      </c>
      <c r="I26" s="108"/>
      <c r="J26" s="107"/>
      <c r="K26" s="108"/>
      <c r="L26" s="108"/>
      <c r="M26" s="104">
        <f t="shared" ref="M26:Q26" si="13">IF(C26="","",H26*100/C26)</f>
        <v>87.5</v>
      </c>
      <c r="N26" s="104" t="str">
        <f t="shared" si="13"/>
        <v/>
      </c>
      <c r="O26" s="104" t="str">
        <f t="shared" si="13"/>
        <v/>
      </c>
      <c r="P26" s="104" t="str">
        <f t="shared" si="13"/>
        <v/>
      </c>
      <c r="Q26" s="104" t="str">
        <f t="shared" si="13"/>
        <v/>
      </c>
      <c r="R26" s="105"/>
      <c r="S26" s="105"/>
      <c r="T26" s="105"/>
      <c r="U26" s="105"/>
      <c r="V26" s="105"/>
      <c r="W26" s="122">
        <f>IP!D16</f>
        <v>7</v>
      </c>
      <c r="X26" s="75"/>
      <c r="Y26" s="75"/>
      <c r="Z26" s="75"/>
    </row>
    <row r="27" spans="1:26" ht="16.5" customHeight="1">
      <c r="A27" s="103">
        <f>Theory!A17</f>
        <v>12</v>
      </c>
      <c r="B27" s="103" t="str">
        <f>Theory!B17</f>
        <v>7376231EE113</v>
      </c>
      <c r="C27" s="120">
        <v>8</v>
      </c>
      <c r="D27" s="121"/>
      <c r="E27" s="105"/>
      <c r="F27" s="121"/>
      <c r="G27" s="105"/>
      <c r="H27" s="108">
        <v>8</v>
      </c>
      <c r="I27" s="108"/>
      <c r="J27" s="107"/>
      <c r="K27" s="108"/>
      <c r="L27" s="108"/>
      <c r="M27" s="104">
        <f t="shared" ref="M27:Q27" si="14">IF(C27="","",H27*100/C27)</f>
        <v>100</v>
      </c>
      <c r="N27" s="104" t="str">
        <f t="shared" si="14"/>
        <v/>
      </c>
      <c r="O27" s="104" t="str">
        <f t="shared" si="14"/>
        <v/>
      </c>
      <c r="P27" s="104" t="str">
        <f t="shared" si="14"/>
        <v/>
      </c>
      <c r="Q27" s="104" t="str">
        <f t="shared" si="14"/>
        <v/>
      </c>
      <c r="R27" s="105"/>
      <c r="S27" s="105"/>
      <c r="T27" s="105"/>
      <c r="U27" s="105"/>
      <c r="V27" s="105"/>
      <c r="W27" s="122">
        <f>IP!D17</f>
        <v>8</v>
      </c>
      <c r="X27" s="75"/>
      <c r="Y27" s="75"/>
      <c r="Z27" s="75"/>
    </row>
    <row r="28" spans="1:26" ht="16.5" customHeight="1">
      <c r="A28" s="103">
        <f>Theory!A18</f>
        <v>13</v>
      </c>
      <c r="B28" s="103" t="str">
        <f>Theory!B18</f>
        <v>7376231EE114</v>
      </c>
      <c r="C28" s="120">
        <v>8</v>
      </c>
      <c r="D28" s="121"/>
      <c r="E28" s="105"/>
      <c r="F28" s="121"/>
      <c r="G28" s="105"/>
      <c r="H28" s="108">
        <v>6</v>
      </c>
      <c r="I28" s="108"/>
      <c r="J28" s="107"/>
      <c r="K28" s="108"/>
      <c r="L28" s="108"/>
      <c r="M28" s="104">
        <f t="shared" ref="M28:Q28" si="15">IF(C28="","",H28*100/C28)</f>
        <v>75</v>
      </c>
      <c r="N28" s="104" t="str">
        <f t="shared" si="15"/>
        <v/>
      </c>
      <c r="O28" s="104" t="str">
        <f t="shared" si="15"/>
        <v/>
      </c>
      <c r="P28" s="104" t="str">
        <f t="shared" si="15"/>
        <v/>
      </c>
      <c r="Q28" s="104" t="str">
        <f t="shared" si="15"/>
        <v/>
      </c>
      <c r="R28" s="105"/>
      <c r="S28" s="105"/>
      <c r="T28" s="105"/>
      <c r="U28" s="105"/>
      <c r="V28" s="105"/>
      <c r="W28" s="122">
        <f>IP!D18</f>
        <v>6</v>
      </c>
      <c r="X28" s="75"/>
      <c r="Y28" s="75"/>
      <c r="Z28" s="75"/>
    </row>
    <row r="29" spans="1:26" ht="16.5" customHeight="1">
      <c r="A29" s="103">
        <f>Theory!A19</f>
        <v>14</v>
      </c>
      <c r="B29" s="103" t="str">
        <f>Theory!B19</f>
        <v>7376231EE115</v>
      </c>
      <c r="C29" s="120">
        <v>8</v>
      </c>
      <c r="D29" s="121"/>
      <c r="E29" s="105"/>
      <c r="F29" s="121"/>
      <c r="G29" s="105"/>
      <c r="H29" s="108">
        <v>5</v>
      </c>
      <c r="I29" s="108"/>
      <c r="J29" s="107"/>
      <c r="K29" s="108"/>
      <c r="L29" s="108"/>
      <c r="M29" s="104">
        <f t="shared" ref="M29:Q29" si="16">IF(C29="","",H29*100/C29)</f>
        <v>62.5</v>
      </c>
      <c r="N29" s="104" t="str">
        <f t="shared" si="16"/>
        <v/>
      </c>
      <c r="O29" s="104" t="str">
        <f t="shared" si="16"/>
        <v/>
      </c>
      <c r="P29" s="104" t="str">
        <f t="shared" si="16"/>
        <v/>
      </c>
      <c r="Q29" s="104" t="str">
        <f t="shared" si="16"/>
        <v/>
      </c>
      <c r="R29" s="105"/>
      <c r="S29" s="105"/>
      <c r="T29" s="105"/>
      <c r="U29" s="105"/>
      <c r="V29" s="105"/>
      <c r="W29" s="122">
        <f>IP!D19</f>
        <v>5</v>
      </c>
      <c r="X29" s="75"/>
      <c r="Y29" s="75"/>
      <c r="Z29" s="75"/>
    </row>
    <row r="30" spans="1:26" ht="16.5" customHeight="1">
      <c r="A30" s="103">
        <f>Theory!A20</f>
        <v>15</v>
      </c>
      <c r="B30" s="103" t="str">
        <f>Theory!B20</f>
        <v>7376231EE116</v>
      </c>
      <c r="C30" s="120">
        <v>8</v>
      </c>
      <c r="D30" s="121"/>
      <c r="E30" s="105"/>
      <c r="F30" s="121"/>
      <c r="G30" s="105"/>
      <c r="H30" s="108">
        <v>6</v>
      </c>
      <c r="I30" s="108"/>
      <c r="J30" s="107"/>
      <c r="K30" s="108"/>
      <c r="L30" s="108"/>
      <c r="M30" s="104">
        <f t="shared" ref="M30:Q30" si="17">IF(C30="","",H30*100/C30)</f>
        <v>75</v>
      </c>
      <c r="N30" s="104" t="str">
        <f t="shared" si="17"/>
        <v/>
      </c>
      <c r="O30" s="104" t="str">
        <f t="shared" si="17"/>
        <v/>
      </c>
      <c r="P30" s="104" t="str">
        <f t="shared" si="17"/>
        <v/>
      </c>
      <c r="Q30" s="104" t="str">
        <f t="shared" si="17"/>
        <v/>
      </c>
      <c r="R30" s="105"/>
      <c r="S30" s="105"/>
      <c r="T30" s="105"/>
      <c r="U30" s="105"/>
      <c r="V30" s="105"/>
      <c r="W30" s="122">
        <f>IP!D20</f>
        <v>6</v>
      </c>
      <c r="X30" s="75"/>
      <c r="Y30" s="75"/>
      <c r="Z30" s="75"/>
    </row>
    <row r="31" spans="1:26" ht="16.5" customHeight="1">
      <c r="A31" s="103">
        <f>Theory!A21</f>
        <v>16</v>
      </c>
      <c r="B31" s="103" t="str">
        <f>Theory!B21</f>
        <v>7376231EE117</v>
      </c>
      <c r="C31" s="120">
        <v>8</v>
      </c>
      <c r="D31" s="121"/>
      <c r="E31" s="105"/>
      <c r="F31" s="121"/>
      <c r="G31" s="105"/>
      <c r="H31" s="108">
        <v>8</v>
      </c>
      <c r="I31" s="108"/>
      <c r="J31" s="107"/>
      <c r="K31" s="108"/>
      <c r="L31" s="108"/>
      <c r="M31" s="104">
        <f t="shared" ref="M31:Q31" si="18">IF(C31="","",H31*100/C31)</f>
        <v>100</v>
      </c>
      <c r="N31" s="104" t="str">
        <f t="shared" si="18"/>
        <v/>
      </c>
      <c r="O31" s="104" t="str">
        <f t="shared" si="18"/>
        <v/>
      </c>
      <c r="P31" s="104" t="str">
        <f t="shared" si="18"/>
        <v/>
      </c>
      <c r="Q31" s="104" t="str">
        <f t="shared" si="18"/>
        <v/>
      </c>
      <c r="R31" s="105"/>
      <c r="S31" s="105"/>
      <c r="T31" s="105"/>
      <c r="U31" s="105"/>
      <c r="V31" s="105"/>
      <c r="W31" s="122">
        <f>IP!D21</f>
        <v>8</v>
      </c>
      <c r="X31" s="75"/>
      <c r="Y31" s="75"/>
      <c r="Z31" s="75"/>
    </row>
    <row r="32" spans="1:26" ht="16.5" customHeight="1">
      <c r="A32" s="103">
        <f>Theory!A22</f>
        <v>17</v>
      </c>
      <c r="B32" s="103" t="str">
        <f>Theory!B22</f>
        <v>7376231EE118</v>
      </c>
      <c r="C32" s="120">
        <v>8</v>
      </c>
      <c r="D32" s="121"/>
      <c r="E32" s="105"/>
      <c r="F32" s="121"/>
      <c r="G32" s="105"/>
      <c r="H32" s="108">
        <v>7</v>
      </c>
      <c r="I32" s="108"/>
      <c r="J32" s="107"/>
      <c r="K32" s="108"/>
      <c r="L32" s="108"/>
      <c r="M32" s="104">
        <f t="shared" ref="M32:Q32" si="19">IF(C32="","",H32*100/C32)</f>
        <v>87.5</v>
      </c>
      <c r="N32" s="104" t="str">
        <f t="shared" si="19"/>
        <v/>
      </c>
      <c r="O32" s="104" t="str">
        <f t="shared" si="19"/>
        <v/>
      </c>
      <c r="P32" s="104" t="str">
        <f t="shared" si="19"/>
        <v/>
      </c>
      <c r="Q32" s="104" t="str">
        <f t="shared" si="19"/>
        <v/>
      </c>
      <c r="R32" s="105"/>
      <c r="S32" s="105"/>
      <c r="T32" s="105"/>
      <c r="U32" s="105"/>
      <c r="V32" s="105"/>
      <c r="W32" s="122">
        <f>IP!D22</f>
        <v>7</v>
      </c>
      <c r="X32" s="75"/>
      <c r="Y32" s="75"/>
      <c r="Z32" s="75"/>
    </row>
    <row r="33" spans="1:26" ht="16.5" customHeight="1">
      <c r="A33" s="103">
        <f>Theory!A23</f>
        <v>18</v>
      </c>
      <c r="B33" s="103" t="str">
        <f>Theory!B23</f>
        <v>7376231EE119</v>
      </c>
      <c r="C33" s="120">
        <v>8</v>
      </c>
      <c r="D33" s="121"/>
      <c r="E33" s="105"/>
      <c r="F33" s="121"/>
      <c r="G33" s="105"/>
      <c r="H33" s="108">
        <v>7</v>
      </c>
      <c r="I33" s="108"/>
      <c r="J33" s="107"/>
      <c r="K33" s="108"/>
      <c r="L33" s="108"/>
      <c r="M33" s="104">
        <f t="shared" ref="M33:Q33" si="20">IF(C33="","",H33*100/C33)</f>
        <v>87.5</v>
      </c>
      <c r="N33" s="104" t="str">
        <f t="shared" si="20"/>
        <v/>
      </c>
      <c r="O33" s="104" t="str">
        <f t="shared" si="20"/>
        <v/>
      </c>
      <c r="P33" s="104" t="str">
        <f t="shared" si="20"/>
        <v/>
      </c>
      <c r="Q33" s="104" t="str">
        <f t="shared" si="20"/>
        <v/>
      </c>
      <c r="R33" s="105"/>
      <c r="S33" s="105"/>
      <c r="T33" s="105"/>
      <c r="U33" s="105"/>
      <c r="V33" s="105"/>
      <c r="W33" s="122">
        <f>IP!D23</f>
        <v>7</v>
      </c>
      <c r="X33" s="75"/>
      <c r="Y33" s="75"/>
      <c r="Z33" s="75"/>
    </row>
    <row r="34" spans="1:26" ht="16.5" customHeight="1">
      <c r="A34" s="103">
        <f>Theory!A24</f>
        <v>19</v>
      </c>
      <c r="B34" s="103" t="str">
        <f>Theory!B24</f>
        <v>7376231EE120</v>
      </c>
      <c r="C34" s="120">
        <v>8</v>
      </c>
      <c r="D34" s="121"/>
      <c r="E34" s="105"/>
      <c r="F34" s="121"/>
      <c r="G34" s="105"/>
      <c r="H34" s="108">
        <v>8</v>
      </c>
      <c r="I34" s="108"/>
      <c r="J34" s="107"/>
      <c r="K34" s="108"/>
      <c r="L34" s="108"/>
      <c r="M34" s="104">
        <f t="shared" ref="M34:Q34" si="21">IF(C34="","",H34*100/C34)</f>
        <v>100</v>
      </c>
      <c r="N34" s="104" t="str">
        <f t="shared" si="21"/>
        <v/>
      </c>
      <c r="O34" s="104" t="str">
        <f t="shared" si="21"/>
        <v/>
      </c>
      <c r="P34" s="104" t="str">
        <f t="shared" si="21"/>
        <v/>
      </c>
      <c r="Q34" s="104" t="str">
        <f t="shared" si="21"/>
        <v/>
      </c>
      <c r="R34" s="105"/>
      <c r="S34" s="105"/>
      <c r="T34" s="105"/>
      <c r="U34" s="105"/>
      <c r="V34" s="105"/>
      <c r="W34" s="122">
        <f>IP!D24</f>
        <v>8</v>
      </c>
      <c r="X34" s="75"/>
      <c r="Y34" s="75"/>
      <c r="Z34" s="75"/>
    </row>
    <row r="35" spans="1:26" ht="16.5" customHeight="1">
      <c r="A35" s="103">
        <f>Theory!A25</f>
        <v>20</v>
      </c>
      <c r="B35" s="103" t="str">
        <f>Theory!B25</f>
        <v>7376231EE121</v>
      </c>
      <c r="C35" s="120">
        <v>8</v>
      </c>
      <c r="D35" s="121"/>
      <c r="E35" s="105"/>
      <c r="F35" s="121"/>
      <c r="G35" s="105"/>
      <c r="H35" s="108">
        <v>8</v>
      </c>
      <c r="I35" s="108"/>
      <c r="J35" s="107"/>
      <c r="K35" s="108"/>
      <c r="L35" s="108"/>
      <c r="M35" s="104">
        <f t="shared" ref="M35:Q35" si="22">IF(C35="","",H35*100/C35)</f>
        <v>100</v>
      </c>
      <c r="N35" s="104" t="str">
        <f t="shared" si="22"/>
        <v/>
      </c>
      <c r="O35" s="104" t="str">
        <f t="shared" si="22"/>
        <v/>
      </c>
      <c r="P35" s="104" t="str">
        <f t="shared" si="22"/>
        <v/>
      </c>
      <c r="Q35" s="104" t="str">
        <f t="shared" si="22"/>
        <v/>
      </c>
      <c r="R35" s="105"/>
      <c r="S35" s="105"/>
      <c r="T35" s="105"/>
      <c r="U35" s="105"/>
      <c r="V35" s="105"/>
      <c r="W35" s="122">
        <f>IP!D25</f>
        <v>8</v>
      </c>
      <c r="X35" s="75"/>
      <c r="Y35" s="75"/>
      <c r="Z35" s="75"/>
    </row>
    <row r="36" spans="1:26" ht="16.5" customHeight="1">
      <c r="A36" s="103">
        <f>Theory!A26</f>
        <v>21</v>
      </c>
      <c r="B36" s="103" t="str">
        <f>Theory!B26</f>
        <v>7376231EE122</v>
      </c>
      <c r="C36" s="120">
        <v>8</v>
      </c>
      <c r="D36" s="121"/>
      <c r="E36" s="105"/>
      <c r="F36" s="121"/>
      <c r="G36" s="105"/>
      <c r="H36" s="108">
        <v>8</v>
      </c>
      <c r="I36" s="108"/>
      <c r="J36" s="107"/>
      <c r="K36" s="108"/>
      <c r="L36" s="108"/>
      <c r="M36" s="104">
        <f t="shared" ref="M36:Q36" si="23">IF(C36="","",H36*100/C36)</f>
        <v>100</v>
      </c>
      <c r="N36" s="104" t="str">
        <f t="shared" si="23"/>
        <v/>
      </c>
      <c r="O36" s="104" t="str">
        <f t="shared" si="23"/>
        <v/>
      </c>
      <c r="P36" s="104" t="str">
        <f t="shared" si="23"/>
        <v/>
      </c>
      <c r="Q36" s="104" t="str">
        <f t="shared" si="23"/>
        <v/>
      </c>
      <c r="R36" s="105"/>
      <c r="S36" s="105"/>
      <c r="T36" s="105"/>
      <c r="U36" s="105"/>
      <c r="V36" s="105"/>
      <c r="W36" s="122">
        <f>IP!D26</f>
        <v>8</v>
      </c>
      <c r="X36" s="75"/>
      <c r="Y36" s="75"/>
      <c r="Z36" s="75"/>
    </row>
    <row r="37" spans="1:26" ht="16.5" customHeight="1">
      <c r="A37" s="103">
        <f>Theory!A27</f>
        <v>22</v>
      </c>
      <c r="B37" s="103" t="str">
        <f>Theory!B27</f>
        <v>7376231EE123</v>
      </c>
      <c r="C37" s="120">
        <v>8</v>
      </c>
      <c r="D37" s="121"/>
      <c r="E37" s="105"/>
      <c r="F37" s="121"/>
      <c r="G37" s="105"/>
      <c r="H37" s="108">
        <v>8</v>
      </c>
      <c r="I37" s="108"/>
      <c r="J37" s="107"/>
      <c r="K37" s="108"/>
      <c r="L37" s="108"/>
      <c r="M37" s="104">
        <f t="shared" ref="M37:Q37" si="24">IF(C37="","",H37*100/C37)</f>
        <v>100</v>
      </c>
      <c r="N37" s="104" t="str">
        <f t="shared" si="24"/>
        <v/>
      </c>
      <c r="O37" s="104" t="str">
        <f t="shared" si="24"/>
        <v/>
      </c>
      <c r="P37" s="104" t="str">
        <f t="shared" si="24"/>
        <v/>
      </c>
      <c r="Q37" s="104" t="str">
        <f t="shared" si="24"/>
        <v/>
      </c>
      <c r="R37" s="105"/>
      <c r="S37" s="105"/>
      <c r="T37" s="105"/>
      <c r="U37" s="105"/>
      <c r="V37" s="105"/>
      <c r="W37" s="122">
        <f>IP!D27</f>
        <v>8</v>
      </c>
      <c r="X37" s="75"/>
      <c r="Y37" s="75"/>
      <c r="Z37" s="75"/>
    </row>
    <row r="38" spans="1:26" ht="16.5" customHeight="1">
      <c r="A38" s="103">
        <f>Theory!A28</f>
        <v>23</v>
      </c>
      <c r="B38" s="103" t="str">
        <f>Theory!B28</f>
        <v>7376231EE124</v>
      </c>
      <c r="C38" s="120">
        <v>8</v>
      </c>
      <c r="D38" s="121"/>
      <c r="E38" s="105"/>
      <c r="F38" s="121"/>
      <c r="G38" s="105"/>
      <c r="H38" s="108">
        <v>7</v>
      </c>
      <c r="I38" s="108"/>
      <c r="J38" s="107"/>
      <c r="K38" s="108"/>
      <c r="L38" s="108"/>
      <c r="M38" s="104">
        <f t="shared" ref="M38:Q38" si="25">IF(C38="","",H38*100/C38)</f>
        <v>87.5</v>
      </c>
      <c r="N38" s="104" t="str">
        <f t="shared" si="25"/>
        <v/>
      </c>
      <c r="O38" s="104" t="str">
        <f t="shared" si="25"/>
        <v/>
      </c>
      <c r="P38" s="104" t="str">
        <f t="shared" si="25"/>
        <v/>
      </c>
      <c r="Q38" s="104" t="str">
        <f t="shared" si="25"/>
        <v/>
      </c>
      <c r="R38" s="105"/>
      <c r="S38" s="105"/>
      <c r="T38" s="105"/>
      <c r="U38" s="105"/>
      <c r="V38" s="105"/>
      <c r="W38" s="122">
        <f>IP!D28</f>
        <v>7</v>
      </c>
      <c r="X38" s="75"/>
      <c r="Y38" s="75"/>
      <c r="Z38" s="75"/>
    </row>
    <row r="39" spans="1:26" ht="16.5" customHeight="1">
      <c r="A39" s="103">
        <f>Theory!A29</f>
        <v>24</v>
      </c>
      <c r="B39" s="103" t="str">
        <f>Theory!B29</f>
        <v>7376231EE125</v>
      </c>
      <c r="C39" s="120">
        <v>8</v>
      </c>
      <c r="D39" s="121"/>
      <c r="E39" s="105"/>
      <c r="F39" s="121"/>
      <c r="G39" s="105"/>
      <c r="H39" s="108">
        <v>8</v>
      </c>
      <c r="I39" s="108"/>
      <c r="J39" s="107"/>
      <c r="K39" s="108"/>
      <c r="L39" s="108"/>
      <c r="M39" s="104">
        <f t="shared" ref="M39:Q39" si="26">IF(C39="","",H39*100/C39)</f>
        <v>100</v>
      </c>
      <c r="N39" s="104" t="str">
        <f t="shared" si="26"/>
        <v/>
      </c>
      <c r="O39" s="104" t="str">
        <f t="shared" si="26"/>
        <v/>
      </c>
      <c r="P39" s="104" t="str">
        <f t="shared" si="26"/>
        <v/>
      </c>
      <c r="Q39" s="104" t="str">
        <f t="shared" si="26"/>
        <v/>
      </c>
      <c r="R39" s="105"/>
      <c r="S39" s="105"/>
      <c r="T39" s="105"/>
      <c r="U39" s="105"/>
      <c r="V39" s="105"/>
      <c r="W39" s="122">
        <f>IP!D29</f>
        <v>8</v>
      </c>
      <c r="X39" s="75"/>
      <c r="Y39" s="75"/>
      <c r="Z39" s="75"/>
    </row>
    <row r="40" spans="1:26" ht="15.75" customHeight="1">
      <c r="A40" s="103">
        <f>Theory!A30</f>
        <v>25</v>
      </c>
      <c r="B40" s="103" t="str">
        <f>Theory!B30</f>
        <v>7376231EE126</v>
      </c>
      <c r="C40" s="120">
        <v>8</v>
      </c>
      <c r="D40" s="121"/>
      <c r="E40" s="105"/>
      <c r="F40" s="121"/>
      <c r="G40" s="105"/>
      <c r="H40" s="108">
        <v>8</v>
      </c>
      <c r="I40" s="108"/>
      <c r="J40" s="107"/>
      <c r="K40" s="108"/>
      <c r="L40" s="108"/>
      <c r="M40" s="104">
        <f t="shared" ref="M40:Q40" si="27">IF(C40="","",H40*100/C40)</f>
        <v>100</v>
      </c>
      <c r="N40" s="104" t="str">
        <f t="shared" si="27"/>
        <v/>
      </c>
      <c r="O40" s="104" t="str">
        <f t="shared" si="27"/>
        <v/>
      </c>
      <c r="P40" s="104" t="str">
        <f t="shared" si="27"/>
        <v/>
      </c>
      <c r="Q40" s="104" t="str">
        <f t="shared" si="27"/>
        <v/>
      </c>
      <c r="R40" s="105"/>
      <c r="S40" s="105"/>
      <c r="T40" s="105"/>
      <c r="U40" s="105"/>
      <c r="V40" s="105"/>
      <c r="W40" s="122">
        <f>IP!D30</f>
        <v>8</v>
      </c>
    </row>
    <row r="41" spans="1:26" ht="15.75" customHeight="1">
      <c r="A41" s="103">
        <f>Theory!A31</f>
        <v>26</v>
      </c>
      <c r="B41" s="103" t="str">
        <f>Theory!B31</f>
        <v>7376231EE127</v>
      </c>
      <c r="C41" s="120">
        <v>8</v>
      </c>
      <c r="D41" s="121"/>
      <c r="E41" s="105"/>
      <c r="F41" s="121"/>
      <c r="G41" s="105"/>
      <c r="H41" s="108">
        <v>7</v>
      </c>
      <c r="I41" s="108"/>
      <c r="J41" s="107"/>
      <c r="K41" s="108"/>
      <c r="L41" s="108"/>
      <c r="M41" s="104">
        <f t="shared" ref="M41:Q41" si="28">IF(C41="","",H41*100/C41)</f>
        <v>87.5</v>
      </c>
      <c r="N41" s="104" t="str">
        <f t="shared" si="28"/>
        <v/>
      </c>
      <c r="O41" s="104" t="str">
        <f t="shared" si="28"/>
        <v/>
      </c>
      <c r="P41" s="104" t="str">
        <f t="shared" si="28"/>
        <v/>
      </c>
      <c r="Q41" s="104" t="str">
        <f t="shared" si="28"/>
        <v/>
      </c>
      <c r="R41" s="105"/>
      <c r="S41" s="105"/>
      <c r="T41" s="105"/>
      <c r="U41" s="105"/>
      <c r="V41" s="105"/>
      <c r="W41" s="122">
        <f>IP!D31</f>
        <v>7</v>
      </c>
    </row>
    <row r="42" spans="1:26" ht="15.75" customHeight="1">
      <c r="A42" s="103">
        <f>Theory!A32</f>
        <v>27</v>
      </c>
      <c r="B42" s="103" t="str">
        <f>Theory!B32</f>
        <v>7376231EE128</v>
      </c>
      <c r="C42" s="120">
        <v>8</v>
      </c>
      <c r="D42" s="121"/>
      <c r="E42" s="105"/>
      <c r="F42" s="121"/>
      <c r="G42" s="105"/>
      <c r="H42" s="108">
        <v>5</v>
      </c>
      <c r="I42" s="108"/>
      <c r="J42" s="107"/>
      <c r="K42" s="108"/>
      <c r="L42" s="108"/>
      <c r="M42" s="104">
        <f t="shared" ref="M42:Q42" si="29">IF(C42="","",H42*100/C42)</f>
        <v>62.5</v>
      </c>
      <c r="N42" s="104" t="str">
        <f t="shared" si="29"/>
        <v/>
      </c>
      <c r="O42" s="104" t="str">
        <f t="shared" si="29"/>
        <v/>
      </c>
      <c r="P42" s="104" t="str">
        <f t="shared" si="29"/>
        <v/>
      </c>
      <c r="Q42" s="104" t="str">
        <f t="shared" si="29"/>
        <v/>
      </c>
      <c r="R42" s="105"/>
      <c r="S42" s="105"/>
      <c r="T42" s="105"/>
      <c r="U42" s="105"/>
      <c r="V42" s="105"/>
      <c r="W42" s="122">
        <f>IP!D32</f>
        <v>5</v>
      </c>
    </row>
    <row r="43" spans="1:26" ht="15.75" customHeight="1">
      <c r="A43" s="103">
        <f>Theory!A33</f>
        <v>28</v>
      </c>
      <c r="B43" s="103" t="str">
        <f>Theory!B33</f>
        <v>7376231EE129</v>
      </c>
      <c r="C43" s="120">
        <v>8</v>
      </c>
      <c r="D43" s="121"/>
      <c r="E43" s="105"/>
      <c r="F43" s="121"/>
      <c r="G43" s="105"/>
      <c r="H43" s="108">
        <v>7</v>
      </c>
      <c r="I43" s="108"/>
      <c r="J43" s="107"/>
      <c r="K43" s="108"/>
      <c r="L43" s="108"/>
      <c r="M43" s="104">
        <f t="shared" ref="M43:Q43" si="30">IF(C43="","",H43*100/C43)</f>
        <v>87.5</v>
      </c>
      <c r="N43" s="104" t="str">
        <f t="shared" si="30"/>
        <v/>
      </c>
      <c r="O43" s="104" t="str">
        <f t="shared" si="30"/>
        <v/>
      </c>
      <c r="P43" s="104" t="str">
        <f t="shared" si="30"/>
        <v/>
      </c>
      <c r="Q43" s="104" t="str">
        <f t="shared" si="30"/>
        <v/>
      </c>
      <c r="R43" s="105"/>
      <c r="S43" s="105"/>
      <c r="T43" s="105"/>
      <c r="U43" s="105"/>
      <c r="V43" s="105"/>
      <c r="W43" s="122">
        <f>IP!D33</f>
        <v>7</v>
      </c>
    </row>
    <row r="44" spans="1:26" ht="15.75" customHeight="1">
      <c r="A44" s="103">
        <f>Theory!A34</f>
        <v>29</v>
      </c>
      <c r="B44" s="103" t="str">
        <f>Theory!B34</f>
        <v>7376231EE130</v>
      </c>
      <c r="C44" s="120">
        <v>8</v>
      </c>
      <c r="D44" s="121"/>
      <c r="E44" s="105"/>
      <c r="F44" s="121"/>
      <c r="G44" s="105"/>
      <c r="H44" s="108">
        <v>7</v>
      </c>
      <c r="I44" s="108"/>
      <c r="J44" s="107"/>
      <c r="K44" s="108"/>
      <c r="L44" s="108"/>
      <c r="M44" s="104">
        <f t="shared" ref="M44:Q44" si="31">IF(C44="","",H44*100/C44)</f>
        <v>87.5</v>
      </c>
      <c r="N44" s="104" t="str">
        <f t="shared" si="31"/>
        <v/>
      </c>
      <c r="O44" s="104" t="str">
        <f t="shared" si="31"/>
        <v/>
      </c>
      <c r="P44" s="104" t="str">
        <f t="shared" si="31"/>
        <v/>
      </c>
      <c r="Q44" s="104" t="str">
        <f t="shared" si="31"/>
        <v/>
      </c>
      <c r="R44" s="105"/>
      <c r="S44" s="105"/>
      <c r="T44" s="105"/>
      <c r="U44" s="105"/>
      <c r="V44" s="105"/>
      <c r="W44" s="122">
        <f>IP!D34</f>
        <v>7</v>
      </c>
    </row>
    <row r="45" spans="1:26" ht="15.75" customHeight="1">
      <c r="A45" s="103">
        <f>Theory!A35</f>
        <v>30</v>
      </c>
      <c r="B45" s="103" t="str">
        <f>Theory!B35</f>
        <v>7376231EE131</v>
      </c>
      <c r="C45" s="120">
        <v>8</v>
      </c>
      <c r="D45" s="121"/>
      <c r="E45" s="105"/>
      <c r="F45" s="121"/>
      <c r="G45" s="105"/>
      <c r="H45" s="108">
        <v>7</v>
      </c>
      <c r="I45" s="108"/>
      <c r="J45" s="107"/>
      <c r="K45" s="108"/>
      <c r="L45" s="108"/>
      <c r="M45" s="104">
        <f t="shared" ref="M45:Q45" si="32">IF(C45="","",H45*100/C45)</f>
        <v>87.5</v>
      </c>
      <c r="N45" s="104" t="str">
        <f t="shared" si="32"/>
        <v/>
      </c>
      <c r="O45" s="104" t="str">
        <f t="shared" si="32"/>
        <v/>
      </c>
      <c r="P45" s="104" t="str">
        <f t="shared" si="32"/>
        <v/>
      </c>
      <c r="Q45" s="104" t="str">
        <f t="shared" si="32"/>
        <v/>
      </c>
      <c r="R45" s="105"/>
      <c r="S45" s="105"/>
      <c r="T45" s="105"/>
      <c r="U45" s="105"/>
      <c r="V45" s="105"/>
      <c r="W45" s="122">
        <f>IP!D35</f>
        <v>7</v>
      </c>
    </row>
    <row r="46" spans="1:26" ht="15.75" customHeight="1">
      <c r="A46" s="103">
        <f>Theory!A36</f>
        <v>31</v>
      </c>
      <c r="B46" s="103" t="str">
        <f>Theory!B36</f>
        <v>7376231EE132</v>
      </c>
      <c r="C46" s="120">
        <v>8</v>
      </c>
      <c r="D46" s="121"/>
      <c r="E46" s="105"/>
      <c r="F46" s="121"/>
      <c r="G46" s="105"/>
      <c r="H46" s="108">
        <v>8</v>
      </c>
      <c r="I46" s="108"/>
      <c r="J46" s="107"/>
      <c r="K46" s="108"/>
      <c r="L46" s="108"/>
      <c r="M46" s="104">
        <f t="shared" ref="M46:Q46" si="33">IF(C46="","",H46*100/C46)</f>
        <v>100</v>
      </c>
      <c r="N46" s="104" t="str">
        <f t="shared" si="33"/>
        <v/>
      </c>
      <c r="O46" s="104" t="str">
        <f t="shared" si="33"/>
        <v/>
      </c>
      <c r="P46" s="104" t="str">
        <f t="shared" si="33"/>
        <v/>
      </c>
      <c r="Q46" s="104" t="str">
        <f t="shared" si="33"/>
        <v/>
      </c>
      <c r="R46" s="105"/>
      <c r="S46" s="105"/>
      <c r="T46" s="105"/>
      <c r="U46" s="105"/>
      <c r="V46" s="105"/>
      <c r="W46" s="122">
        <f>IP!D36</f>
        <v>8</v>
      </c>
    </row>
    <row r="47" spans="1:26" ht="15.75" customHeight="1">
      <c r="A47" s="103">
        <f>Theory!A37</f>
        <v>32</v>
      </c>
      <c r="B47" s="103" t="str">
        <f>Theory!B37</f>
        <v>7376231EE133</v>
      </c>
      <c r="C47" s="120">
        <v>8</v>
      </c>
      <c r="D47" s="121"/>
      <c r="E47" s="105"/>
      <c r="F47" s="121"/>
      <c r="G47" s="105"/>
      <c r="H47" s="108">
        <v>6</v>
      </c>
      <c r="I47" s="108"/>
      <c r="J47" s="107"/>
      <c r="K47" s="108"/>
      <c r="L47" s="108"/>
      <c r="M47" s="104">
        <f t="shared" ref="M47:Q47" si="34">IF(C47="","",H47*100/C47)</f>
        <v>75</v>
      </c>
      <c r="N47" s="104" t="str">
        <f t="shared" si="34"/>
        <v/>
      </c>
      <c r="O47" s="104" t="str">
        <f t="shared" si="34"/>
        <v/>
      </c>
      <c r="P47" s="104" t="str">
        <f t="shared" si="34"/>
        <v/>
      </c>
      <c r="Q47" s="104" t="str">
        <f t="shared" si="34"/>
        <v/>
      </c>
      <c r="R47" s="105"/>
      <c r="S47" s="105"/>
      <c r="T47" s="105"/>
      <c r="U47" s="105"/>
      <c r="V47" s="105"/>
      <c r="W47" s="122">
        <f>IP!D37</f>
        <v>6</v>
      </c>
    </row>
    <row r="48" spans="1:26" ht="15.75" customHeight="1">
      <c r="A48" s="103">
        <f>Theory!A38</f>
        <v>33</v>
      </c>
      <c r="B48" s="103" t="str">
        <f>Theory!B38</f>
        <v>7376231EE134</v>
      </c>
      <c r="C48" s="120">
        <v>8</v>
      </c>
      <c r="D48" s="121"/>
      <c r="E48" s="105"/>
      <c r="F48" s="121"/>
      <c r="G48" s="105"/>
      <c r="H48" s="108">
        <v>8</v>
      </c>
      <c r="I48" s="108"/>
      <c r="J48" s="107"/>
      <c r="K48" s="108"/>
      <c r="L48" s="108"/>
      <c r="M48" s="104">
        <f t="shared" ref="M48:Q48" si="35">IF(C48="","",H48*100/C48)</f>
        <v>100</v>
      </c>
      <c r="N48" s="104" t="str">
        <f t="shared" si="35"/>
        <v/>
      </c>
      <c r="O48" s="104" t="str">
        <f t="shared" si="35"/>
        <v/>
      </c>
      <c r="P48" s="104" t="str">
        <f t="shared" si="35"/>
        <v/>
      </c>
      <c r="Q48" s="104" t="str">
        <f t="shared" si="35"/>
        <v/>
      </c>
      <c r="R48" s="105"/>
      <c r="S48" s="105"/>
      <c r="T48" s="105"/>
      <c r="U48" s="105"/>
      <c r="V48" s="105"/>
      <c r="W48" s="122">
        <f>IP!D38</f>
        <v>8</v>
      </c>
    </row>
    <row r="49" spans="1:23" ht="15.75" customHeight="1">
      <c r="A49" s="103">
        <f>Theory!A39</f>
        <v>34</v>
      </c>
      <c r="B49" s="103" t="str">
        <f>Theory!B39</f>
        <v>7376231EE135</v>
      </c>
      <c r="C49" s="120">
        <v>8</v>
      </c>
      <c r="D49" s="121"/>
      <c r="E49" s="105"/>
      <c r="F49" s="121"/>
      <c r="G49" s="105"/>
      <c r="H49" s="108">
        <v>8</v>
      </c>
      <c r="I49" s="108"/>
      <c r="J49" s="107"/>
      <c r="K49" s="108"/>
      <c r="L49" s="108"/>
      <c r="M49" s="104">
        <f t="shared" ref="M49:Q49" si="36">IF(C49="","",H49*100/C49)</f>
        <v>100</v>
      </c>
      <c r="N49" s="104" t="str">
        <f t="shared" si="36"/>
        <v/>
      </c>
      <c r="O49" s="104" t="str">
        <f t="shared" si="36"/>
        <v/>
      </c>
      <c r="P49" s="104" t="str">
        <f t="shared" si="36"/>
        <v/>
      </c>
      <c r="Q49" s="104" t="str">
        <f t="shared" si="36"/>
        <v/>
      </c>
      <c r="R49" s="105"/>
      <c r="S49" s="105"/>
      <c r="T49" s="105"/>
      <c r="U49" s="105"/>
      <c r="V49" s="105"/>
      <c r="W49" s="122">
        <f>IP!D39</f>
        <v>8</v>
      </c>
    </row>
    <row r="50" spans="1:23" ht="15.75" customHeight="1">
      <c r="A50" s="103">
        <f>Theory!A40</f>
        <v>35</v>
      </c>
      <c r="B50" s="103" t="str">
        <f>Theory!B40</f>
        <v>7376231EE136</v>
      </c>
      <c r="C50" s="120">
        <v>8</v>
      </c>
      <c r="D50" s="121"/>
      <c r="E50" s="105"/>
      <c r="F50" s="121"/>
      <c r="G50" s="105"/>
      <c r="H50" s="108">
        <v>8</v>
      </c>
      <c r="I50" s="108"/>
      <c r="J50" s="107"/>
      <c r="K50" s="108"/>
      <c r="L50" s="108"/>
      <c r="M50" s="104">
        <f t="shared" ref="M50:Q50" si="37">IF(C50="","",H50*100/C50)</f>
        <v>100</v>
      </c>
      <c r="N50" s="104" t="str">
        <f t="shared" si="37"/>
        <v/>
      </c>
      <c r="O50" s="104" t="str">
        <f t="shared" si="37"/>
        <v/>
      </c>
      <c r="P50" s="104" t="str">
        <f t="shared" si="37"/>
        <v/>
      </c>
      <c r="Q50" s="104" t="str">
        <f t="shared" si="37"/>
        <v/>
      </c>
      <c r="R50" s="105"/>
      <c r="S50" s="105"/>
      <c r="T50" s="105"/>
      <c r="U50" s="105"/>
      <c r="V50" s="105"/>
      <c r="W50" s="122">
        <f>IP!D40</f>
        <v>8</v>
      </c>
    </row>
    <row r="51" spans="1:23" ht="15.75" customHeight="1">
      <c r="A51" s="103">
        <f>Theory!A41</f>
        <v>36</v>
      </c>
      <c r="B51" s="103" t="str">
        <f>Theory!B41</f>
        <v>7376231EE137</v>
      </c>
      <c r="C51" s="120">
        <v>8</v>
      </c>
      <c r="D51" s="121"/>
      <c r="E51" s="105"/>
      <c r="F51" s="121"/>
      <c r="G51" s="105"/>
      <c r="H51" s="108">
        <v>8</v>
      </c>
      <c r="I51" s="108"/>
      <c r="J51" s="107"/>
      <c r="K51" s="108"/>
      <c r="L51" s="108"/>
      <c r="M51" s="104">
        <f t="shared" ref="M51:Q51" si="38">IF(C51="","",H51*100/C51)</f>
        <v>100</v>
      </c>
      <c r="N51" s="104" t="str">
        <f t="shared" si="38"/>
        <v/>
      </c>
      <c r="O51" s="104" t="str">
        <f t="shared" si="38"/>
        <v/>
      </c>
      <c r="P51" s="104" t="str">
        <f t="shared" si="38"/>
        <v/>
      </c>
      <c r="Q51" s="104" t="str">
        <f t="shared" si="38"/>
        <v/>
      </c>
      <c r="R51" s="105"/>
      <c r="S51" s="105"/>
      <c r="T51" s="105"/>
      <c r="U51" s="105"/>
      <c r="V51" s="105"/>
      <c r="W51" s="122">
        <f>IP!D41</f>
        <v>8</v>
      </c>
    </row>
    <row r="52" spans="1:23" ht="15.75" customHeight="1">
      <c r="A52" s="103">
        <f>Theory!A42</f>
        <v>37</v>
      </c>
      <c r="B52" s="103" t="str">
        <f>Theory!B42</f>
        <v>7376231EE138</v>
      </c>
      <c r="C52" s="120">
        <v>8</v>
      </c>
      <c r="D52" s="121"/>
      <c r="E52" s="105"/>
      <c r="F52" s="121"/>
      <c r="G52" s="105"/>
      <c r="H52" s="108">
        <v>8</v>
      </c>
      <c r="I52" s="108"/>
      <c r="J52" s="107"/>
      <c r="K52" s="108"/>
      <c r="L52" s="108"/>
      <c r="M52" s="104">
        <f t="shared" ref="M52:Q52" si="39">IF(C52="","",H52*100/C52)</f>
        <v>100</v>
      </c>
      <c r="N52" s="104" t="str">
        <f t="shared" si="39"/>
        <v/>
      </c>
      <c r="O52" s="104" t="str">
        <f t="shared" si="39"/>
        <v/>
      </c>
      <c r="P52" s="104" t="str">
        <f t="shared" si="39"/>
        <v/>
      </c>
      <c r="Q52" s="104" t="str">
        <f t="shared" si="39"/>
        <v/>
      </c>
      <c r="R52" s="105"/>
      <c r="S52" s="105"/>
      <c r="T52" s="105"/>
      <c r="U52" s="105"/>
      <c r="V52" s="105"/>
      <c r="W52" s="122">
        <f>IP!D42</f>
        <v>8</v>
      </c>
    </row>
    <row r="53" spans="1:23" ht="15.75" customHeight="1">
      <c r="A53" s="103">
        <f>Theory!A43</f>
        <v>38</v>
      </c>
      <c r="B53" s="103" t="str">
        <f>Theory!B43</f>
        <v>7376231EE139</v>
      </c>
      <c r="C53" s="120">
        <v>8</v>
      </c>
      <c r="D53" s="121"/>
      <c r="E53" s="105"/>
      <c r="F53" s="121"/>
      <c r="G53" s="105"/>
      <c r="H53" s="108">
        <v>8</v>
      </c>
      <c r="I53" s="108"/>
      <c r="J53" s="107"/>
      <c r="K53" s="108"/>
      <c r="L53" s="108"/>
      <c r="M53" s="104">
        <f t="shared" ref="M53:Q53" si="40">IF(C53="","",H53*100/C53)</f>
        <v>100</v>
      </c>
      <c r="N53" s="104" t="str">
        <f t="shared" si="40"/>
        <v/>
      </c>
      <c r="O53" s="104" t="str">
        <f t="shared" si="40"/>
        <v/>
      </c>
      <c r="P53" s="104" t="str">
        <f t="shared" si="40"/>
        <v/>
      </c>
      <c r="Q53" s="104" t="str">
        <f t="shared" si="40"/>
        <v/>
      </c>
      <c r="R53" s="105"/>
      <c r="S53" s="105"/>
      <c r="T53" s="105"/>
      <c r="U53" s="105"/>
      <c r="V53" s="105"/>
      <c r="W53" s="122">
        <f>IP!D43</f>
        <v>8</v>
      </c>
    </row>
    <row r="54" spans="1:23" ht="15.75" customHeight="1">
      <c r="A54" s="103">
        <f>Theory!A44</f>
        <v>39</v>
      </c>
      <c r="B54" s="103" t="str">
        <f>Theory!B44</f>
        <v>7376231EE140</v>
      </c>
      <c r="C54" s="120">
        <v>8</v>
      </c>
      <c r="D54" s="121"/>
      <c r="E54" s="105"/>
      <c r="F54" s="121"/>
      <c r="G54" s="105"/>
      <c r="H54" s="108">
        <v>7</v>
      </c>
      <c r="I54" s="108"/>
      <c r="J54" s="107"/>
      <c r="K54" s="108"/>
      <c r="L54" s="108"/>
      <c r="M54" s="104">
        <f t="shared" ref="M54:Q54" si="41">IF(C54="","",H54*100/C54)</f>
        <v>87.5</v>
      </c>
      <c r="N54" s="104" t="str">
        <f t="shared" si="41"/>
        <v/>
      </c>
      <c r="O54" s="104" t="str">
        <f t="shared" si="41"/>
        <v/>
      </c>
      <c r="P54" s="104" t="str">
        <f t="shared" si="41"/>
        <v/>
      </c>
      <c r="Q54" s="104" t="str">
        <f t="shared" si="41"/>
        <v/>
      </c>
      <c r="R54" s="105"/>
      <c r="S54" s="105"/>
      <c r="T54" s="105"/>
      <c r="U54" s="105"/>
      <c r="V54" s="105"/>
      <c r="W54" s="122">
        <f>IP!D44</f>
        <v>7</v>
      </c>
    </row>
    <row r="55" spans="1:23" ht="15.75" customHeight="1">
      <c r="A55" s="103">
        <f>Theory!A45</f>
        <v>40</v>
      </c>
      <c r="B55" s="103" t="str">
        <f>Theory!B45</f>
        <v>7376231EE141</v>
      </c>
      <c r="C55" s="120">
        <v>8</v>
      </c>
      <c r="D55" s="121"/>
      <c r="E55" s="105"/>
      <c r="F55" s="121"/>
      <c r="G55" s="105"/>
      <c r="H55" s="108">
        <v>8</v>
      </c>
      <c r="I55" s="108"/>
      <c r="J55" s="107"/>
      <c r="K55" s="108"/>
      <c r="L55" s="108"/>
      <c r="M55" s="104">
        <f t="shared" ref="M55:Q55" si="42">IF(C55="","",H55*100/C55)</f>
        <v>100</v>
      </c>
      <c r="N55" s="104" t="str">
        <f t="shared" si="42"/>
        <v/>
      </c>
      <c r="O55" s="104" t="str">
        <f t="shared" si="42"/>
        <v/>
      </c>
      <c r="P55" s="104" t="str">
        <f t="shared" si="42"/>
        <v/>
      </c>
      <c r="Q55" s="104" t="str">
        <f t="shared" si="42"/>
        <v/>
      </c>
      <c r="R55" s="105"/>
      <c r="S55" s="105"/>
      <c r="T55" s="105"/>
      <c r="U55" s="105"/>
      <c r="V55" s="105"/>
      <c r="W55" s="122">
        <f>IP!D45</f>
        <v>8</v>
      </c>
    </row>
    <row r="56" spans="1:23" ht="15.75" customHeight="1">
      <c r="A56" s="103">
        <f>Theory!A46</f>
        <v>41</v>
      </c>
      <c r="B56" s="103" t="str">
        <f>Theory!B46</f>
        <v>7376231EE142</v>
      </c>
      <c r="C56" s="120">
        <v>8</v>
      </c>
      <c r="D56" s="121"/>
      <c r="E56" s="105"/>
      <c r="F56" s="121"/>
      <c r="G56" s="105"/>
      <c r="H56" s="108">
        <v>8</v>
      </c>
      <c r="I56" s="108"/>
      <c r="J56" s="107"/>
      <c r="K56" s="108"/>
      <c r="L56" s="108"/>
      <c r="M56" s="104">
        <f t="shared" ref="M56:Q56" si="43">IF(C56="","",H56*100/C56)</f>
        <v>100</v>
      </c>
      <c r="N56" s="104" t="str">
        <f t="shared" si="43"/>
        <v/>
      </c>
      <c r="O56" s="104" t="str">
        <f t="shared" si="43"/>
        <v/>
      </c>
      <c r="P56" s="104" t="str">
        <f t="shared" si="43"/>
        <v/>
      </c>
      <c r="Q56" s="104" t="str">
        <f t="shared" si="43"/>
        <v/>
      </c>
      <c r="R56" s="105"/>
      <c r="S56" s="105"/>
      <c r="T56" s="105"/>
      <c r="U56" s="105"/>
      <c r="V56" s="105"/>
      <c r="W56" s="122">
        <f>IP!D46</f>
        <v>8</v>
      </c>
    </row>
    <row r="57" spans="1:23" ht="15.75" customHeight="1">
      <c r="A57" s="103">
        <f>Theory!A47</f>
        <v>42</v>
      </c>
      <c r="B57" s="103" t="str">
        <f>Theory!B47</f>
        <v>7376231EE143</v>
      </c>
      <c r="C57" s="120">
        <v>8</v>
      </c>
      <c r="D57" s="121"/>
      <c r="E57" s="105"/>
      <c r="F57" s="121"/>
      <c r="G57" s="105"/>
      <c r="H57" s="108">
        <v>7</v>
      </c>
      <c r="I57" s="108"/>
      <c r="J57" s="107"/>
      <c r="K57" s="108"/>
      <c r="L57" s="108"/>
      <c r="M57" s="104">
        <f t="shared" ref="M57:Q57" si="44">IF(C57="","",H57*100/C57)</f>
        <v>87.5</v>
      </c>
      <c r="N57" s="104" t="str">
        <f t="shared" si="44"/>
        <v/>
      </c>
      <c r="O57" s="104" t="str">
        <f t="shared" si="44"/>
        <v/>
      </c>
      <c r="P57" s="104" t="str">
        <f t="shared" si="44"/>
        <v/>
      </c>
      <c r="Q57" s="104" t="str">
        <f t="shared" si="44"/>
        <v/>
      </c>
      <c r="R57" s="105"/>
      <c r="S57" s="105"/>
      <c r="T57" s="105"/>
      <c r="U57" s="105"/>
      <c r="V57" s="105"/>
      <c r="W57" s="122">
        <f>IP!D47</f>
        <v>7</v>
      </c>
    </row>
    <row r="58" spans="1:23" ht="15.75" customHeight="1">
      <c r="A58" s="103">
        <f>Theory!A48</f>
        <v>43</v>
      </c>
      <c r="B58" s="103" t="str">
        <f>Theory!B48</f>
        <v>7376231EE144</v>
      </c>
      <c r="C58" s="120">
        <v>8</v>
      </c>
      <c r="D58" s="121"/>
      <c r="E58" s="105"/>
      <c r="F58" s="121"/>
      <c r="G58" s="105"/>
      <c r="H58" s="108">
        <v>7</v>
      </c>
      <c r="I58" s="108"/>
      <c r="J58" s="107"/>
      <c r="K58" s="108"/>
      <c r="L58" s="108"/>
      <c r="M58" s="104">
        <f t="shared" ref="M58:Q58" si="45">IF(C58="","",H58*100/C58)</f>
        <v>87.5</v>
      </c>
      <c r="N58" s="104" t="str">
        <f t="shared" si="45"/>
        <v/>
      </c>
      <c r="O58" s="104" t="str">
        <f t="shared" si="45"/>
        <v/>
      </c>
      <c r="P58" s="104" t="str">
        <f t="shared" si="45"/>
        <v/>
      </c>
      <c r="Q58" s="104" t="str">
        <f t="shared" si="45"/>
        <v/>
      </c>
      <c r="R58" s="105"/>
      <c r="S58" s="105"/>
      <c r="T58" s="105"/>
      <c r="U58" s="105"/>
      <c r="V58" s="105"/>
      <c r="W58" s="122">
        <f>IP!D48</f>
        <v>7</v>
      </c>
    </row>
    <row r="59" spans="1:23" ht="15.75" customHeight="1">
      <c r="A59" s="103">
        <f>Theory!A49</f>
        <v>44</v>
      </c>
      <c r="B59" s="103" t="str">
        <f>Theory!B49</f>
        <v>7376231EE145</v>
      </c>
      <c r="C59" s="120">
        <v>8</v>
      </c>
      <c r="D59" s="121"/>
      <c r="E59" s="105"/>
      <c r="F59" s="121"/>
      <c r="G59" s="105"/>
      <c r="H59" s="108">
        <v>8</v>
      </c>
      <c r="I59" s="108"/>
      <c r="J59" s="107"/>
      <c r="K59" s="108"/>
      <c r="L59" s="108"/>
      <c r="M59" s="104">
        <f t="shared" ref="M59:Q59" si="46">IF(C59="","",H59*100/C59)</f>
        <v>100</v>
      </c>
      <c r="N59" s="104" t="str">
        <f t="shared" si="46"/>
        <v/>
      </c>
      <c r="O59" s="104" t="str">
        <f t="shared" si="46"/>
        <v/>
      </c>
      <c r="P59" s="104" t="str">
        <f t="shared" si="46"/>
        <v/>
      </c>
      <c r="Q59" s="104" t="str">
        <f t="shared" si="46"/>
        <v/>
      </c>
      <c r="R59" s="105"/>
      <c r="S59" s="105"/>
      <c r="T59" s="105"/>
      <c r="U59" s="105"/>
      <c r="V59" s="105"/>
      <c r="W59" s="122">
        <f>IP!D49</f>
        <v>8</v>
      </c>
    </row>
    <row r="60" spans="1:23" ht="15.75" customHeight="1">
      <c r="A60" s="103">
        <f>Theory!A50</f>
        <v>45</v>
      </c>
      <c r="B60" s="103" t="str">
        <f>Theory!B50</f>
        <v>7376231EE146</v>
      </c>
      <c r="C60" s="120">
        <v>8</v>
      </c>
      <c r="D60" s="121"/>
      <c r="E60" s="105"/>
      <c r="F60" s="121"/>
      <c r="G60" s="105"/>
      <c r="H60" s="108">
        <v>8</v>
      </c>
      <c r="I60" s="108"/>
      <c r="J60" s="107"/>
      <c r="K60" s="108"/>
      <c r="L60" s="108"/>
      <c r="M60" s="104">
        <f t="shared" ref="M60:Q60" si="47">IF(C60="","",H60*100/C60)</f>
        <v>100</v>
      </c>
      <c r="N60" s="104" t="str">
        <f t="shared" si="47"/>
        <v/>
      </c>
      <c r="O60" s="104" t="str">
        <f t="shared" si="47"/>
        <v/>
      </c>
      <c r="P60" s="104" t="str">
        <f t="shared" si="47"/>
        <v/>
      </c>
      <c r="Q60" s="104" t="str">
        <f t="shared" si="47"/>
        <v/>
      </c>
      <c r="R60" s="105"/>
      <c r="S60" s="105"/>
      <c r="T60" s="105"/>
      <c r="U60" s="105"/>
      <c r="V60" s="105"/>
      <c r="W60" s="122">
        <f>IP!D50</f>
        <v>8</v>
      </c>
    </row>
    <row r="61" spans="1:23" ht="15.75" customHeight="1">
      <c r="A61" s="103">
        <f>Theory!A51</f>
        <v>46</v>
      </c>
      <c r="B61" s="103" t="str">
        <f>Theory!B51</f>
        <v>7376231EE147</v>
      </c>
      <c r="C61" s="120">
        <v>8</v>
      </c>
      <c r="D61" s="121"/>
      <c r="E61" s="105"/>
      <c r="F61" s="121"/>
      <c r="G61" s="105"/>
      <c r="H61" s="108">
        <v>7</v>
      </c>
      <c r="I61" s="108"/>
      <c r="J61" s="107"/>
      <c r="K61" s="108"/>
      <c r="L61" s="108"/>
      <c r="M61" s="104">
        <f t="shared" ref="M61:Q61" si="48">IF(C61="","",H61*100/C61)</f>
        <v>87.5</v>
      </c>
      <c r="N61" s="104" t="str">
        <f t="shared" si="48"/>
        <v/>
      </c>
      <c r="O61" s="104" t="str">
        <f t="shared" si="48"/>
        <v/>
      </c>
      <c r="P61" s="104" t="str">
        <f t="shared" si="48"/>
        <v/>
      </c>
      <c r="Q61" s="104" t="str">
        <f t="shared" si="48"/>
        <v/>
      </c>
      <c r="R61" s="105"/>
      <c r="S61" s="105"/>
      <c r="T61" s="105"/>
      <c r="U61" s="105"/>
      <c r="V61" s="105"/>
      <c r="W61" s="122">
        <f>IP!D51</f>
        <v>7</v>
      </c>
    </row>
    <row r="62" spans="1:23" ht="15.75" customHeight="1">
      <c r="A62" s="103">
        <f>Theory!A52</f>
        <v>47</v>
      </c>
      <c r="B62" s="103" t="str">
        <f>Theory!B52</f>
        <v>7376231EE148</v>
      </c>
      <c r="C62" s="120">
        <v>8</v>
      </c>
      <c r="D62" s="121"/>
      <c r="E62" s="105"/>
      <c r="F62" s="121"/>
      <c r="G62" s="105"/>
      <c r="H62" s="108">
        <v>8</v>
      </c>
      <c r="I62" s="108"/>
      <c r="J62" s="107"/>
      <c r="K62" s="108"/>
      <c r="L62" s="108"/>
      <c r="M62" s="104">
        <f t="shared" ref="M62:Q62" si="49">IF(C62="","",H62*100/C62)</f>
        <v>100</v>
      </c>
      <c r="N62" s="104" t="str">
        <f t="shared" si="49"/>
        <v/>
      </c>
      <c r="O62" s="104" t="str">
        <f t="shared" si="49"/>
        <v/>
      </c>
      <c r="P62" s="104" t="str">
        <f t="shared" si="49"/>
        <v/>
      </c>
      <c r="Q62" s="104" t="str">
        <f t="shared" si="49"/>
        <v/>
      </c>
      <c r="R62" s="105"/>
      <c r="S62" s="105"/>
      <c r="T62" s="105"/>
      <c r="U62" s="105"/>
      <c r="V62" s="105"/>
      <c r="W62" s="122">
        <f>IP!D52</f>
        <v>8</v>
      </c>
    </row>
    <row r="63" spans="1:23" ht="15.75" customHeight="1">
      <c r="A63" s="103">
        <f>Theory!A53</f>
        <v>48</v>
      </c>
      <c r="B63" s="103" t="str">
        <f>Theory!B53</f>
        <v>7376231EE149</v>
      </c>
      <c r="C63" s="120">
        <v>8</v>
      </c>
      <c r="D63" s="121"/>
      <c r="E63" s="105"/>
      <c r="F63" s="121"/>
      <c r="G63" s="105"/>
      <c r="H63" s="108">
        <v>5</v>
      </c>
      <c r="I63" s="108"/>
      <c r="J63" s="107"/>
      <c r="K63" s="108"/>
      <c r="L63" s="108"/>
      <c r="M63" s="104">
        <f t="shared" ref="M63:Q63" si="50">IF(C63="","",H63*100/C63)</f>
        <v>62.5</v>
      </c>
      <c r="N63" s="104" t="str">
        <f t="shared" si="50"/>
        <v/>
      </c>
      <c r="O63" s="104" t="str">
        <f t="shared" si="50"/>
        <v/>
      </c>
      <c r="P63" s="104" t="str">
        <f t="shared" si="50"/>
        <v/>
      </c>
      <c r="Q63" s="104" t="str">
        <f t="shared" si="50"/>
        <v/>
      </c>
      <c r="R63" s="105"/>
      <c r="S63" s="105"/>
      <c r="T63" s="105"/>
      <c r="U63" s="105"/>
      <c r="V63" s="105"/>
      <c r="W63" s="122">
        <f>IP!D53</f>
        <v>5</v>
      </c>
    </row>
    <row r="64" spans="1:23" ht="15.75" customHeight="1">
      <c r="A64" s="103">
        <f>Theory!A54</f>
        <v>49</v>
      </c>
      <c r="B64" s="103" t="str">
        <f>Theory!B54</f>
        <v>7376231EE150</v>
      </c>
      <c r="C64" s="120">
        <v>8</v>
      </c>
      <c r="D64" s="121"/>
      <c r="E64" s="105"/>
      <c r="F64" s="121"/>
      <c r="G64" s="105"/>
      <c r="H64" s="108">
        <v>5</v>
      </c>
      <c r="I64" s="108"/>
      <c r="J64" s="107"/>
      <c r="K64" s="108"/>
      <c r="L64" s="108"/>
      <c r="M64" s="104">
        <f t="shared" ref="M64:Q64" si="51">IF(C64="","",H64*100/C64)</f>
        <v>62.5</v>
      </c>
      <c r="N64" s="104" t="str">
        <f t="shared" si="51"/>
        <v/>
      </c>
      <c r="O64" s="104" t="str">
        <f t="shared" si="51"/>
        <v/>
      </c>
      <c r="P64" s="104" t="str">
        <f t="shared" si="51"/>
        <v/>
      </c>
      <c r="Q64" s="104" t="str">
        <f t="shared" si="51"/>
        <v/>
      </c>
      <c r="R64" s="105"/>
      <c r="S64" s="105"/>
      <c r="T64" s="105"/>
      <c r="U64" s="105"/>
      <c r="V64" s="105"/>
      <c r="W64" s="122">
        <f>IP!D54</f>
        <v>5</v>
      </c>
    </row>
    <row r="65" spans="1:23" ht="15.75" customHeight="1">
      <c r="A65" s="103">
        <f>Theory!A55</f>
        <v>50</v>
      </c>
      <c r="B65" s="103" t="str">
        <f>Theory!B55</f>
        <v>7376231EE151</v>
      </c>
      <c r="C65" s="120">
        <v>8</v>
      </c>
      <c r="D65" s="121"/>
      <c r="E65" s="105"/>
      <c r="F65" s="121"/>
      <c r="G65" s="105"/>
      <c r="H65" s="108">
        <v>4</v>
      </c>
      <c r="I65" s="108"/>
      <c r="J65" s="107"/>
      <c r="K65" s="108"/>
      <c r="L65" s="108"/>
      <c r="M65" s="104">
        <f t="shared" ref="M65:Q65" si="52">IF(C65="","",H65*100/C65)</f>
        <v>50</v>
      </c>
      <c r="N65" s="104" t="str">
        <f t="shared" si="52"/>
        <v/>
      </c>
      <c r="O65" s="104" t="str">
        <f t="shared" si="52"/>
        <v/>
      </c>
      <c r="P65" s="104" t="str">
        <f t="shared" si="52"/>
        <v/>
      </c>
      <c r="Q65" s="104" t="str">
        <f t="shared" si="52"/>
        <v/>
      </c>
      <c r="R65" s="105"/>
      <c r="S65" s="105"/>
      <c r="T65" s="105"/>
      <c r="U65" s="105"/>
      <c r="V65" s="105"/>
      <c r="W65" s="122">
        <f>IP!D55</f>
        <v>4</v>
      </c>
    </row>
    <row r="66" spans="1:23" ht="15.75" customHeight="1">
      <c r="A66" s="103">
        <f>Theory!A56</f>
        <v>51</v>
      </c>
      <c r="B66" s="103" t="str">
        <f>Theory!B56</f>
        <v>7376231EE152</v>
      </c>
      <c r="C66" s="120">
        <v>8</v>
      </c>
      <c r="D66" s="121"/>
      <c r="E66" s="105"/>
      <c r="F66" s="121"/>
      <c r="G66" s="105"/>
      <c r="H66" s="108">
        <v>8</v>
      </c>
      <c r="I66" s="108"/>
      <c r="J66" s="107"/>
      <c r="K66" s="108"/>
      <c r="L66" s="108"/>
      <c r="M66" s="104">
        <f t="shared" ref="M66:Q66" si="53">IF(C66="","",H66*100/C66)</f>
        <v>100</v>
      </c>
      <c r="N66" s="104" t="str">
        <f t="shared" si="53"/>
        <v/>
      </c>
      <c r="O66" s="104" t="str">
        <f t="shared" si="53"/>
        <v/>
      </c>
      <c r="P66" s="104" t="str">
        <f t="shared" si="53"/>
        <v/>
      </c>
      <c r="Q66" s="104" t="str">
        <f t="shared" si="53"/>
        <v/>
      </c>
      <c r="R66" s="105"/>
      <c r="S66" s="105"/>
      <c r="T66" s="105"/>
      <c r="U66" s="105"/>
      <c r="V66" s="105"/>
      <c r="W66" s="122">
        <f>IP!D56</f>
        <v>8</v>
      </c>
    </row>
    <row r="67" spans="1:23" ht="15.75" customHeight="1">
      <c r="A67" s="103">
        <f>Theory!A57</f>
        <v>52</v>
      </c>
      <c r="B67" s="103" t="str">
        <f>Theory!B57</f>
        <v>7376231EE153</v>
      </c>
      <c r="C67" s="120">
        <v>8</v>
      </c>
      <c r="D67" s="121"/>
      <c r="E67" s="105"/>
      <c r="F67" s="121"/>
      <c r="G67" s="105"/>
      <c r="H67" s="108">
        <v>7</v>
      </c>
      <c r="I67" s="108"/>
      <c r="J67" s="107"/>
      <c r="K67" s="108"/>
      <c r="L67" s="108"/>
      <c r="M67" s="104">
        <f t="shared" ref="M67:Q67" si="54">IF(C67="","",H67*100/C67)</f>
        <v>87.5</v>
      </c>
      <c r="N67" s="104" t="str">
        <f t="shared" si="54"/>
        <v/>
      </c>
      <c r="O67" s="104" t="str">
        <f t="shared" si="54"/>
        <v/>
      </c>
      <c r="P67" s="104" t="str">
        <f t="shared" si="54"/>
        <v/>
      </c>
      <c r="Q67" s="104" t="str">
        <f t="shared" si="54"/>
        <v/>
      </c>
      <c r="R67" s="105"/>
      <c r="S67" s="105"/>
      <c r="T67" s="105"/>
      <c r="U67" s="105"/>
      <c r="V67" s="105"/>
      <c r="W67" s="122">
        <f>IP!D57</f>
        <v>7</v>
      </c>
    </row>
    <row r="68" spans="1:23" ht="15.75" customHeight="1">
      <c r="A68" s="103">
        <f>Theory!A58</f>
        <v>53</v>
      </c>
      <c r="B68" s="103" t="str">
        <f>Theory!B58</f>
        <v>7376231EE154</v>
      </c>
      <c r="C68" s="120">
        <v>8</v>
      </c>
      <c r="D68" s="121"/>
      <c r="E68" s="105"/>
      <c r="F68" s="121"/>
      <c r="G68" s="105"/>
      <c r="H68" s="108">
        <v>8</v>
      </c>
      <c r="I68" s="108"/>
      <c r="J68" s="107"/>
      <c r="K68" s="108"/>
      <c r="L68" s="108"/>
      <c r="M68" s="104">
        <f t="shared" ref="M68:Q68" si="55">IF(C68="","",H68*100/C68)</f>
        <v>100</v>
      </c>
      <c r="N68" s="104" t="str">
        <f t="shared" si="55"/>
        <v/>
      </c>
      <c r="O68" s="104" t="str">
        <f t="shared" si="55"/>
        <v/>
      </c>
      <c r="P68" s="104" t="str">
        <f t="shared" si="55"/>
        <v/>
      </c>
      <c r="Q68" s="104" t="str">
        <f t="shared" si="55"/>
        <v/>
      </c>
      <c r="R68" s="105"/>
      <c r="S68" s="105"/>
      <c r="T68" s="105"/>
      <c r="U68" s="105"/>
      <c r="V68" s="105"/>
      <c r="W68" s="122">
        <f>IP!D58</f>
        <v>8</v>
      </c>
    </row>
    <row r="69" spans="1:23" ht="15.75" customHeight="1">
      <c r="A69" s="103">
        <f>Theory!A59</f>
        <v>54</v>
      </c>
      <c r="B69" s="103" t="str">
        <f>Theory!B59</f>
        <v>7376231EE155</v>
      </c>
      <c r="C69" s="120">
        <v>8</v>
      </c>
      <c r="D69" s="121"/>
      <c r="E69" s="105"/>
      <c r="F69" s="121"/>
      <c r="G69" s="105"/>
      <c r="H69" s="108">
        <v>7</v>
      </c>
      <c r="I69" s="108"/>
      <c r="J69" s="107"/>
      <c r="K69" s="108"/>
      <c r="L69" s="108"/>
      <c r="M69" s="104">
        <f t="shared" ref="M69:Q69" si="56">IF(C69="","",H69*100/C69)</f>
        <v>87.5</v>
      </c>
      <c r="N69" s="104" t="str">
        <f t="shared" si="56"/>
        <v/>
      </c>
      <c r="O69" s="104" t="str">
        <f t="shared" si="56"/>
        <v/>
      </c>
      <c r="P69" s="104" t="str">
        <f t="shared" si="56"/>
        <v/>
      </c>
      <c r="Q69" s="104" t="str">
        <f t="shared" si="56"/>
        <v/>
      </c>
      <c r="R69" s="105"/>
      <c r="S69" s="105"/>
      <c r="T69" s="105"/>
      <c r="U69" s="105"/>
      <c r="V69" s="105"/>
      <c r="W69" s="122">
        <f>IP!D59</f>
        <v>7</v>
      </c>
    </row>
    <row r="70" spans="1:23" ht="15.75" customHeight="1">
      <c r="A70" s="103">
        <f>Theory!A60</f>
        <v>55</v>
      </c>
      <c r="B70" s="103" t="str">
        <f>Theory!B60</f>
        <v>7376231EE156</v>
      </c>
      <c r="C70" s="120">
        <v>8</v>
      </c>
      <c r="D70" s="121"/>
      <c r="E70" s="105"/>
      <c r="F70" s="121"/>
      <c r="G70" s="105"/>
      <c r="H70" s="108">
        <v>8</v>
      </c>
      <c r="I70" s="108"/>
      <c r="J70" s="107"/>
      <c r="K70" s="108"/>
      <c r="L70" s="108"/>
      <c r="M70" s="104">
        <f t="shared" ref="M70:Q70" si="57">IF(C70="","",H70*100/C70)</f>
        <v>100</v>
      </c>
      <c r="N70" s="104" t="str">
        <f t="shared" si="57"/>
        <v/>
      </c>
      <c r="O70" s="104" t="str">
        <f t="shared" si="57"/>
        <v/>
      </c>
      <c r="P70" s="104" t="str">
        <f t="shared" si="57"/>
        <v/>
      </c>
      <c r="Q70" s="104" t="str">
        <f t="shared" si="57"/>
        <v/>
      </c>
      <c r="R70" s="105"/>
      <c r="S70" s="105"/>
      <c r="T70" s="105"/>
      <c r="U70" s="105"/>
      <c r="V70" s="105"/>
      <c r="W70" s="122">
        <f>IP!D60</f>
        <v>8</v>
      </c>
    </row>
    <row r="71" spans="1:23" ht="15.75" customHeight="1">
      <c r="A71" s="103">
        <f>Theory!A61</f>
        <v>56</v>
      </c>
      <c r="B71" s="103" t="str">
        <f>Theory!B61</f>
        <v>7376231EE157</v>
      </c>
      <c r="C71" s="120">
        <v>8</v>
      </c>
      <c r="D71" s="121"/>
      <c r="E71" s="105"/>
      <c r="F71" s="121"/>
      <c r="G71" s="105"/>
      <c r="H71" s="108">
        <v>8</v>
      </c>
      <c r="I71" s="108"/>
      <c r="J71" s="107"/>
      <c r="K71" s="108"/>
      <c r="L71" s="108"/>
      <c r="M71" s="104">
        <f t="shared" ref="M71:Q71" si="58">IF(C71="","",H71*100/C71)</f>
        <v>100</v>
      </c>
      <c r="N71" s="104" t="str">
        <f t="shared" si="58"/>
        <v/>
      </c>
      <c r="O71" s="104" t="str">
        <f t="shared" si="58"/>
        <v/>
      </c>
      <c r="P71" s="104" t="str">
        <f t="shared" si="58"/>
        <v/>
      </c>
      <c r="Q71" s="104" t="str">
        <f t="shared" si="58"/>
        <v/>
      </c>
      <c r="R71" s="105"/>
      <c r="S71" s="105"/>
      <c r="T71" s="105"/>
      <c r="U71" s="105"/>
      <c r="V71" s="105"/>
      <c r="W71" s="122">
        <f>IP!D61</f>
        <v>8</v>
      </c>
    </row>
    <row r="72" spans="1:23" ht="15.75" customHeight="1">
      <c r="A72" s="103">
        <f>Theory!A62</f>
        <v>57</v>
      </c>
      <c r="B72" s="103" t="str">
        <f>Theory!B62</f>
        <v>7376231EE158</v>
      </c>
      <c r="C72" s="120">
        <v>8</v>
      </c>
      <c r="D72" s="121"/>
      <c r="E72" s="105"/>
      <c r="F72" s="121"/>
      <c r="G72" s="105"/>
      <c r="H72" s="108">
        <v>6</v>
      </c>
      <c r="I72" s="108"/>
      <c r="J72" s="107"/>
      <c r="K72" s="108"/>
      <c r="L72" s="108"/>
      <c r="M72" s="104">
        <f t="shared" ref="M72:Q72" si="59">IF(C72="","",H72*100/C72)</f>
        <v>75</v>
      </c>
      <c r="N72" s="104" t="str">
        <f t="shared" si="59"/>
        <v/>
      </c>
      <c r="O72" s="104" t="str">
        <f t="shared" si="59"/>
        <v/>
      </c>
      <c r="P72" s="104" t="str">
        <f t="shared" si="59"/>
        <v/>
      </c>
      <c r="Q72" s="104" t="str">
        <f t="shared" si="59"/>
        <v/>
      </c>
      <c r="R72" s="105"/>
      <c r="S72" s="105"/>
      <c r="T72" s="105"/>
      <c r="U72" s="105"/>
      <c r="V72" s="105"/>
      <c r="W72" s="122">
        <f>IP!D62</f>
        <v>6</v>
      </c>
    </row>
    <row r="73" spans="1:23" ht="15.75" customHeight="1">
      <c r="A73" s="103">
        <f>Theory!A63</f>
        <v>58</v>
      </c>
      <c r="B73" s="103" t="str">
        <f>Theory!B63</f>
        <v>7376231EE159</v>
      </c>
      <c r="C73" s="120">
        <v>8</v>
      </c>
      <c r="D73" s="121"/>
      <c r="E73" s="105"/>
      <c r="F73" s="121"/>
      <c r="G73" s="105"/>
      <c r="H73" s="108">
        <v>6</v>
      </c>
      <c r="I73" s="108"/>
      <c r="J73" s="107"/>
      <c r="K73" s="108"/>
      <c r="L73" s="108"/>
      <c r="M73" s="104">
        <f t="shared" ref="M73:Q73" si="60">IF(C73="","",H73*100/C73)</f>
        <v>75</v>
      </c>
      <c r="N73" s="104" t="str">
        <f t="shared" si="60"/>
        <v/>
      </c>
      <c r="O73" s="104" t="str">
        <f t="shared" si="60"/>
        <v/>
      </c>
      <c r="P73" s="104" t="str">
        <f t="shared" si="60"/>
        <v/>
      </c>
      <c r="Q73" s="104" t="str">
        <f t="shared" si="60"/>
        <v/>
      </c>
      <c r="R73" s="105"/>
      <c r="S73" s="105"/>
      <c r="T73" s="105"/>
      <c r="U73" s="105"/>
      <c r="V73" s="105"/>
      <c r="W73" s="122">
        <f>IP!D63</f>
        <v>6</v>
      </c>
    </row>
    <row r="74" spans="1:23" ht="15.75" customHeight="1">
      <c r="A74" s="103">
        <f>Theory!A64</f>
        <v>59</v>
      </c>
      <c r="B74" s="103" t="str">
        <f>Theory!B64</f>
        <v>7376231EE160</v>
      </c>
      <c r="C74" s="120">
        <v>8</v>
      </c>
      <c r="D74" s="121"/>
      <c r="E74" s="105"/>
      <c r="F74" s="121"/>
      <c r="G74" s="105"/>
      <c r="H74" s="108">
        <v>6</v>
      </c>
      <c r="I74" s="108"/>
      <c r="J74" s="107"/>
      <c r="K74" s="108"/>
      <c r="L74" s="108"/>
      <c r="M74" s="104">
        <f t="shared" ref="M74:Q74" si="61">IF(C74="","",H74*100/C74)</f>
        <v>75</v>
      </c>
      <c r="N74" s="104" t="str">
        <f t="shared" si="61"/>
        <v/>
      </c>
      <c r="O74" s="104" t="str">
        <f t="shared" si="61"/>
        <v/>
      </c>
      <c r="P74" s="104" t="str">
        <f t="shared" si="61"/>
        <v/>
      </c>
      <c r="Q74" s="104" t="str">
        <f t="shared" si="61"/>
        <v/>
      </c>
      <c r="R74" s="105"/>
      <c r="S74" s="105"/>
      <c r="T74" s="105"/>
      <c r="U74" s="105"/>
      <c r="V74" s="105"/>
      <c r="W74" s="122">
        <f>IP!D64</f>
        <v>6</v>
      </c>
    </row>
    <row r="75" spans="1:23" ht="15.75" customHeight="1">
      <c r="A75" s="103">
        <f>Theory!A65</f>
        <v>60</v>
      </c>
      <c r="B75" s="103" t="str">
        <f>Theory!B65</f>
        <v>7376231EE161</v>
      </c>
      <c r="C75" s="120">
        <v>8</v>
      </c>
      <c r="D75" s="121"/>
      <c r="E75" s="105"/>
      <c r="F75" s="121"/>
      <c r="G75" s="105"/>
      <c r="H75" s="108">
        <v>7</v>
      </c>
      <c r="I75" s="108"/>
      <c r="J75" s="107"/>
      <c r="K75" s="108"/>
      <c r="L75" s="108"/>
      <c r="M75" s="104">
        <f t="shared" ref="M75:Q75" si="62">IF(C75="","",H75*100/C75)</f>
        <v>87.5</v>
      </c>
      <c r="N75" s="104" t="str">
        <f t="shared" si="62"/>
        <v/>
      </c>
      <c r="O75" s="104" t="str">
        <f t="shared" si="62"/>
        <v/>
      </c>
      <c r="P75" s="104" t="str">
        <f t="shared" si="62"/>
        <v/>
      </c>
      <c r="Q75" s="104" t="str">
        <f t="shared" si="62"/>
        <v/>
      </c>
      <c r="R75" s="105"/>
      <c r="S75" s="105"/>
      <c r="T75" s="105"/>
      <c r="U75" s="105"/>
      <c r="V75" s="105"/>
      <c r="W75" s="122">
        <f>IP!D65</f>
        <v>7</v>
      </c>
    </row>
    <row r="76" spans="1:23" ht="15.75" customHeight="1">
      <c r="A76" s="103">
        <f>Theory!A66</f>
        <v>61</v>
      </c>
      <c r="B76" s="103" t="str">
        <f>Theory!B66</f>
        <v>7376241EE501</v>
      </c>
      <c r="C76" s="120">
        <v>8</v>
      </c>
      <c r="D76" s="121"/>
      <c r="E76" s="105"/>
      <c r="F76" s="121"/>
      <c r="G76" s="105"/>
      <c r="H76" s="108">
        <v>6</v>
      </c>
      <c r="I76" s="108"/>
      <c r="J76" s="107"/>
      <c r="K76" s="108"/>
      <c r="L76" s="108"/>
      <c r="M76" s="104">
        <f t="shared" ref="M76:Q76" si="63">IF(C76="","",H76*100/C76)</f>
        <v>75</v>
      </c>
      <c r="N76" s="104" t="str">
        <f t="shared" si="63"/>
        <v/>
      </c>
      <c r="O76" s="104" t="str">
        <f t="shared" si="63"/>
        <v/>
      </c>
      <c r="P76" s="104" t="str">
        <f t="shared" si="63"/>
        <v/>
      </c>
      <c r="Q76" s="104" t="str">
        <f t="shared" si="63"/>
        <v/>
      </c>
      <c r="R76" s="105"/>
      <c r="S76" s="105"/>
      <c r="T76" s="105"/>
      <c r="U76" s="105"/>
      <c r="V76" s="105"/>
      <c r="W76" s="122">
        <f>IP!D66</f>
        <v>6</v>
      </c>
    </row>
    <row r="77" spans="1:23" ht="15.75" customHeight="1">
      <c r="A77" s="103">
        <f>Theory!A67</f>
        <v>62</v>
      </c>
      <c r="B77" s="103" t="str">
        <f>Theory!B67</f>
        <v>7376241EE502</v>
      </c>
      <c r="C77" s="120">
        <v>8</v>
      </c>
      <c r="D77" s="121"/>
      <c r="E77" s="105"/>
      <c r="F77" s="121"/>
      <c r="G77" s="105"/>
      <c r="H77" s="108">
        <v>4</v>
      </c>
      <c r="I77" s="108"/>
      <c r="J77" s="107"/>
      <c r="K77" s="108"/>
      <c r="L77" s="108"/>
      <c r="M77" s="104">
        <f t="shared" ref="M77:Q77" si="64">IF(C77="","",H77*100/C77)</f>
        <v>50</v>
      </c>
      <c r="N77" s="104" t="str">
        <f t="shared" si="64"/>
        <v/>
      </c>
      <c r="O77" s="104" t="str">
        <f t="shared" si="64"/>
        <v/>
      </c>
      <c r="P77" s="104" t="str">
        <f t="shared" si="64"/>
        <v/>
      </c>
      <c r="Q77" s="104" t="str">
        <f t="shared" si="64"/>
        <v/>
      </c>
      <c r="R77" s="105"/>
      <c r="S77" s="105"/>
      <c r="T77" s="105"/>
      <c r="U77" s="105"/>
      <c r="V77" s="105"/>
      <c r="W77" s="122">
        <f>IP!D67</f>
        <v>4</v>
      </c>
    </row>
    <row r="78" spans="1:23" ht="15.75" customHeight="1">
      <c r="A78" s="103">
        <f>Theory!A68</f>
        <v>63</v>
      </c>
      <c r="B78" s="103" t="str">
        <f>Theory!B68</f>
        <v>7376241EE503</v>
      </c>
      <c r="C78" s="120">
        <v>8</v>
      </c>
      <c r="D78" s="121"/>
      <c r="E78" s="105"/>
      <c r="F78" s="121"/>
      <c r="G78" s="105"/>
      <c r="H78" s="108">
        <v>5</v>
      </c>
      <c r="I78" s="108"/>
      <c r="J78" s="107"/>
      <c r="K78" s="108"/>
      <c r="L78" s="108"/>
      <c r="M78" s="104">
        <f t="shared" ref="M78:Q78" si="65">IF(C78="","",H78*100/C78)</f>
        <v>62.5</v>
      </c>
      <c r="N78" s="104" t="str">
        <f t="shared" si="65"/>
        <v/>
      </c>
      <c r="O78" s="104" t="str">
        <f t="shared" si="65"/>
        <v/>
      </c>
      <c r="P78" s="104" t="str">
        <f t="shared" si="65"/>
        <v/>
      </c>
      <c r="Q78" s="104" t="str">
        <f t="shared" si="65"/>
        <v/>
      </c>
      <c r="R78" s="105"/>
      <c r="S78" s="105"/>
      <c r="T78" s="105"/>
      <c r="U78" s="105"/>
      <c r="V78" s="105"/>
      <c r="W78" s="122">
        <f>IP!D68</f>
        <v>5</v>
      </c>
    </row>
    <row r="79" spans="1:23" ht="15.75" customHeight="1">
      <c r="A79" s="103">
        <f>Theory!A69</f>
        <v>64</v>
      </c>
      <c r="B79" s="103" t="str">
        <f>Theory!B69</f>
        <v>7376241EE504</v>
      </c>
      <c r="C79" s="120">
        <v>8</v>
      </c>
      <c r="D79" s="121"/>
      <c r="E79" s="105"/>
      <c r="F79" s="121"/>
      <c r="G79" s="105"/>
      <c r="H79" s="108">
        <v>7</v>
      </c>
      <c r="I79" s="108"/>
      <c r="J79" s="107"/>
      <c r="K79" s="108"/>
      <c r="L79" s="108"/>
      <c r="M79" s="104">
        <f t="shared" ref="M79:Q79" si="66">IF(C79="","",H79*100/C79)</f>
        <v>87.5</v>
      </c>
      <c r="N79" s="104" t="str">
        <f t="shared" si="66"/>
        <v/>
      </c>
      <c r="O79" s="104" t="str">
        <f t="shared" si="66"/>
        <v/>
      </c>
      <c r="P79" s="104" t="str">
        <f t="shared" si="66"/>
        <v/>
      </c>
      <c r="Q79" s="104" t="str">
        <f t="shared" si="66"/>
        <v/>
      </c>
      <c r="R79" s="105"/>
      <c r="S79" s="105"/>
      <c r="T79" s="105"/>
      <c r="U79" s="105"/>
      <c r="V79" s="105"/>
      <c r="W79" s="122">
        <f>IP!D69</f>
        <v>7</v>
      </c>
    </row>
    <row r="80" spans="1:23" ht="15.75" customHeight="1">
      <c r="A80" s="103">
        <f>Theory!A70</f>
        <v>65</v>
      </c>
      <c r="B80" s="103" t="str">
        <f>Theory!B70</f>
        <v>7376241EE505</v>
      </c>
      <c r="C80" s="120">
        <v>8</v>
      </c>
      <c r="D80" s="121"/>
      <c r="E80" s="105"/>
      <c r="F80" s="121"/>
      <c r="G80" s="105"/>
      <c r="H80" s="108">
        <v>6</v>
      </c>
      <c r="I80" s="108"/>
      <c r="J80" s="107"/>
      <c r="K80" s="108"/>
      <c r="L80" s="108"/>
      <c r="M80" s="104">
        <f t="shared" ref="M80:Q80" si="67">IF(C80="","",H80*100/C80)</f>
        <v>75</v>
      </c>
      <c r="N80" s="104" t="str">
        <f t="shared" si="67"/>
        <v/>
      </c>
      <c r="O80" s="104" t="str">
        <f t="shared" si="67"/>
        <v/>
      </c>
      <c r="P80" s="104" t="str">
        <f t="shared" si="67"/>
        <v/>
      </c>
      <c r="Q80" s="104" t="str">
        <f t="shared" si="67"/>
        <v/>
      </c>
      <c r="R80" s="105"/>
      <c r="S80" s="105"/>
      <c r="T80" s="105"/>
      <c r="U80" s="105"/>
      <c r="V80" s="105"/>
      <c r="W80" s="122">
        <f>IP!D70</f>
        <v>6</v>
      </c>
    </row>
    <row r="81" spans="1:23" ht="15.75" customHeight="1">
      <c r="A81" s="103">
        <f>Theory!A71</f>
        <v>66</v>
      </c>
      <c r="B81" s="103" t="str">
        <f>Theory!B71</f>
        <v>7376241EE506</v>
      </c>
      <c r="C81" s="120">
        <v>8</v>
      </c>
      <c r="D81" s="121"/>
      <c r="E81" s="105"/>
      <c r="F81" s="121"/>
      <c r="G81" s="105"/>
      <c r="H81" s="108">
        <v>7</v>
      </c>
      <c r="I81" s="108"/>
      <c r="J81" s="107"/>
      <c r="K81" s="108"/>
      <c r="L81" s="108"/>
      <c r="M81" s="104">
        <f t="shared" ref="M81:Q81" si="68">IF(C81="","",H81*100/C81)</f>
        <v>87.5</v>
      </c>
      <c r="N81" s="104" t="str">
        <f t="shared" si="68"/>
        <v/>
      </c>
      <c r="O81" s="104" t="str">
        <f t="shared" si="68"/>
        <v/>
      </c>
      <c r="P81" s="104" t="str">
        <f t="shared" si="68"/>
        <v/>
      </c>
      <c r="Q81" s="104" t="str">
        <f t="shared" si="68"/>
        <v/>
      </c>
      <c r="R81" s="105"/>
      <c r="S81" s="105"/>
      <c r="T81" s="105"/>
      <c r="U81" s="105"/>
      <c r="V81" s="105"/>
      <c r="W81" s="122">
        <f>IP!D71</f>
        <v>7</v>
      </c>
    </row>
    <row r="82" spans="1:23" ht="15.75" hidden="1" customHeight="1">
      <c r="A82" s="103"/>
      <c r="B82" s="103"/>
      <c r="C82" s="105"/>
      <c r="D82" s="121"/>
      <c r="E82" s="105"/>
      <c r="F82" s="121"/>
      <c r="G82" s="105"/>
      <c r="H82" s="108"/>
      <c r="I82" s="108"/>
      <c r="J82" s="107"/>
      <c r="K82" s="108"/>
      <c r="L82" s="108"/>
      <c r="M82" s="104"/>
      <c r="N82" s="104"/>
      <c r="O82" s="104"/>
      <c r="P82" s="104"/>
      <c r="Q82" s="104"/>
      <c r="R82" s="105"/>
      <c r="S82" s="105"/>
      <c r="T82" s="105"/>
      <c r="U82" s="105"/>
      <c r="V82" s="105"/>
      <c r="W82" s="122"/>
    </row>
    <row r="83" spans="1:23" ht="15.75" hidden="1" customHeight="1">
      <c r="A83" s="103"/>
      <c r="B83" s="103"/>
      <c r="C83" s="105"/>
      <c r="D83" s="121"/>
      <c r="E83" s="105"/>
      <c r="F83" s="121"/>
      <c r="G83" s="105"/>
      <c r="H83" s="108"/>
      <c r="I83" s="108"/>
      <c r="J83" s="107"/>
      <c r="K83" s="108"/>
      <c r="L83" s="108"/>
      <c r="M83" s="104"/>
      <c r="N83" s="104"/>
      <c r="O83" s="104"/>
      <c r="P83" s="104"/>
      <c r="Q83" s="104"/>
      <c r="R83" s="105"/>
      <c r="S83" s="105"/>
      <c r="T83" s="105"/>
      <c r="U83" s="105"/>
      <c r="V83" s="105"/>
      <c r="W83" s="122"/>
    </row>
    <row r="84" spans="1:23" ht="15.75" hidden="1" customHeight="1">
      <c r="A84" s="103"/>
      <c r="B84" s="103"/>
      <c r="C84" s="105"/>
      <c r="D84" s="121"/>
      <c r="E84" s="105"/>
      <c r="F84" s="121"/>
      <c r="G84" s="105"/>
      <c r="H84" s="108"/>
      <c r="I84" s="108"/>
      <c r="J84" s="107"/>
      <c r="K84" s="108"/>
      <c r="L84" s="108"/>
      <c r="M84" s="104"/>
      <c r="N84" s="104"/>
      <c r="O84" s="104"/>
      <c r="P84" s="104"/>
      <c r="Q84" s="104"/>
      <c r="R84" s="105"/>
      <c r="S84" s="105"/>
      <c r="T84" s="105"/>
      <c r="U84" s="105"/>
      <c r="V84" s="105"/>
      <c r="W84" s="122"/>
    </row>
    <row r="85" spans="1:23" ht="15.75" hidden="1" customHeight="1">
      <c r="A85" s="103"/>
      <c r="B85" s="103"/>
      <c r="C85" s="105"/>
      <c r="D85" s="121"/>
      <c r="E85" s="105"/>
      <c r="F85" s="121"/>
      <c r="G85" s="105"/>
      <c r="H85" s="108"/>
      <c r="I85" s="108"/>
      <c r="J85" s="107"/>
      <c r="K85" s="108"/>
      <c r="L85" s="108"/>
      <c r="M85" s="104"/>
      <c r="N85" s="104"/>
      <c r="O85" s="104"/>
      <c r="P85" s="104"/>
      <c r="Q85" s="104"/>
      <c r="R85" s="105"/>
      <c r="S85" s="105"/>
      <c r="T85" s="105"/>
      <c r="U85" s="105"/>
      <c r="V85" s="105"/>
      <c r="W85" s="122"/>
    </row>
    <row r="86" spans="1:23" ht="15.75" hidden="1" customHeight="1">
      <c r="A86" s="103"/>
      <c r="B86" s="103"/>
      <c r="C86" s="105"/>
      <c r="D86" s="121"/>
      <c r="E86" s="105"/>
      <c r="F86" s="121"/>
      <c r="G86" s="105"/>
      <c r="H86" s="108"/>
      <c r="I86" s="108"/>
      <c r="J86" s="107"/>
      <c r="K86" s="108"/>
      <c r="L86" s="108"/>
      <c r="M86" s="104"/>
      <c r="N86" s="104"/>
      <c r="O86" s="104"/>
      <c r="P86" s="104"/>
      <c r="Q86" s="104"/>
      <c r="R86" s="105"/>
      <c r="S86" s="105"/>
      <c r="T86" s="105"/>
      <c r="U86" s="105"/>
      <c r="V86" s="105"/>
      <c r="W86" s="122"/>
    </row>
    <row r="87" spans="1:23" ht="15.75" hidden="1" customHeight="1">
      <c r="A87" s="103"/>
      <c r="B87" s="103"/>
      <c r="C87" s="105"/>
      <c r="D87" s="121"/>
      <c r="E87" s="105"/>
      <c r="F87" s="121"/>
      <c r="G87" s="105"/>
      <c r="H87" s="108"/>
      <c r="I87" s="108"/>
      <c r="J87" s="107"/>
      <c r="K87" s="108"/>
      <c r="L87" s="108"/>
      <c r="M87" s="104"/>
      <c r="N87" s="104"/>
      <c r="O87" s="104"/>
      <c r="P87" s="104"/>
      <c r="Q87" s="104"/>
      <c r="R87" s="105"/>
      <c r="S87" s="105"/>
      <c r="T87" s="105"/>
      <c r="U87" s="105"/>
      <c r="V87" s="105"/>
      <c r="W87" s="122"/>
    </row>
    <row r="88" spans="1:23" ht="15.75" hidden="1" customHeight="1">
      <c r="A88" s="103"/>
      <c r="B88" s="103"/>
      <c r="C88" s="105"/>
      <c r="D88" s="121"/>
      <c r="E88" s="105"/>
      <c r="F88" s="121"/>
      <c r="G88" s="105"/>
      <c r="H88" s="108"/>
      <c r="I88" s="108"/>
      <c r="J88" s="107"/>
      <c r="K88" s="108"/>
      <c r="L88" s="108"/>
      <c r="M88" s="104"/>
      <c r="N88" s="104"/>
      <c r="O88" s="104"/>
      <c r="P88" s="104"/>
      <c r="Q88" s="104"/>
      <c r="R88" s="105"/>
      <c r="S88" s="105"/>
      <c r="T88" s="105"/>
      <c r="U88" s="105"/>
      <c r="V88" s="105"/>
      <c r="W88" s="122"/>
    </row>
    <row r="89" spans="1:23" ht="15.75" hidden="1" customHeight="1">
      <c r="A89" s="103"/>
      <c r="B89" s="103"/>
      <c r="C89" s="105"/>
      <c r="D89" s="121"/>
      <c r="E89" s="105"/>
      <c r="F89" s="121"/>
      <c r="G89" s="105"/>
      <c r="H89" s="108"/>
      <c r="I89" s="108"/>
      <c r="J89" s="107"/>
      <c r="K89" s="108"/>
      <c r="L89" s="108"/>
      <c r="M89" s="104"/>
      <c r="N89" s="104"/>
      <c r="O89" s="104"/>
      <c r="P89" s="104"/>
      <c r="Q89" s="104"/>
      <c r="R89" s="105"/>
      <c r="S89" s="105"/>
      <c r="T89" s="105"/>
      <c r="U89" s="105"/>
      <c r="V89" s="105"/>
      <c r="W89" s="122"/>
    </row>
    <row r="90" spans="1:23" ht="15.75" hidden="1" customHeight="1">
      <c r="A90" s="103"/>
      <c r="B90" s="103"/>
      <c r="C90" s="105"/>
      <c r="D90" s="121"/>
      <c r="E90" s="105"/>
      <c r="F90" s="121"/>
      <c r="G90" s="105"/>
      <c r="H90" s="108"/>
      <c r="I90" s="108"/>
      <c r="J90" s="107"/>
      <c r="K90" s="108"/>
      <c r="L90" s="108"/>
      <c r="M90" s="104"/>
      <c r="N90" s="104"/>
      <c r="O90" s="104"/>
      <c r="P90" s="104"/>
      <c r="Q90" s="104"/>
      <c r="R90" s="105"/>
      <c r="S90" s="105"/>
      <c r="T90" s="105"/>
      <c r="U90" s="105"/>
      <c r="V90" s="105"/>
      <c r="W90" s="122"/>
    </row>
    <row r="91" spans="1:23" ht="15.75" hidden="1" customHeight="1">
      <c r="A91" s="103"/>
      <c r="B91" s="103"/>
      <c r="C91" s="105"/>
      <c r="D91" s="121"/>
      <c r="E91" s="105"/>
      <c r="F91" s="121"/>
      <c r="G91" s="105"/>
      <c r="H91" s="108"/>
      <c r="I91" s="108"/>
      <c r="J91" s="107"/>
      <c r="K91" s="108"/>
      <c r="L91" s="108"/>
      <c r="M91" s="104"/>
      <c r="N91" s="104"/>
      <c r="O91" s="104"/>
      <c r="P91" s="104"/>
      <c r="Q91" s="104"/>
      <c r="R91" s="105"/>
      <c r="S91" s="105"/>
      <c r="T91" s="105"/>
      <c r="U91" s="105"/>
      <c r="V91" s="105"/>
      <c r="W91" s="122"/>
    </row>
    <row r="92" spans="1:23" ht="15.75" hidden="1" customHeight="1">
      <c r="A92" s="103"/>
      <c r="B92" s="103"/>
      <c r="C92" s="105"/>
      <c r="D92" s="121"/>
      <c r="E92" s="105"/>
      <c r="F92" s="121"/>
      <c r="G92" s="105"/>
      <c r="H92" s="108"/>
      <c r="I92" s="108"/>
      <c r="J92" s="107"/>
      <c r="K92" s="108"/>
      <c r="L92" s="108"/>
      <c r="M92" s="104"/>
      <c r="N92" s="104"/>
      <c r="O92" s="104"/>
      <c r="P92" s="104"/>
      <c r="Q92" s="104"/>
      <c r="R92" s="105"/>
      <c r="S92" s="105"/>
      <c r="T92" s="105"/>
      <c r="U92" s="105"/>
      <c r="V92" s="105"/>
      <c r="W92" s="122"/>
    </row>
    <row r="93" spans="1:23" ht="15.75" hidden="1" customHeight="1">
      <c r="A93" s="103"/>
      <c r="B93" s="103"/>
      <c r="C93" s="105"/>
      <c r="D93" s="121"/>
      <c r="E93" s="105"/>
      <c r="F93" s="121"/>
      <c r="G93" s="105"/>
      <c r="H93" s="108"/>
      <c r="I93" s="108"/>
      <c r="J93" s="107"/>
      <c r="K93" s="108"/>
      <c r="L93" s="108"/>
      <c r="M93" s="104"/>
      <c r="N93" s="104"/>
      <c r="O93" s="104"/>
      <c r="P93" s="104"/>
      <c r="Q93" s="104"/>
      <c r="R93" s="105"/>
      <c r="S93" s="105"/>
      <c r="T93" s="105"/>
      <c r="U93" s="105"/>
      <c r="V93" s="105"/>
      <c r="W93" s="122"/>
    </row>
    <row r="94" spans="1:23" ht="15.75" hidden="1" customHeight="1">
      <c r="A94" s="103"/>
      <c r="B94" s="103"/>
      <c r="C94" s="105"/>
      <c r="D94" s="121"/>
      <c r="E94" s="105"/>
      <c r="F94" s="121"/>
      <c r="G94" s="105"/>
      <c r="H94" s="108"/>
      <c r="I94" s="108"/>
      <c r="J94" s="107"/>
      <c r="K94" s="108"/>
      <c r="L94" s="108"/>
      <c r="M94" s="104"/>
      <c r="N94" s="104"/>
      <c r="O94" s="104"/>
      <c r="P94" s="104"/>
      <c r="Q94" s="104"/>
      <c r="R94" s="105"/>
      <c r="S94" s="105"/>
      <c r="T94" s="105"/>
      <c r="U94" s="105"/>
      <c r="V94" s="105"/>
      <c r="W94" s="122"/>
    </row>
    <row r="95" spans="1:23" ht="15.75" hidden="1" customHeight="1">
      <c r="A95" s="103"/>
      <c r="B95" s="103"/>
      <c r="C95" s="105"/>
      <c r="D95" s="121"/>
      <c r="E95" s="105"/>
      <c r="F95" s="121"/>
      <c r="G95" s="105"/>
      <c r="H95" s="108"/>
      <c r="I95" s="108"/>
      <c r="J95" s="107"/>
      <c r="K95" s="108"/>
      <c r="L95" s="108"/>
      <c r="M95" s="104"/>
      <c r="N95" s="104"/>
      <c r="O95" s="104"/>
      <c r="P95" s="104"/>
      <c r="Q95" s="104"/>
      <c r="R95" s="105"/>
      <c r="S95" s="105"/>
      <c r="T95" s="105"/>
      <c r="U95" s="105"/>
      <c r="V95" s="105"/>
      <c r="W95" s="122"/>
    </row>
    <row r="96" spans="1:23" ht="15.75" hidden="1" customHeight="1">
      <c r="A96" s="103"/>
      <c r="B96" s="103"/>
      <c r="C96" s="105"/>
      <c r="D96" s="121"/>
      <c r="E96" s="105"/>
      <c r="F96" s="121"/>
      <c r="G96" s="105"/>
      <c r="H96" s="108"/>
      <c r="I96" s="108"/>
      <c r="J96" s="107"/>
      <c r="K96" s="108"/>
      <c r="L96" s="108"/>
      <c r="M96" s="104"/>
      <c r="N96" s="104"/>
      <c r="O96" s="104"/>
      <c r="P96" s="104"/>
      <c r="Q96" s="104"/>
      <c r="R96" s="105"/>
      <c r="S96" s="105"/>
      <c r="T96" s="105"/>
      <c r="U96" s="105"/>
      <c r="V96" s="105"/>
      <c r="W96" s="122"/>
    </row>
    <row r="97" spans="1:23" ht="15.75" hidden="1" customHeight="1">
      <c r="A97" s="103"/>
      <c r="B97" s="103"/>
      <c r="C97" s="105"/>
      <c r="D97" s="121"/>
      <c r="E97" s="105"/>
      <c r="F97" s="121"/>
      <c r="G97" s="105"/>
      <c r="H97" s="108"/>
      <c r="I97" s="108"/>
      <c r="J97" s="107"/>
      <c r="K97" s="108"/>
      <c r="L97" s="108"/>
      <c r="M97" s="104"/>
      <c r="N97" s="104"/>
      <c r="O97" s="104"/>
      <c r="P97" s="104"/>
      <c r="Q97" s="104"/>
      <c r="R97" s="105"/>
      <c r="S97" s="105"/>
      <c r="T97" s="105"/>
      <c r="U97" s="105"/>
      <c r="V97" s="105"/>
      <c r="W97" s="122"/>
    </row>
    <row r="98" spans="1:23" ht="15.75" hidden="1" customHeight="1">
      <c r="A98" s="103"/>
      <c r="B98" s="103"/>
      <c r="C98" s="105"/>
      <c r="D98" s="121"/>
      <c r="E98" s="105"/>
      <c r="F98" s="121"/>
      <c r="G98" s="105"/>
      <c r="H98" s="108"/>
      <c r="I98" s="108"/>
      <c r="J98" s="107"/>
      <c r="K98" s="108"/>
      <c r="L98" s="108"/>
      <c r="M98" s="104"/>
      <c r="N98" s="104"/>
      <c r="O98" s="104"/>
      <c r="P98" s="104"/>
      <c r="Q98" s="104"/>
      <c r="R98" s="105"/>
      <c r="S98" s="105"/>
      <c r="T98" s="105"/>
      <c r="U98" s="105"/>
      <c r="V98" s="105"/>
      <c r="W98" s="122"/>
    </row>
    <row r="99" spans="1:23" ht="15.75" hidden="1" customHeight="1">
      <c r="A99" s="103"/>
      <c r="B99" s="103"/>
      <c r="C99" s="105"/>
      <c r="D99" s="121"/>
      <c r="E99" s="105"/>
      <c r="F99" s="121"/>
      <c r="G99" s="105"/>
      <c r="H99" s="108"/>
      <c r="I99" s="108"/>
      <c r="J99" s="107"/>
      <c r="K99" s="108"/>
      <c r="L99" s="108"/>
      <c r="M99" s="104"/>
      <c r="N99" s="104"/>
      <c r="O99" s="104"/>
      <c r="P99" s="104"/>
      <c r="Q99" s="104"/>
      <c r="R99" s="105"/>
      <c r="S99" s="105"/>
      <c r="T99" s="105"/>
      <c r="U99" s="105"/>
      <c r="V99" s="105"/>
      <c r="W99" s="122"/>
    </row>
    <row r="100" spans="1:23" ht="15.75" hidden="1" customHeight="1">
      <c r="A100" s="103"/>
      <c r="B100" s="103"/>
      <c r="C100" s="105"/>
      <c r="D100" s="121"/>
      <c r="E100" s="105"/>
      <c r="F100" s="121"/>
      <c r="G100" s="105"/>
      <c r="H100" s="108"/>
      <c r="I100" s="108"/>
      <c r="J100" s="107"/>
      <c r="K100" s="108"/>
      <c r="L100" s="108"/>
      <c r="M100" s="104"/>
      <c r="N100" s="104"/>
      <c r="O100" s="104"/>
      <c r="P100" s="104"/>
      <c r="Q100" s="104"/>
      <c r="R100" s="105"/>
      <c r="S100" s="105"/>
      <c r="T100" s="105"/>
      <c r="U100" s="105"/>
      <c r="V100" s="105"/>
      <c r="W100" s="122"/>
    </row>
    <row r="101" spans="1:23" ht="15.75" hidden="1" customHeight="1">
      <c r="A101" s="103"/>
      <c r="B101" s="103"/>
      <c r="C101" s="105"/>
      <c r="D101" s="121"/>
      <c r="E101" s="105"/>
      <c r="F101" s="121"/>
      <c r="G101" s="105"/>
      <c r="H101" s="108"/>
      <c r="I101" s="108"/>
      <c r="J101" s="107"/>
      <c r="K101" s="108"/>
      <c r="L101" s="108"/>
      <c r="M101" s="104"/>
      <c r="N101" s="104"/>
      <c r="O101" s="104"/>
      <c r="P101" s="104"/>
      <c r="Q101" s="104"/>
      <c r="R101" s="105"/>
      <c r="S101" s="105"/>
      <c r="T101" s="105"/>
      <c r="U101" s="105"/>
      <c r="V101" s="105"/>
      <c r="W101" s="122"/>
    </row>
    <row r="102" spans="1:23" ht="15.75" hidden="1" customHeight="1">
      <c r="A102" s="103"/>
      <c r="B102" s="103"/>
      <c r="C102" s="105"/>
      <c r="D102" s="121"/>
      <c r="E102" s="105"/>
      <c r="F102" s="121"/>
      <c r="G102" s="105"/>
      <c r="H102" s="108"/>
      <c r="I102" s="108"/>
      <c r="J102" s="107"/>
      <c r="K102" s="108"/>
      <c r="L102" s="108"/>
      <c r="M102" s="104"/>
      <c r="N102" s="104"/>
      <c r="O102" s="104"/>
      <c r="P102" s="104"/>
      <c r="Q102" s="104"/>
      <c r="R102" s="105"/>
      <c r="S102" s="105"/>
      <c r="T102" s="105"/>
      <c r="U102" s="105"/>
      <c r="V102" s="105"/>
      <c r="W102" s="122"/>
    </row>
    <row r="103" spans="1:23" ht="15.75" hidden="1" customHeight="1">
      <c r="A103" s="103"/>
      <c r="B103" s="103"/>
      <c r="C103" s="105"/>
      <c r="D103" s="121"/>
      <c r="E103" s="105"/>
      <c r="F103" s="121"/>
      <c r="G103" s="105"/>
      <c r="H103" s="108"/>
      <c r="I103" s="108"/>
      <c r="J103" s="107"/>
      <c r="K103" s="108"/>
      <c r="L103" s="108"/>
      <c r="M103" s="104"/>
      <c r="N103" s="104"/>
      <c r="O103" s="104"/>
      <c r="P103" s="104"/>
      <c r="Q103" s="104"/>
      <c r="R103" s="105"/>
      <c r="S103" s="105"/>
      <c r="T103" s="105"/>
      <c r="U103" s="105"/>
      <c r="V103" s="105"/>
      <c r="W103" s="122"/>
    </row>
    <row r="104" spans="1:23" ht="15.75" hidden="1" customHeight="1">
      <c r="A104" s="103"/>
      <c r="B104" s="103"/>
      <c r="C104" s="105"/>
      <c r="D104" s="121"/>
      <c r="E104" s="105"/>
      <c r="F104" s="121"/>
      <c r="G104" s="105"/>
      <c r="H104" s="108"/>
      <c r="I104" s="108"/>
      <c r="J104" s="107"/>
      <c r="K104" s="108"/>
      <c r="L104" s="108"/>
      <c r="M104" s="104"/>
      <c r="N104" s="104"/>
      <c r="O104" s="104"/>
      <c r="P104" s="104"/>
      <c r="Q104" s="104"/>
      <c r="R104" s="105"/>
      <c r="S104" s="105"/>
      <c r="T104" s="105"/>
      <c r="U104" s="105"/>
      <c r="V104" s="105"/>
      <c r="W104" s="122"/>
    </row>
    <row r="105" spans="1:23" ht="15.75" hidden="1" customHeight="1">
      <c r="A105" s="103"/>
      <c r="B105" s="103"/>
      <c r="C105" s="105"/>
      <c r="D105" s="121"/>
      <c r="E105" s="105"/>
      <c r="F105" s="121"/>
      <c r="G105" s="105"/>
      <c r="H105" s="108"/>
      <c r="I105" s="108"/>
      <c r="J105" s="107"/>
      <c r="K105" s="108"/>
      <c r="L105" s="108"/>
      <c r="M105" s="104"/>
      <c r="N105" s="104"/>
      <c r="O105" s="104"/>
      <c r="P105" s="104"/>
      <c r="Q105" s="104"/>
      <c r="R105" s="105"/>
      <c r="S105" s="105"/>
      <c r="T105" s="105"/>
      <c r="U105" s="105"/>
      <c r="V105" s="105"/>
      <c r="W105" s="122"/>
    </row>
    <row r="106" spans="1:23" ht="15.75" hidden="1" customHeight="1">
      <c r="A106" s="103"/>
      <c r="B106" s="103"/>
      <c r="C106" s="105"/>
      <c r="D106" s="121"/>
      <c r="E106" s="105"/>
      <c r="F106" s="121"/>
      <c r="G106" s="105"/>
      <c r="H106" s="108"/>
      <c r="I106" s="108"/>
      <c r="J106" s="107"/>
      <c r="K106" s="108"/>
      <c r="L106" s="108"/>
      <c r="M106" s="104"/>
      <c r="N106" s="104"/>
      <c r="O106" s="104"/>
      <c r="P106" s="104"/>
      <c r="Q106" s="104"/>
      <c r="R106" s="105"/>
      <c r="S106" s="105"/>
      <c r="T106" s="105"/>
      <c r="U106" s="105"/>
      <c r="V106" s="105"/>
      <c r="W106" s="122"/>
    </row>
    <row r="107" spans="1:23" ht="15.75" hidden="1" customHeight="1">
      <c r="A107" s="103"/>
      <c r="B107" s="103"/>
      <c r="C107" s="105"/>
      <c r="D107" s="121"/>
      <c r="E107" s="105"/>
      <c r="F107" s="121"/>
      <c r="G107" s="105"/>
      <c r="H107" s="108"/>
      <c r="I107" s="108"/>
      <c r="J107" s="107"/>
      <c r="K107" s="108"/>
      <c r="L107" s="108"/>
      <c r="M107" s="104"/>
      <c r="N107" s="104"/>
      <c r="O107" s="104"/>
      <c r="P107" s="104"/>
      <c r="Q107" s="104"/>
      <c r="R107" s="105"/>
      <c r="S107" s="105"/>
      <c r="T107" s="105"/>
      <c r="U107" s="105"/>
      <c r="V107" s="105"/>
      <c r="W107" s="122"/>
    </row>
    <row r="108" spans="1:23" ht="15.75" hidden="1" customHeight="1">
      <c r="A108" s="103"/>
      <c r="B108" s="103"/>
      <c r="C108" s="105"/>
      <c r="D108" s="121"/>
      <c r="E108" s="105"/>
      <c r="F108" s="121"/>
      <c r="G108" s="105"/>
      <c r="H108" s="108"/>
      <c r="I108" s="108"/>
      <c r="J108" s="107"/>
      <c r="K108" s="108"/>
      <c r="L108" s="108"/>
      <c r="M108" s="104"/>
      <c r="N108" s="104"/>
      <c r="O108" s="104"/>
      <c r="P108" s="104"/>
      <c r="Q108" s="104"/>
      <c r="R108" s="105"/>
      <c r="S108" s="105"/>
      <c r="T108" s="105"/>
      <c r="U108" s="105"/>
      <c r="V108" s="105"/>
      <c r="W108" s="122"/>
    </row>
    <row r="109" spans="1:23" ht="15.75" hidden="1" customHeight="1">
      <c r="A109" s="103"/>
      <c r="B109" s="103"/>
      <c r="C109" s="105"/>
      <c r="D109" s="121"/>
      <c r="E109" s="105"/>
      <c r="F109" s="121"/>
      <c r="G109" s="105"/>
      <c r="H109" s="108"/>
      <c r="I109" s="108"/>
      <c r="J109" s="107"/>
      <c r="K109" s="108"/>
      <c r="L109" s="108"/>
      <c r="M109" s="104"/>
      <c r="N109" s="104"/>
      <c r="O109" s="104"/>
      <c r="P109" s="104"/>
      <c r="Q109" s="104"/>
      <c r="R109" s="105"/>
      <c r="S109" s="105"/>
      <c r="T109" s="105"/>
      <c r="U109" s="105"/>
      <c r="V109" s="105"/>
      <c r="W109" s="122"/>
    </row>
    <row r="110" spans="1:23" ht="15.75" hidden="1" customHeight="1">
      <c r="A110" s="103"/>
      <c r="B110" s="103"/>
      <c r="C110" s="105"/>
      <c r="D110" s="121"/>
      <c r="E110" s="105"/>
      <c r="F110" s="121"/>
      <c r="G110" s="105"/>
      <c r="H110" s="108"/>
      <c r="I110" s="108"/>
      <c r="J110" s="107"/>
      <c r="K110" s="108"/>
      <c r="L110" s="108"/>
      <c r="M110" s="104"/>
      <c r="N110" s="104"/>
      <c r="O110" s="104"/>
      <c r="P110" s="104"/>
      <c r="Q110" s="104"/>
      <c r="R110" s="105"/>
      <c r="S110" s="105"/>
      <c r="T110" s="105"/>
      <c r="U110" s="105"/>
      <c r="V110" s="105"/>
      <c r="W110" s="122"/>
    </row>
    <row r="111" spans="1:23" ht="15.75" hidden="1" customHeight="1">
      <c r="A111" s="103"/>
      <c r="B111" s="103"/>
      <c r="C111" s="105"/>
      <c r="D111" s="121"/>
      <c r="E111" s="105"/>
      <c r="F111" s="121"/>
      <c r="G111" s="105"/>
      <c r="H111" s="108"/>
      <c r="I111" s="108"/>
      <c r="J111" s="107"/>
      <c r="K111" s="108"/>
      <c r="L111" s="108"/>
      <c r="M111" s="104"/>
      <c r="N111" s="104"/>
      <c r="O111" s="104"/>
      <c r="P111" s="104"/>
      <c r="Q111" s="104"/>
      <c r="R111" s="105"/>
      <c r="S111" s="105"/>
      <c r="T111" s="105"/>
      <c r="U111" s="105"/>
      <c r="V111" s="105"/>
      <c r="W111" s="122"/>
    </row>
    <row r="112" spans="1:23" ht="15.75" hidden="1" customHeight="1">
      <c r="A112" s="103"/>
      <c r="B112" s="103"/>
      <c r="C112" s="105"/>
      <c r="D112" s="121"/>
      <c r="E112" s="105"/>
      <c r="F112" s="121"/>
      <c r="G112" s="105"/>
      <c r="H112" s="108"/>
      <c r="I112" s="108"/>
      <c r="J112" s="107"/>
      <c r="K112" s="108"/>
      <c r="L112" s="108"/>
      <c r="M112" s="104"/>
      <c r="N112" s="104"/>
      <c r="O112" s="104"/>
      <c r="P112" s="104"/>
      <c r="Q112" s="104"/>
      <c r="R112" s="105"/>
      <c r="S112" s="105"/>
      <c r="T112" s="105"/>
      <c r="U112" s="105"/>
      <c r="V112" s="105"/>
      <c r="W112" s="122"/>
    </row>
    <row r="113" spans="1:23" ht="15.75" hidden="1" customHeight="1">
      <c r="A113" s="103"/>
      <c r="B113" s="103"/>
      <c r="C113" s="105"/>
      <c r="D113" s="121"/>
      <c r="E113" s="105"/>
      <c r="F113" s="121"/>
      <c r="G113" s="105"/>
      <c r="H113" s="108"/>
      <c r="I113" s="108"/>
      <c r="J113" s="107"/>
      <c r="K113" s="108"/>
      <c r="L113" s="108"/>
      <c r="M113" s="104"/>
      <c r="N113" s="104"/>
      <c r="O113" s="104"/>
      <c r="P113" s="104"/>
      <c r="Q113" s="104"/>
      <c r="R113" s="105"/>
      <c r="S113" s="105"/>
      <c r="T113" s="105"/>
      <c r="U113" s="105"/>
      <c r="V113" s="105"/>
      <c r="W113" s="122"/>
    </row>
    <row r="114" spans="1:23" ht="15.75" hidden="1" customHeight="1">
      <c r="A114" s="103"/>
      <c r="B114" s="103"/>
      <c r="C114" s="105"/>
      <c r="D114" s="121"/>
      <c r="E114" s="105"/>
      <c r="F114" s="121"/>
      <c r="G114" s="105"/>
      <c r="H114" s="108"/>
      <c r="I114" s="108"/>
      <c r="J114" s="107"/>
      <c r="K114" s="108"/>
      <c r="L114" s="108"/>
      <c r="M114" s="104"/>
      <c r="N114" s="104"/>
      <c r="O114" s="104"/>
      <c r="P114" s="104"/>
      <c r="Q114" s="104"/>
      <c r="R114" s="105"/>
      <c r="S114" s="105"/>
      <c r="T114" s="105"/>
      <c r="U114" s="105"/>
      <c r="V114" s="105"/>
      <c r="W114" s="122"/>
    </row>
    <row r="115" spans="1:23" ht="15.75" hidden="1" customHeight="1">
      <c r="A115" s="103"/>
      <c r="B115" s="103"/>
      <c r="C115" s="105"/>
      <c r="D115" s="121"/>
      <c r="E115" s="105"/>
      <c r="F115" s="121"/>
      <c r="G115" s="105"/>
      <c r="H115" s="108"/>
      <c r="I115" s="108"/>
      <c r="J115" s="107"/>
      <c r="K115" s="108"/>
      <c r="L115" s="108"/>
      <c r="M115" s="104"/>
      <c r="N115" s="104"/>
      <c r="O115" s="104"/>
      <c r="P115" s="104"/>
      <c r="Q115" s="104"/>
      <c r="R115" s="105"/>
      <c r="S115" s="105"/>
      <c r="T115" s="105"/>
      <c r="U115" s="105"/>
      <c r="V115" s="105"/>
      <c r="W115" s="122"/>
    </row>
    <row r="116" spans="1:23" ht="15.75" hidden="1" customHeight="1">
      <c r="A116" s="103"/>
      <c r="B116" s="103"/>
      <c r="C116" s="105"/>
      <c r="D116" s="121"/>
      <c r="E116" s="105"/>
      <c r="F116" s="121"/>
      <c r="G116" s="105"/>
      <c r="H116" s="108"/>
      <c r="I116" s="108"/>
      <c r="J116" s="107"/>
      <c r="K116" s="108"/>
      <c r="L116" s="108"/>
      <c r="M116" s="104"/>
      <c r="N116" s="104"/>
      <c r="O116" s="104"/>
      <c r="P116" s="104"/>
      <c r="Q116" s="104"/>
      <c r="R116" s="105"/>
      <c r="S116" s="105"/>
      <c r="T116" s="105"/>
      <c r="U116" s="105"/>
      <c r="V116" s="105"/>
      <c r="W116" s="122"/>
    </row>
    <row r="117" spans="1:23" ht="15.75" hidden="1" customHeight="1">
      <c r="A117" s="103"/>
      <c r="B117" s="103"/>
      <c r="C117" s="105"/>
      <c r="D117" s="121"/>
      <c r="E117" s="105"/>
      <c r="F117" s="121"/>
      <c r="G117" s="105"/>
      <c r="H117" s="108"/>
      <c r="I117" s="108"/>
      <c r="J117" s="107"/>
      <c r="K117" s="108"/>
      <c r="L117" s="108"/>
      <c r="M117" s="104"/>
      <c r="N117" s="104"/>
      <c r="O117" s="104"/>
      <c r="P117" s="104"/>
      <c r="Q117" s="104"/>
      <c r="R117" s="105"/>
      <c r="S117" s="105"/>
      <c r="T117" s="105"/>
      <c r="U117" s="105"/>
      <c r="V117" s="105"/>
      <c r="W117" s="122"/>
    </row>
    <row r="118" spans="1:23" ht="15.75" hidden="1" customHeight="1">
      <c r="A118" s="103"/>
      <c r="B118" s="103"/>
      <c r="C118" s="105"/>
      <c r="D118" s="121"/>
      <c r="E118" s="105"/>
      <c r="F118" s="121"/>
      <c r="G118" s="105"/>
      <c r="H118" s="108"/>
      <c r="I118" s="108"/>
      <c r="J118" s="107"/>
      <c r="K118" s="108"/>
      <c r="L118" s="108"/>
      <c r="M118" s="104"/>
      <c r="N118" s="104"/>
      <c r="O118" s="104"/>
      <c r="P118" s="104"/>
      <c r="Q118" s="104"/>
      <c r="R118" s="105"/>
      <c r="S118" s="105"/>
      <c r="T118" s="105"/>
      <c r="U118" s="105"/>
      <c r="V118" s="105"/>
      <c r="W118" s="122"/>
    </row>
    <row r="119" spans="1:23" ht="15.75" hidden="1" customHeight="1">
      <c r="A119" s="103"/>
      <c r="B119" s="103"/>
      <c r="C119" s="105"/>
      <c r="D119" s="121"/>
      <c r="E119" s="105"/>
      <c r="F119" s="121"/>
      <c r="G119" s="105"/>
      <c r="H119" s="108"/>
      <c r="I119" s="108"/>
      <c r="J119" s="107"/>
      <c r="K119" s="108"/>
      <c r="L119" s="108"/>
      <c r="M119" s="104"/>
      <c r="N119" s="104"/>
      <c r="O119" s="104"/>
      <c r="P119" s="104"/>
      <c r="Q119" s="104"/>
      <c r="R119" s="105"/>
      <c r="S119" s="105"/>
      <c r="T119" s="105"/>
      <c r="U119" s="105"/>
      <c r="V119" s="105"/>
      <c r="W119" s="122"/>
    </row>
    <row r="120" spans="1:23" ht="15.75" hidden="1" customHeight="1">
      <c r="A120" s="103"/>
      <c r="B120" s="103"/>
      <c r="C120" s="105"/>
      <c r="D120" s="121"/>
      <c r="E120" s="105"/>
      <c r="F120" s="121"/>
      <c r="G120" s="105"/>
      <c r="H120" s="108"/>
      <c r="I120" s="108"/>
      <c r="J120" s="107"/>
      <c r="K120" s="108"/>
      <c r="L120" s="108"/>
      <c r="M120" s="104"/>
      <c r="N120" s="104"/>
      <c r="O120" s="104"/>
      <c r="P120" s="104"/>
      <c r="Q120" s="104"/>
      <c r="R120" s="105"/>
      <c r="S120" s="105"/>
      <c r="T120" s="105"/>
      <c r="U120" s="105"/>
      <c r="V120" s="105"/>
      <c r="W120" s="122"/>
    </row>
    <row r="121" spans="1:23" ht="15.75" hidden="1" customHeight="1">
      <c r="A121" s="103"/>
      <c r="B121" s="103"/>
      <c r="C121" s="105"/>
      <c r="D121" s="121"/>
      <c r="E121" s="105"/>
      <c r="F121" s="121"/>
      <c r="G121" s="105"/>
      <c r="H121" s="108"/>
      <c r="I121" s="108"/>
      <c r="J121" s="107"/>
      <c r="K121" s="108"/>
      <c r="L121" s="108"/>
      <c r="M121" s="104"/>
      <c r="N121" s="104"/>
      <c r="O121" s="104"/>
      <c r="P121" s="104"/>
      <c r="Q121" s="104"/>
      <c r="R121" s="105"/>
      <c r="S121" s="105"/>
      <c r="T121" s="105"/>
      <c r="U121" s="105"/>
      <c r="V121" s="105"/>
      <c r="W121" s="122"/>
    </row>
    <row r="122" spans="1:23" ht="15.75" hidden="1" customHeight="1">
      <c r="A122" s="103"/>
      <c r="B122" s="103"/>
      <c r="C122" s="105"/>
      <c r="D122" s="121"/>
      <c r="E122" s="105"/>
      <c r="F122" s="121"/>
      <c r="G122" s="105"/>
      <c r="H122" s="108"/>
      <c r="I122" s="108"/>
      <c r="J122" s="107"/>
      <c r="K122" s="108"/>
      <c r="L122" s="108"/>
      <c r="M122" s="104"/>
      <c r="N122" s="104"/>
      <c r="O122" s="104"/>
      <c r="P122" s="104"/>
      <c r="Q122" s="104"/>
      <c r="R122" s="105"/>
      <c r="S122" s="105"/>
      <c r="T122" s="105"/>
      <c r="U122" s="105"/>
      <c r="V122" s="105"/>
      <c r="W122" s="122"/>
    </row>
    <row r="123" spans="1:23" ht="15.75" hidden="1" customHeight="1">
      <c r="A123" s="103"/>
      <c r="B123" s="103"/>
      <c r="C123" s="105"/>
      <c r="D123" s="121"/>
      <c r="E123" s="105"/>
      <c r="F123" s="121"/>
      <c r="G123" s="105"/>
      <c r="H123" s="108"/>
      <c r="I123" s="108"/>
      <c r="J123" s="107"/>
      <c r="K123" s="108"/>
      <c r="L123" s="108"/>
      <c r="M123" s="104"/>
      <c r="N123" s="104"/>
      <c r="O123" s="104"/>
      <c r="P123" s="104"/>
      <c r="Q123" s="104"/>
      <c r="R123" s="105"/>
      <c r="S123" s="105"/>
      <c r="T123" s="105"/>
      <c r="U123" s="105"/>
      <c r="V123" s="105"/>
      <c r="W123" s="122"/>
    </row>
    <row r="124" spans="1:23" ht="15.75" hidden="1" customHeight="1">
      <c r="A124" s="103"/>
      <c r="B124" s="103"/>
      <c r="C124" s="105"/>
      <c r="D124" s="121"/>
      <c r="E124" s="105"/>
      <c r="F124" s="121"/>
      <c r="G124" s="105"/>
      <c r="H124" s="108"/>
      <c r="I124" s="108"/>
      <c r="J124" s="107"/>
      <c r="K124" s="108"/>
      <c r="L124" s="108"/>
      <c r="M124" s="104"/>
      <c r="N124" s="104"/>
      <c r="O124" s="104"/>
      <c r="P124" s="104"/>
      <c r="Q124" s="104"/>
      <c r="R124" s="105"/>
      <c r="S124" s="105"/>
      <c r="T124" s="105"/>
      <c r="U124" s="105"/>
      <c r="V124" s="105"/>
      <c r="W124" s="122"/>
    </row>
    <row r="125" spans="1:23" ht="15.75" hidden="1" customHeight="1">
      <c r="A125" s="103"/>
      <c r="B125" s="103"/>
      <c r="C125" s="105"/>
      <c r="D125" s="121"/>
      <c r="E125" s="105"/>
      <c r="F125" s="121"/>
      <c r="G125" s="105"/>
      <c r="H125" s="108"/>
      <c r="I125" s="108"/>
      <c r="J125" s="107"/>
      <c r="K125" s="108"/>
      <c r="L125" s="108"/>
      <c r="M125" s="104"/>
      <c r="N125" s="104"/>
      <c r="O125" s="104"/>
      <c r="P125" s="104"/>
      <c r="Q125" s="104"/>
      <c r="R125" s="105"/>
      <c r="S125" s="105"/>
      <c r="T125" s="105"/>
      <c r="U125" s="105"/>
      <c r="V125" s="105"/>
      <c r="W125" s="122"/>
    </row>
    <row r="126" spans="1:23" ht="15.75" hidden="1" customHeight="1">
      <c r="A126" s="103"/>
      <c r="B126" s="103"/>
      <c r="C126" s="105"/>
      <c r="D126" s="121"/>
      <c r="E126" s="105"/>
      <c r="F126" s="121"/>
      <c r="G126" s="105"/>
      <c r="H126" s="108"/>
      <c r="I126" s="108"/>
      <c r="J126" s="107"/>
      <c r="K126" s="108"/>
      <c r="L126" s="108"/>
      <c r="M126" s="104"/>
      <c r="N126" s="104"/>
      <c r="O126" s="104"/>
      <c r="P126" s="104"/>
      <c r="Q126" s="104"/>
      <c r="R126" s="105"/>
      <c r="S126" s="105"/>
      <c r="T126" s="105"/>
      <c r="U126" s="105"/>
      <c r="V126" s="105"/>
      <c r="W126" s="122"/>
    </row>
    <row r="127" spans="1:23" ht="15.75" hidden="1" customHeight="1">
      <c r="A127" s="103"/>
      <c r="B127" s="103"/>
      <c r="C127" s="105"/>
      <c r="D127" s="121"/>
      <c r="E127" s="105"/>
      <c r="F127" s="121"/>
      <c r="G127" s="105"/>
      <c r="H127" s="108"/>
      <c r="I127" s="108"/>
      <c r="J127" s="107"/>
      <c r="K127" s="108"/>
      <c r="L127" s="108"/>
      <c r="M127" s="104"/>
      <c r="N127" s="104"/>
      <c r="O127" s="104"/>
      <c r="P127" s="104"/>
      <c r="Q127" s="104"/>
      <c r="R127" s="105"/>
      <c r="S127" s="105"/>
      <c r="T127" s="105"/>
      <c r="U127" s="105"/>
      <c r="V127" s="105"/>
      <c r="W127" s="122"/>
    </row>
    <row r="128" spans="1:23" ht="15.75" hidden="1" customHeight="1">
      <c r="A128" s="103"/>
      <c r="B128" s="103"/>
      <c r="C128" s="105"/>
      <c r="D128" s="121"/>
      <c r="E128" s="105"/>
      <c r="F128" s="121"/>
      <c r="G128" s="105"/>
      <c r="H128" s="108"/>
      <c r="I128" s="108"/>
      <c r="J128" s="107"/>
      <c r="K128" s="108"/>
      <c r="L128" s="108"/>
      <c r="M128" s="104"/>
      <c r="N128" s="104"/>
      <c r="O128" s="104"/>
      <c r="P128" s="104"/>
      <c r="Q128" s="104"/>
      <c r="R128" s="105"/>
      <c r="S128" s="105"/>
      <c r="T128" s="105"/>
      <c r="U128" s="105"/>
      <c r="V128" s="105"/>
      <c r="W128" s="122"/>
    </row>
    <row r="129" spans="1:23" ht="15.75" hidden="1" customHeight="1">
      <c r="A129" s="103"/>
      <c r="B129" s="103"/>
      <c r="C129" s="105"/>
      <c r="D129" s="121"/>
      <c r="E129" s="105"/>
      <c r="F129" s="121"/>
      <c r="G129" s="105"/>
      <c r="H129" s="108"/>
      <c r="I129" s="108"/>
      <c r="J129" s="107"/>
      <c r="K129" s="108"/>
      <c r="L129" s="108"/>
      <c r="M129" s="104"/>
      <c r="N129" s="104"/>
      <c r="O129" s="104"/>
      <c r="P129" s="104"/>
      <c r="Q129" s="104"/>
      <c r="R129" s="105"/>
      <c r="S129" s="105"/>
      <c r="T129" s="105"/>
      <c r="U129" s="105"/>
      <c r="V129" s="105"/>
      <c r="W129" s="122"/>
    </row>
    <row r="130" spans="1:23" ht="15.75" hidden="1" customHeight="1">
      <c r="A130" s="103"/>
      <c r="B130" s="103"/>
      <c r="C130" s="105"/>
      <c r="D130" s="121"/>
      <c r="E130" s="105"/>
      <c r="F130" s="121"/>
      <c r="G130" s="105"/>
      <c r="H130" s="108"/>
      <c r="I130" s="108"/>
      <c r="J130" s="107"/>
      <c r="K130" s="108"/>
      <c r="L130" s="108"/>
      <c r="M130" s="104"/>
      <c r="N130" s="104"/>
      <c r="O130" s="104"/>
      <c r="P130" s="104"/>
      <c r="Q130" s="104"/>
      <c r="R130" s="105"/>
      <c r="S130" s="105"/>
      <c r="T130" s="105"/>
      <c r="U130" s="105"/>
      <c r="V130" s="105"/>
      <c r="W130" s="122"/>
    </row>
    <row r="131" spans="1:23" ht="15.75" hidden="1" customHeight="1">
      <c r="A131" s="103"/>
      <c r="B131" s="103"/>
      <c r="C131" s="105"/>
      <c r="D131" s="121"/>
      <c r="E131" s="105"/>
      <c r="F131" s="121"/>
      <c r="G131" s="105"/>
      <c r="H131" s="108"/>
      <c r="I131" s="108"/>
      <c r="J131" s="107"/>
      <c r="K131" s="108"/>
      <c r="L131" s="108"/>
      <c r="M131" s="104"/>
      <c r="N131" s="104"/>
      <c r="O131" s="104"/>
      <c r="P131" s="104"/>
      <c r="Q131" s="104"/>
      <c r="R131" s="105"/>
      <c r="S131" s="105"/>
      <c r="T131" s="105"/>
      <c r="U131" s="105"/>
      <c r="V131" s="105"/>
      <c r="W131" s="122"/>
    </row>
    <row r="132" spans="1:23" ht="15.75" hidden="1" customHeight="1">
      <c r="A132" s="103"/>
      <c r="B132" s="103"/>
      <c r="C132" s="105"/>
      <c r="D132" s="121"/>
      <c r="E132" s="105"/>
      <c r="F132" s="121"/>
      <c r="G132" s="105"/>
      <c r="H132" s="108"/>
      <c r="I132" s="108"/>
      <c r="J132" s="107"/>
      <c r="K132" s="108"/>
      <c r="L132" s="108"/>
      <c r="M132" s="104"/>
      <c r="N132" s="104"/>
      <c r="O132" s="104"/>
      <c r="P132" s="104"/>
      <c r="Q132" s="104"/>
      <c r="R132" s="105"/>
      <c r="S132" s="105"/>
      <c r="T132" s="105"/>
      <c r="U132" s="105"/>
      <c r="V132" s="105"/>
      <c r="W132" s="122"/>
    </row>
    <row r="133" spans="1:23" ht="15.75" hidden="1" customHeight="1">
      <c r="A133" s="103"/>
      <c r="B133" s="103"/>
      <c r="C133" s="105"/>
      <c r="D133" s="121"/>
      <c r="E133" s="105"/>
      <c r="F133" s="121"/>
      <c r="G133" s="105"/>
      <c r="H133" s="108"/>
      <c r="I133" s="108"/>
      <c r="J133" s="107"/>
      <c r="K133" s="108"/>
      <c r="L133" s="108"/>
      <c r="M133" s="104"/>
      <c r="N133" s="104"/>
      <c r="O133" s="104"/>
      <c r="P133" s="104"/>
      <c r="Q133" s="104"/>
      <c r="R133" s="105"/>
      <c r="S133" s="105"/>
      <c r="T133" s="105"/>
      <c r="U133" s="105"/>
      <c r="V133" s="105"/>
      <c r="W133" s="122"/>
    </row>
    <row r="134" spans="1:23" ht="15.75" hidden="1" customHeight="1">
      <c r="A134" s="103"/>
      <c r="B134" s="103"/>
      <c r="C134" s="105"/>
      <c r="D134" s="121"/>
      <c r="E134" s="105"/>
      <c r="F134" s="121"/>
      <c r="G134" s="105"/>
      <c r="H134" s="108"/>
      <c r="I134" s="108"/>
      <c r="J134" s="107"/>
      <c r="K134" s="108"/>
      <c r="L134" s="108"/>
      <c r="M134" s="104"/>
      <c r="N134" s="104"/>
      <c r="O134" s="104"/>
      <c r="P134" s="104"/>
      <c r="Q134" s="104"/>
      <c r="R134" s="105"/>
      <c r="S134" s="105"/>
      <c r="T134" s="105"/>
      <c r="U134" s="105"/>
      <c r="V134" s="105"/>
      <c r="W134" s="122"/>
    </row>
    <row r="135" spans="1:23" ht="15.75" hidden="1" customHeight="1">
      <c r="A135" s="103"/>
      <c r="B135" s="103"/>
      <c r="C135" s="105"/>
      <c r="D135" s="121"/>
      <c r="E135" s="105"/>
      <c r="F135" s="121"/>
      <c r="G135" s="105"/>
      <c r="H135" s="108"/>
      <c r="I135" s="108"/>
      <c r="J135" s="107"/>
      <c r="K135" s="108"/>
      <c r="L135" s="108"/>
      <c r="M135" s="104"/>
      <c r="N135" s="104"/>
      <c r="O135" s="104"/>
      <c r="P135" s="104"/>
      <c r="Q135" s="104"/>
      <c r="R135" s="105"/>
      <c r="S135" s="105"/>
      <c r="T135" s="105"/>
      <c r="U135" s="105"/>
      <c r="V135" s="105"/>
      <c r="W135" s="122"/>
    </row>
    <row r="136" spans="1:23" ht="15.75" hidden="1" customHeight="1">
      <c r="A136" s="103"/>
      <c r="B136" s="103"/>
      <c r="C136" s="105"/>
      <c r="D136" s="121"/>
      <c r="E136" s="105"/>
      <c r="F136" s="121"/>
      <c r="G136" s="105"/>
      <c r="H136" s="108"/>
      <c r="I136" s="108"/>
      <c r="J136" s="107"/>
      <c r="K136" s="108"/>
      <c r="L136" s="108"/>
      <c r="M136" s="104"/>
      <c r="N136" s="104"/>
      <c r="O136" s="104"/>
      <c r="P136" s="104"/>
      <c r="Q136" s="104"/>
      <c r="R136" s="105"/>
      <c r="S136" s="105"/>
      <c r="T136" s="105"/>
      <c r="U136" s="105"/>
      <c r="V136" s="105"/>
      <c r="W136" s="122"/>
    </row>
    <row r="137" spans="1:23" ht="15.75" hidden="1" customHeight="1">
      <c r="A137" s="103"/>
      <c r="B137" s="103"/>
      <c r="C137" s="105"/>
      <c r="D137" s="121"/>
      <c r="E137" s="105"/>
      <c r="F137" s="121"/>
      <c r="G137" s="105"/>
      <c r="H137" s="108"/>
      <c r="I137" s="108"/>
      <c r="J137" s="107"/>
      <c r="K137" s="108"/>
      <c r="L137" s="108"/>
      <c r="M137" s="104"/>
      <c r="N137" s="104"/>
      <c r="O137" s="104"/>
      <c r="P137" s="104"/>
      <c r="Q137" s="104"/>
      <c r="R137" s="105"/>
      <c r="S137" s="105"/>
      <c r="T137" s="105"/>
      <c r="U137" s="105"/>
      <c r="V137" s="105"/>
      <c r="W137" s="122"/>
    </row>
    <row r="138" spans="1:23" ht="15.75" hidden="1" customHeight="1">
      <c r="A138" s="103"/>
      <c r="B138" s="103"/>
      <c r="C138" s="105"/>
      <c r="D138" s="121"/>
      <c r="E138" s="105"/>
      <c r="F138" s="121"/>
      <c r="G138" s="105"/>
      <c r="H138" s="108"/>
      <c r="I138" s="108"/>
      <c r="J138" s="107"/>
      <c r="K138" s="108"/>
      <c r="L138" s="108"/>
      <c r="M138" s="104"/>
      <c r="N138" s="104"/>
      <c r="O138" s="104"/>
      <c r="P138" s="104"/>
      <c r="Q138" s="104"/>
      <c r="R138" s="105"/>
      <c r="S138" s="105"/>
      <c r="T138" s="105"/>
      <c r="U138" s="105"/>
      <c r="V138" s="105"/>
      <c r="W138" s="122"/>
    </row>
    <row r="139" spans="1:23" ht="15.75" hidden="1" customHeight="1">
      <c r="A139" s="103"/>
      <c r="B139" s="103"/>
      <c r="C139" s="105"/>
      <c r="D139" s="121"/>
      <c r="E139" s="105"/>
      <c r="F139" s="121"/>
      <c r="G139" s="105"/>
      <c r="H139" s="108"/>
      <c r="I139" s="108"/>
      <c r="J139" s="107"/>
      <c r="K139" s="108"/>
      <c r="L139" s="108"/>
      <c r="M139" s="104"/>
      <c r="N139" s="104"/>
      <c r="O139" s="104"/>
      <c r="P139" s="104"/>
      <c r="Q139" s="104"/>
      <c r="R139" s="105"/>
      <c r="S139" s="105"/>
      <c r="T139" s="105"/>
      <c r="U139" s="105"/>
      <c r="V139" s="105"/>
      <c r="W139" s="122"/>
    </row>
    <row r="140" spans="1:23" ht="15.75" hidden="1" customHeight="1">
      <c r="A140" s="103"/>
      <c r="B140" s="103"/>
      <c r="C140" s="105"/>
      <c r="D140" s="121"/>
      <c r="E140" s="105"/>
      <c r="F140" s="121"/>
      <c r="G140" s="105"/>
      <c r="H140" s="108"/>
      <c r="I140" s="108"/>
      <c r="J140" s="107"/>
      <c r="K140" s="108"/>
      <c r="L140" s="108"/>
      <c r="M140" s="104"/>
      <c r="N140" s="104"/>
      <c r="O140" s="104"/>
      <c r="P140" s="104"/>
      <c r="Q140" s="104"/>
      <c r="R140" s="105"/>
      <c r="S140" s="105"/>
      <c r="T140" s="105"/>
      <c r="U140" s="105"/>
      <c r="V140" s="105"/>
      <c r="W140" s="122"/>
    </row>
    <row r="141" spans="1:23" ht="15.75" hidden="1" customHeight="1">
      <c r="A141" s="103"/>
      <c r="B141" s="103"/>
      <c r="C141" s="105"/>
      <c r="D141" s="121"/>
      <c r="E141" s="105"/>
      <c r="F141" s="121"/>
      <c r="G141" s="105"/>
      <c r="H141" s="108"/>
      <c r="I141" s="108"/>
      <c r="J141" s="107"/>
      <c r="K141" s="108"/>
      <c r="L141" s="108"/>
      <c r="M141" s="104"/>
      <c r="N141" s="104"/>
      <c r="O141" s="104"/>
      <c r="P141" s="104"/>
      <c r="Q141" s="104"/>
      <c r="R141" s="105"/>
      <c r="S141" s="105"/>
      <c r="T141" s="105"/>
      <c r="U141" s="105"/>
      <c r="V141" s="105"/>
      <c r="W141" s="122"/>
    </row>
    <row r="142" spans="1:23" ht="15.75" hidden="1" customHeight="1">
      <c r="A142" s="103"/>
      <c r="B142" s="103"/>
      <c r="C142" s="105"/>
      <c r="D142" s="121"/>
      <c r="E142" s="105"/>
      <c r="F142" s="121"/>
      <c r="G142" s="105"/>
      <c r="H142" s="108"/>
      <c r="I142" s="108"/>
      <c r="J142" s="107"/>
      <c r="K142" s="108"/>
      <c r="L142" s="108"/>
      <c r="M142" s="104"/>
      <c r="N142" s="104"/>
      <c r="O142" s="104"/>
      <c r="P142" s="104"/>
      <c r="Q142" s="104"/>
      <c r="R142" s="105"/>
      <c r="S142" s="105"/>
      <c r="T142" s="105"/>
      <c r="U142" s="105"/>
      <c r="V142" s="105"/>
      <c r="W142" s="122"/>
    </row>
    <row r="143" spans="1:23" ht="15.75" hidden="1" customHeight="1">
      <c r="A143" s="103"/>
      <c r="B143" s="103"/>
      <c r="C143" s="105"/>
      <c r="D143" s="121"/>
      <c r="E143" s="105"/>
      <c r="F143" s="121"/>
      <c r="G143" s="105"/>
      <c r="H143" s="108"/>
      <c r="I143" s="108"/>
      <c r="J143" s="107"/>
      <c r="K143" s="108"/>
      <c r="L143" s="108"/>
      <c r="M143" s="104"/>
      <c r="N143" s="104"/>
      <c r="O143" s="104"/>
      <c r="P143" s="104"/>
      <c r="Q143" s="104"/>
      <c r="R143" s="105"/>
      <c r="S143" s="105"/>
      <c r="T143" s="105"/>
      <c r="U143" s="105"/>
      <c r="V143" s="105"/>
      <c r="W143" s="122"/>
    </row>
    <row r="144" spans="1:23" ht="15.75" hidden="1" customHeight="1">
      <c r="A144" s="103"/>
      <c r="B144" s="103"/>
      <c r="C144" s="105"/>
      <c r="D144" s="121"/>
      <c r="E144" s="105"/>
      <c r="F144" s="121"/>
      <c r="G144" s="105"/>
      <c r="H144" s="108"/>
      <c r="I144" s="108"/>
      <c r="J144" s="107"/>
      <c r="K144" s="108"/>
      <c r="L144" s="108"/>
      <c r="M144" s="104"/>
      <c r="N144" s="104"/>
      <c r="O144" s="104"/>
      <c r="P144" s="104"/>
      <c r="Q144" s="104"/>
      <c r="R144" s="105"/>
      <c r="S144" s="105"/>
      <c r="T144" s="105"/>
      <c r="U144" s="105"/>
      <c r="V144" s="105"/>
      <c r="W144" s="122"/>
    </row>
    <row r="145" spans="1:23" ht="15.75" hidden="1" customHeight="1">
      <c r="A145" s="103"/>
      <c r="B145" s="103"/>
      <c r="C145" s="105"/>
      <c r="D145" s="121"/>
      <c r="E145" s="105"/>
      <c r="F145" s="121"/>
      <c r="G145" s="105"/>
      <c r="H145" s="108"/>
      <c r="I145" s="108"/>
      <c r="J145" s="107"/>
      <c r="K145" s="108"/>
      <c r="L145" s="108"/>
      <c r="M145" s="104"/>
      <c r="N145" s="104"/>
      <c r="O145" s="104"/>
      <c r="P145" s="104"/>
      <c r="Q145" s="104"/>
      <c r="R145" s="105"/>
      <c r="S145" s="105"/>
      <c r="T145" s="105"/>
      <c r="U145" s="105"/>
      <c r="V145" s="105"/>
      <c r="W145" s="122"/>
    </row>
    <row r="146" spans="1:23" ht="15.75" hidden="1" customHeight="1">
      <c r="A146" s="103"/>
      <c r="B146" s="103"/>
      <c r="C146" s="105"/>
      <c r="D146" s="121"/>
      <c r="E146" s="105"/>
      <c r="F146" s="121"/>
      <c r="G146" s="105"/>
      <c r="H146" s="108"/>
      <c r="I146" s="108"/>
      <c r="J146" s="107"/>
      <c r="K146" s="108"/>
      <c r="L146" s="108"/>
      <c r="M146" s="104"/>
      <c r="N146" s="104"/>
      <c r="O146" s="104"/>
      <c r="P146" s="104"/>
      <c r="Q146" s="104"/>
      <c r="R146" s="105"/>
      <c r="S146" s="105"/>
      <c r="T146" s="105"/>
      <c r="U146" s="105"/>
      <c r="V146" s="105"/>
      <c r="W146" s="122"/>
    </row>
    <row r="147" spans="1:23" ht="15.75" hidden="1" customHeight="1">
      <c r="A147" s="103"/>
      <c r="B147" s="103"/>
      <c r="C147" s="105"/>
      <c r="D147" s="121"/>
      <c r="E147" s="105"/>
      <c r="F147" s="121"/>
      <c r="G147" s="105"/>
      <c r="H147" s="108"/>
      <c r="I147" s="108"/>
      <c r="J147" s="107"/>
      <c r="K147" s="108"/>
      <c r="L147" s="108"/>
      <c r="M147" s="104"/>
      <c r="N147" s="104"/>
      <c r="O147" s="104"/>
      <c r="P147" s="104"/>
      <c r="Q147" s="104"/>
      <c r="R147" s="105"/>
      <c r="S147" s="105"/>
      <c r="T147" s="105"/>
      <c r="U147" s="105"/>
      <c r="V147" s="105"/>
      <c r="W147" s="122"/>
    </row>
    <row r="148" spans="1:23" ht="15.75" hidden="1" customHeight="1">
      <c r="A148" s="103"/>
      <c r="B148" s="103"/>
      <c r="C148" s="105"/>
      <c r="D148" s="121"/>
      <c r="E148" s="105"/>
      <c r="F148" s="121"/>
      <c r="G148" s="105"/>
      <c r="H148" s="108"/>
      <c r="I148" s="108"/>
      <c r="J148" s="107"/>
      <c r="K148" s="108"/>
      <c r="L148" s="108"/>
      <c r="M148" s="104"/>
      <c r="N148" s="104"/>
      <c r="O148" s="104"/>
      <c r="P148" s="104"/>
      <c r="Q148" s="104"/>
      <c r="R148" s="105"/>
      <c r="S148" s="105"/>
      <c r="T148" s="105"/>
      <c r="U148" s="105"/>
      <c r="V148" s="105"/>
      <c r="W148" s="122"/>
    </row>
    <row r="149" spans="1:23" ht="15.75" hidden="1" customHeight="1">
      <c r="A149" s="103"/>
      <c r="B149" s="103"/>
      <c r="C149" s="105"/>
      <c r="D149" s="121"/>
      <c r="E149" s="105"/>
      <c r="F149" s="121"/>
      <c r="G149" s="105"/>
      <c r="H149" s="108"/>
      <c r="I149" s="108"/>
      <c r="J149" s="107"/>
      <c r="K149" s="108"/>
      <c r="L149" s="108"/>
      <c r="M149" s="104"/>
      <c r="N149" s="104"/>
      <c r="O149" s="104"/>
      <c r="P149" s="104"/>
      <c r="Q149" s="104"/>
      <c r="R149" s="105"/>
      <c r="S149" s="105"/>
      <c r="T149" s="105"/>
      <c r="U149" s="105"/>
      <c r="V149" s="105"/>
      <c r="W149" s="122"/>
    </row>
    <row r="150" spans="1:23" ht="15.75" hidden="1" customHeight="1">
      <c r="A150" s="103"/>
      <c r="B150" s="103"/>
      <c r="C150" s="105"/>
      <c r="D150" s="121"/>
      <c r="E150" s="105"/>
      <c r="F150" s="121"/>
      <c r="G150" s="105"/>
      <c r="H150" s="108"/>
      <c r="I150" s="108"/>
      <c r="J150" s="107"/>
      <c r="K150" s="108"/>
      <c r="L150" s="108"/>
      <c r="M150" s="104"/>
      <c r="N150" s="104"/>
      <c r="O150" s="104"/>
      <c r="P150" s="104"/>
      <c r="Q150" s="104"/>
      <c r="R150" s="105"/>
      <c r="S150" s="105"/>
      <c r="T150" s="105"/>
      <c r="U150" s="105"/>
      <c r="V150" s="105"/>
      <c r="W150" s="122"/>
    </row>
    <row r="151" spans="1:23" ht="15.75" hidden="1" customHeight="1">
      <c r="A151" s="103"/>
      <c r="B151" s="103"/>
      <c r="C151" s="105"/>
      <c r="D151" s="121"/>
      <c r="E151" s="105"/>
      <c r="F151" s="121"/>
      <c r="G151" s="105"/>
      <c r="H151" s="108"/>
      <c r="I151" s="108"/>
      <c r="J151" s="107"/>
      <c r="K151" s="108"/>
      <c r="L151" s="108"/>
      <c r="M151" s="104"/>
      <c r="N151" s="104"/>
      <c r="O151" s="104"/>
      <c r="P151" s="104"/>
      <c r="Q151" s="104"/>
      <c r="R151" s="105"/>
      <c r="S151" s="105"/>
      <c r="T151" s="105"/>
      <c r="U151" s="105"/>
      <c r="V151" s="105"/>
      <c r="W151" s="122"/>
    </row>
    <row r="152" spans="1:23" ht="15.75" hidden="1" customHeight="1">
      <c r="A152" s="103"/>
      <c r="B152" s="103"/>
      <c r="C152" s="105"/>
      <c r="D152" s="121"/>
      <c r="E152" s="105"/>
      <c r="F152" s="121"/>
      <c r="G152" s="105"/>
      <c r="H152" s="108"/>
      <c r="I152" s="108"/>
      <c r="J152" s="107"/>
      <c r="K152" s="108"/>
      <c r="L152" s="108"/>
      <c r="M152" s="104"/>
      <c r="N152" s="104"/>
      <c r="O152" s="104"/>
      <c r="P152" s="104"/>
      <c r="Q152" s="104"/>
      <c r="R152" s="105"/>
      <c r="S152" s="105"/>
      <c r="T152" s="105"/>
      <c r="U152" s="105"/>
      <c r="V152" s="105"/>
      <c r="W152" s="122"/>
    </row>
    <row r="153" spans="1:23" ht="15.75" hidden="1" customHeight="1">
      <c r="A153" s="103"/>
      <c r="B153" s="103"/>
      <c r="C153" s="105"/>
      <c r="D153" s="121"/>
      <c r="E153" s="105"/>
      <c r="F153" s="121"/>
      <c r="G153" s="105"/>
      <c r="H153" s="108"/>
      <c r="I153" s="108"/>
      <c r="J153" s="107"/>
      <c r="K153" s="108"/>
      <c r="L153" s="108"/>
      <c r="M153" s="104"/>
      <c r="N153" s="104"/>
      <c r="O153" s="104"/>
      <c r="P153" s="104"/>
      <c r="Q153" s="104"/>
      <c r="R153" s="105"/>
      <c r="S153" s="105"/>
      <c r="T153" s="105"/>
      <c r="U153" s="105"/>
      <c r="V153" s="105"/>
      <c r="W153" s="122"/>
    </row>
    <row r="154" spans="1:23" ht="15.75" hidden="1" customHeight="1">
      <c r="A154" s="103"/>
      <c r="B154" s="103"/>
      <c r="C154" s="105"/>
      <c r="D154" s="121"/>
      <c r="E154" s="105"/>
      <c r="F154" s="121"/>
      <c r="G154" s="105"/>
      <c r="H154" s="108"/>
      <c r="I154" s="108"/>
      <c r="J154" s="107"/>
      <c r="K154" s="108"/>
      <c r="L154" s="108"/>
      <c r="M154" s="104"/>
      <c r="N154" s="104"/>
      <c r="O154" s="104"/>
      <c r="P154" s="104"/>
      <c r="Q154" s="104"/>
      <c r="R154" s="105"/>
      <c r="S154" s="105"/>
      <c r="T154" s="105"/>
      <c r="U154" s="105"/>
      <c r="V154" s="105"/>
      <c r="W154" s="122"/>
    </row>
    <row r="155" spans="1:23" ht="15.75" hidden="1" customHeight="1">
      <c r="A155" s="103"/>
      <c r="B155" s="103"/>
      <c r="C155" s="105"/>
      <c r="D155" s="121"/>
      <c r="E155" s="105"/>
      <c r="F155" s="121"/>
      <c r="G155" s="105"/>
      <c r="H155" s="108"/>
      <c r="I155" s="108"/>
      <c r="J155" s="107"/>
      <c r="K155" s="108"/>
      <c r="L155" s="108"/>
      <c r="M155" s="104"/>
      <c r="N155" s="104"/>
      <c r="O155" s="104"/>
      <c r="P155" s="104"/>
      <c r="Q155" s="104"/>
      <c r="R155" s="105"/>
      <c r="S155" s="105"/>
      <c r="T155" s="105"/>
      <c r="U155" s="105"/>
      <c r="V155" s="105"/>
      <c r="W155" s="122"/>
    </row>
    <row r="156" spans="1:23" ht="15.75" hidden="1" customHeight="1">
      <c r="A156" s="103"/>
      <c r="B156" s="103"/>
      <c r="C156" s="105"/>
      <c r="D156" s="121"/>
      <c r="E156" s="105"/>
      <c r="F156" s="121"/>
      <c r="G156" s="105"/>
      <c r="H156" s="108"/>
      <c r="I156" s="108"/>
      <c r="J156" s="107"/>
      <c r="K156" s="108"/>
      <c r="L156" s="108"/>
      <c r="M156" s="104"/>
      <c r="N156" s="104"/>
      <c r="O156" s="104"/>
      <c r="P156" s="104"/>
      <c r="Q156" s="104"/>
      <c r="R156" s="105"/>
      <c r="S156" s="105"/>
      <c r="T156" s="105"/>
      <c r="U156" s="105"/>
      <c r="V156" s="105"/>
      <c r="W156" s="122"/>
    </row>
    <row r="157" spans="1:23" ht="15.75" hidden="1" customHeight="1">
      <c r="A157" s="103"/>
      <c r="B157" s="103"/>
      <c r="C157" s="105"/>
      <c r="D157" s="121"/>
      <c r="E157" s="105"/>
      <c r="F157" s="121"/>
      <c r="G157" s="105"/>
      <c r="H157" s="108"/>
      <c r="I157" s="108"/>
      <c r="J157" s="107"/>
      <c r="K157" s="108"/>
      <c r="L157" s="108"/>
      <c r="M157" s="104"/>
      <c r="N157" s="104"/>
      <c r="O157" s="104"/>
      <c r="P157" s="104"/>
      <c r="Q157" s="104"/>
      <c r="R157" s="105"/>
      <c r="S157" s="105"/>
      <c r="T157" s="105"/>
      <c r="U157" s="105"/>
      <c r="V157" s="105"/>
      <c r="W157" s="122"/>
    </row>
    <row r="158" spans="1:23" ht="15.75" hidden="1" customHeight="1">
      <c r="A158" s="103"/>
      <c r="B158" s="103"/>
      <c r="C158" s="105"/>
      <c r="D158" s="121"/>
      <c r="E158" s="105"/>
      <c r="F158" s="121"/>
      <c r="G158" s="105"/>
      <c r="H158" s="108"/>
      <c r="I158" s="108"/>
      <c r="J158" s="107"/>
      <c r="K158" s="108"/>
      <c r="L158" s="108"/>
      <c r="M158" s="104"/>
      <c r="N158" s="104"/>
      <c r="O158" s="104"/>
      <c r="P158" s="104"/>
      <c r="Q158" s="104"/>
      <c r="R158" s="105"/>
      <c r="S158" s="105"/>
      <c r="T158" s="105"/>
      <c r="U158" s="105"/>
      <c r="V158" s="105"/>
      <c r="W158" s="122"/>
    </row>
    <row r="159" spans="1:23" ht="15.75" hidden="1" customHeight="1">
      <c r="A159" s="103"/>
      <c r="B159" s="103"/>
      <c r="C159" s="105"/>
      <c r="D159" s="121"/>
      <c r="E159" s="105"/>
      <c r="F159" s="121"/>
      <c r="G159" s="105"/>
      <c r="H159" s="108"/>
      <c r="I159" s="108"/>
      <c r="J159" s="107"/>
      <c r="K159" s="108"/>
      <c r="L159" s="108"/>
      <c r="M159" s="104"/>
      <c r="N159" s="104"/>
      <c r="O159" s="104"/>
      <c r="P159" s="104"/>
      <c r="Q159" s="104"/>
      <c r="R159" s="105"/>
      <c r="S159" s="105"/>
      <c r="T159" s="105"/>
      <c r="U159" s="105"/>
      <c r="V159" s="105"/>
      <c r="W159" s="122"/>
    </row>
    <row r="160" spans="1:23" ht="15.75" hidden="1" customHeight="1">
      <c r="A160" s="103"/>
      <c r="B160" s="103"/>
      <c r="C160" s="105"/>
      <c r="D160" s="121"/>
      <c r="E160" s="105"/>
      <c r="F160" s="121"/>
      <c r="G160" s="105"/>
      <c r="H160" s="108"/>
      <c r="I160" s="108"/>
      <c r="J160" s="107"/>
      <c r="K160" s="108"/>
      <c r="L160" s="108"/>
      <c r="M160" s="104"/>
      <c r="N160" s="104"/>
      <c r="O160" s="104"/>
      <c r="P160" s="104"/>
      <c r="Q160" s="104"/>
      <c r="R160" s="105"/>
      <c r="S160" s="105"/>
      <c r="T160" s="105"/>
      <c r="U160" s="105"/>
      <c r="V160" s="105"/>
      <c r="W160" s="122"/>
    </row>
    <row r="161" spans="1:23" ht="15.75" hidden="1" customHeight="1">
      <c r="A161" s="103"/>
      <c r="B161" s="103"/>
      <c r="C161" s="105"/>
      <c r="D161" s="121"/>
      <c r="E161" s="105"/>
      <c r="F161" s="121"/>
      <c r="G161" s="105"/>
      <c r="H161" s="108"/>
      <c r="I161" s="108"/>
      <c r="J161" s="107"/>
      <c r="K161" s="108"/>
      <c r="L161" s="108"/>
      <c r="M161" s="104"/>
      <c r="N161" s="104"/>
      <c r="O161" s="104"/>
      <c r="P161" s="104"/>
      <c r="Q161" s="104"/>
      <c r="R161" s="105"/>
      <c r="S161" s="105"/>
      <c r="T161" s="105"/>
      <c r="U161" s="105"/>
      <c r="V161" s="105"/>
      <c r="W161" s="122"/>
    </row>
    <row r="162" spans="1:23" ht="15.75" hidden="1" customHeight="1">
      <c r="A162" s="103"/>
      <c r="B162" s="103"/>
      <c r="C162" s="105"/>
      <c r="D162" s="121"/>
      <c r="E162" s="105"/>
      <c r="F162" s="121"/>
      <c r="G162" s="105"/>
      <c r="H162" s="108"/>
      <c r="I162" s="108"/>
      <c r="J162" s="107"/>
      <c r="K162" s="108"/>
      <c r="L162" s="108"/>
      <c r="M162" s="104"/>
      <c r="N162" s="104"/>
      <c r="O162" s="104"/>
      <c r="P162" s="104"/>
      <c r="Q162" s="104"/>
      <c r="R162" s="105"/>
      <c r="S162" s="105"/>
      <c r="T162" s="105"/>
      <c r="U162" s="105"/>
      <c r="V162" s="105"/>
      <c r="W162" s="122"/>
    </row>
    <row r="163" spans="1:23" ht="15.75" hidden="1" customHeight="1">
      <c r="A163" s="103"/>
      <c r="B163" s="103"/>
      <c r="C163" s="105"/>
      <c r="D163" s="121"/>
      <c r="E163" s="105"/>
      <c r="F163" s="121"/>
      <c r="G163" s="105"/>
      <c r="H163" s="108"/>
      <c r="I163" s="108"/>
      <c r="J163" s="107"/>
      <c r="K163" s="108"/>
      <c r="L163" s="108"/>
      <c r="M163" s="104"/>
      <c r="N163" s="104"/>
      <c r="O163" s="104"/>
      <c r="P163" s="104"/>
      <c r="Q163" s="104"/>
      <c r="R163" s="105"/>
      <c r="S163" s="105"/>
      <c r="T163" s="105"/>
      <c r="U163" s="105"/>
      <c r="V163" s="105"/>
      <c r="W163" s="122"/>
    </row>
    <row r="164" spans="1:23" ht="15.75" hidden="1" customHeight="1">
      <c r="A164" s="103"/>
      <c r="B164" s="103"/>
      <c r="C164" s="105"/>
      <c r="D164" s="121"/>
      <c r="E164" s="105"/>
      <c r="F164" s="121"/>
      <c r="G164" s="105"/>
      <c r="H164" s="108"/>
      <c r="I164" s="108"/>
      <c r="J164" s="107"/>
      <c r="K164" s="108"/>
      <c r="L164" s="108"/>
      <c r="M164" s="104"/>
      <c r="N164" s="104"/>
      <c r="O164" s="104"/>
      <c r="P164" s="104"/>
      <c r="Q164" s="104"/>
      <c r="R164" s="105"/>
      <c r="S164" s="105"/>
      <c r="T164" s="105"/>
      <c r="U164" s="105"/>
      <c r="V164" s="105"/>
      <c r="W164" s="122"/>
    </row>
    <row r="165" spans="1:23" ht="15.75" hidden="1" customHeight="1">
      <c r="A165" s="103"/>
      <c r="B165" s="103"/>
      <c r="C165" s="105"/>
      <c r="D165" s="121"/>
      <c r="E165" s="105"/>
      <c r="F165" s="121"/>
      <c r="G165" s="105"/>
      <c r="H165" s="108"/>
      <c r="I165" s="108"/>
      <c r="J165" s="107"/>
      <c r="K165" s="108"/>
      <c r="L165" s="108"/>
      <c r="M165" s="104"/>
      <c r="N165" s="104"/>
      <c r="O165" s="104"/>
      <c r="P165" s="104"/>
      <c r="Q165" s="104"/>
      <c r="R165" s="105"/>
      <c r="S165" s="105"/>
      <c r="T165" s="105"/>
      <c r="U165" s="105"/>
      <c r="V165" s="105"/>
      <c r="W165" s="122"/>
    </row>
    <row r="166" spans="1:23" ht="15.75" hidden="1" customHeight="1">
      <c r="A166" s="103"/>
      <c r="B166" s="103"/>
      <c r="C166" s="105"/>
      <c r="D166" s="121"/>
      <c r="E166" s="105"/>
      <c r="F166" s="121"/>
      <c r="G166" s="105"/>
      <c r="H166" s="108"/>
      <c r="I166" s="108"/>
      <c r="J166" s="107"/>
      <c r="K166" s="108"/>
      <c r="L166" s="108"/>
      <c r="M166" s="104"/>
      <c r="N166" s="104"/>
      <c r="O166" s="104"/>
      <c r="P166" s="104"/>
      <c r="Q166" s="104"/>
      <c r="R166" s="105"/>
      <c r="S166" s="105"/>
      <c r="T166" s="105"/>
      <c r="U166" s="105"/>
      <c r="V166" s="105"/>
      <c r="W166" s="122"/>
    </row>
    <row r="167" spans="1:23" ht="15.75" hidden="1" customHeight="1">
      <c r="A167" s="103"/>
      <c r="B167" s="103"/>
      <c r="C167" s="105"/>
      <c r="D167" s="121"/>
      <c r="E167" s="105"/>
      <c r="F167" s="121"/>
      <c r="G167" s="105"/>
      <c r="H167" s="108"/>
      <c r="I167" s="108"/>
      <c r="J167" s="107"/>
      <c r="K167" s="108"/>
      <c r="L167" s="108"/>
      <c r="M167" s="104"/>
      <c r="N167" s="104"/>
      <c r="O167" s="104"/>
      <c r="P167" s="104"/>
      <c r="Q167" s="104"/>
      <c r="R167" s="105"/>
      <c r="S167" s="105"/>
      <c r="T167" s="105"/>
      <c r="U167" s="105"/>
      <c r="V167" s="105"/>
      <c r="W167" s="122"/>
    </row>
    <row r="168" spans="1:23" ht="15.75" hidden="1" customHeight="1">
      <c r="A168" s="103"/>
      <c r="B168" s="103"/>
      <c r="C168" s="105"/>
      <c r="D168" s="121"/>
      <c r="E168" s="105"/>
      <c r="F168" s="121"/>
      <c r="G168" s="105"/>
      <c r="H168" s="108"/>
      <c r="I168" s="108"/>
      <c r="J168" s="107"/>
      <c r="K168" s="108"/>
      <c r="L168" s="108"/>
      <c r="M168" s="104"/>
      <c r="N168" s="104"/>
      <c r="O168" s="104"/>
      <c r="P168" s="104"/>
      <c r="Q168" s="104"/>
      <c r="R168" s="105"/>
      <c r="S168" s="105"/>
      <c r="T168" s="105"/>
      <c r="U168" s="105"/>
      <c r="V168" s="105"/>
      <c r="W168" s="122"/>
    </row>
    <row r="169" spans="1:23" ht="15.75" hidden="1" customHeight="1">
      <c r="A169" s="103"/>
      <c r="B169" s="103"/>
      <c r="C169" s="105"/>
      <c r="D169" s="121"/>
      <c r="E169" s="105"/>
      <c r="F169" s="121"/>
      <c r="G169" s="105"/>
      <c r="H169" s="108"/>
      <c r="I169" s="108"/>
      <c r="J169" s="107"/>
      <c r="K169" s="108"/>
      <c r="L169" s="108"/>
      <c r="M169" s="104"/>
      <c r="N169" s="104"/>
      <c r="O169" s="104"/>
      <c r="P169" s="104"/>
      <c r="Q169" s="104"/>
      <c r="R169" s="105"/>
      <c r="S169" s="105"/>
      <c r="T169" s="105"/>
      <c r="U169" s="105"/>
      <c r="V169" s="105"/>
      <c r="W169" s="122"/>
    </row>
    <row r="170" spans="1:23" ht="15.75" hidden="1" customHeight="1">
      <c r="A170" s="103"/>
      <c r="B170" s="103"/>
      <c r="C170" s="105"/>
      <c r="D170" s="121"/>
      <c r="E170" s="105"/>
      <c r="F170" s="121"/>
      <c r="G170" s="105"/>
      <c r="H170" s="108"/>
      <c r="I170" s="108"/>
      <c r="J170" s="107"/>
      <c r="K170" s="108"/>
      <c r="L170" s="108"/>
      <c r="M170" s="104"/>
      <c r="N170" s="104"/>
      <c r="O170" s="104"/>
      <c r="P170" s="104"/>
      <c r="Q170" s="104"/>
      <c r="R170" s="105"/>
      <c r="S170" s="105"/>
      <c r="T170" s="105"/>
      <c r="U170" s="105"/>
      <c r="V170" s="105"/>
      <c r="W170" s="122"/>
    </row>
    <row r="171" spans="1:23" ht="15.75" hidden="1" customHeight="1">
      <c r="A171" s="103"/>
      <c r="B171" s="103"/>
      <c r="C171" s="105"/>
      <c r="D171" s="121"/>
      <c r="E171" s="105"/>
      <c r="F171" s="121"/>
      <c r="G171" s="105"/>
      <c r="H171" s="108"/>
      <c r="I171" s="108"/>
      <c r="J171" s="107"/>
      <c r="K171" s="108"/>
      <c r="L171" s="108"/>
      <c r="M171" s="104"/>
      <c r="N171" s="104"/>
      <c r="O171" s="104"/>
      <c r="P171" s="104"/>
      <c r="Q171" s="104"/>
      <c r="R171" s="105"/>
      <c r="S171" s="105"/>
      <c r="T171" s="105"/>
      <c r="U171" s="105"/>
      <c r="V171" s="105"/>
      <c r="W171" s="122"/>
    </row>
    <row r="172" spans="1:23" ht="15.75" hidden="1" customHeight="1">
      <c r="A172" s="103"/>
      <c r="B172" s="103"/>
      <c r="C172" s="105"/>
      <c r="D172" s="121"/>
      <c r="E172" s="105"/>
      <c r="F172" s="121"/>
      <c r="G172" s="105"/>
      <c r="H172" s="108"/>
      <c r="I172" s="108"/>
      <c r="J172" s="107"/>
      <c r="K172" s="108"/>
      <c r="L172" s="108"/>
      <c r="M172" s="104"/>
      <c r="N172" s="104"/>
      <c r="O172" s="104"/>
      <c r="P172" s="104"/>
      <c r="Q172" s="104"/>
      <c r="R172" s="105"/>
      <c r="S172" s="105"/>
      <c r="T172" s="105"/>
      <c r="U172" s="105"/>
      <c r="V172" s="105"/>
      <c r="W172" s="122"/>
    </row>
    <row r="173" spans="1:23" ht="15.75" hidden="1" customHeight="1">
      <c r="A173" s="103"/>
      <c r="B173" s="103"/>
      <c r="C173" s="105"/>
      <c r="D173" s="121"/>
      <c r="E173" s="105"/>
      <c r="F173" s="121"/>
      <c r="G173" s="105"/>
      <c r="H173" s="108"/>
      <c r="I173" s="108"/>
      <c r="J173" s="107"/>
      <c r="K173" s="108"/>
      <c r="L173" s="108"/>
      <c r="M173" s="104"/>
      <c r="N173" s="104"/>
      <c r="O173" s="104"/>
      <c r="P173" s="104"/>
      <c r="Q173" s="104"/>
      <c r="R173" s="105"/>
      <c r="S173" s="105"/>
      <c r="T173" s="105"/>
      <c r="U173" s="105"/>
      <c r="V173" s="105"/>
      <c r="W173" s="122"/>
    </row>
    <row r="174" spans="1:23" ht="15.75" hidden="1" customHeight="1">
      <c r="A174" s="103"/>
      <c r="B174" s="103"/>
      <c r="C174" s="105"/>
      <c r="D174" s="121"/>
      <c r="E174" s="105"/>
      <c r="F174" s="121"/>
      <c r="G174" s="105"/>
      <c r="H174" s="108"/>
      <c r="I174" s="108"/>
      <c r="J174" s="107"/>
      <c r="K174" s="108"/>
      <c r="L174" s="108"/>
      <c r="M174" s="104"/>
      <c r="N174" s="104"/>
      <c r="O174" s="104"/>
      <c r="P174" s="104"/>
      <c r="Q174" s="104"/>
      <c r="R174" s="105"/>
      <c r="S174" s="105"/>
      <c r="T174" s="105"/>
      <c r="U174" s="105"/>
      <c r="V174" s="105"/>
      <c r="W174" s="122"/>
    </row>
    <row r="175" spans="1:23" ht="15.75" hidden="1" customHeight="1">
      <c r="A175" s="103"/>
      <c r="B175" s="103"/>
      <c r="C175" s="105"/>
      <c r="D175" s="121"/>
      <c r="E175" s="105"/>
      <c r="F175" s="121"/>
      <c r="G175" s="105"/>
      <c r="H175" s="108"/>
      <c r="I175" s="108"/>
      <c r="J175" s="107"/>
      <c r="K175" s="108"/>
      <c r="L175" s="108"/>
      <c r="M175" s="104"/>
      <c r="N175" s="104"/>
      <c r="O175" s="104"/>
      <c r="P175" s="104"/>
      <c r="Q175" s="104"/>
      <c r="R175" s="105"/>
      <c r="S175" s="105"/>
      <c r="T175" s="105"/>
      <c r="U175" s="105"/>
      <c r="V175" s="105"/>
      <c r="W175" s="122"/>
    </row>
    <row r="176" spans="1:23" ht="15.75" hidden="1" customHeight="1">
      <c r="A176" s="103"/>
      <c r="B176" s="103"/>
      <c r="C176" s="105"/>
      <c r="D176" s="121"/>
      <c r="E176" s="105"/>
      <c r="F176" s="121"/>
      <c r="G176" s="105"/>
      <c r="H176" s="108"/>
      <c r="I176" s="108"/>
      <c r="J176" s="107"/>
      <c r="K176" s="108"/>
      <c r="L176" s="108"/>
      <c r="M176" s="104"/>
      <c r="N176" s="104"/>
      <c r="O176" s="104"/>
      <c r="P176" s="104"/>
      <c r="Q176" s="104"/>
      <c r="R176" s="105"/>
      <c r="S176" s="105"/>
      <c r="T176" s="105"/>
      <c r="U176" s="105"/>
      <c r="V176" s="105"/>
      <c r="W176" s="122"/>
    </row>
    <row r="177" spans="1:23" ht="15.75" hidden="1" customHeight="1">
      <c r="A177" s="103"/>
      <c r="B177" s="103"/>
      <c r="C177" s="105"/>
      <c r="D177" s="121"/>
      <c r="E177" s="105"/>
      <c r="F177" s="121"/>
      <c r="G177" s="105"/>
      <c r="H177" s="108"/>
      <c r="I177" s="108"/>
      <c r="J177" s="107"/>
      <c r="K177" s="108"/>
      <c r="L177" s="108"/>
      <c r="M177" s="104"/>
      <c r="N177" s="104"/>
      <c r="O177" s="104"/>
      <c r="P177" s="104"/>
      <c r="Q177" s="104"/>
      <c r="R177" s="105"/>
      <c r="S177" s="105"/>
      <c r="T177" s="105"/>
      <c r="U177" s="105"/>
      <c r="V177" s="105"/>
      <c r="W177" s="122"/>
    </row>
    <row r="178" spans="1:23" ht="15.75" hidden="1" customHeight="1">
      <c r="A178" s="103"/>
      <c r="B178" s="103"/>
      <c r="C178" s="105"/>
      <c r="D178" s="121"/>
      <c r="E178" s="105"/>
      <c r="F178" s="121"/>
      <c r="G178" s="105"/>
      <c r="H178" s="108"/>
      <c r="I178" s="108"/>
      <c r="J178" s="107"/>
      <c r="K178" s="108"/>
      <c r="L178" s="108"/>
      <c r="M178" s="104"/>
      <c r="N178" s="104"/>
      <c r="O178" s="104"/>
      <c r="P178" s="104"/>
      <c r="Q178" s="104"/>
      <c r="R178" s="105"/>
      <c r="S178" s="105"/>
      <c r="T178" s="105"/>
      <c r="U178" s="105"/>
      <c r="V178" s="105"/>
      <c r="W178" s="122"/>
    </row>
    <row r="179" spans="1:23" ht="15.75" hidden="1" customHeight="1">
      <c r="A179" s="103"/>
      <c r="B179" s="103"/>
      <c r="C179" s="105"/>
      <c r="D179" s="121"/>
      <c r="E179" s="105"/>
      <c r="F179" s="121"/>
      <c r="G179" s="105"/>
      <c r="H179" s="108"/>
      <c r="I179" s="108"/>
      <c r="J179" s="107"/>
      <c r="K179" s="108"/>
      <c r="L179" s="108"/>
      <c r="M179" s="104"/>
      <c r="N179" s="104"/>
      <c r="O179" s="104"/>
      <c r="P179" s="104"/>
      <c r="Q179" s="104"/>
      <c r="R179" s="105"/>
      <c r="S179" s="105"/>
      <c r="T179" s="105"/>
      <c r="U179" s="105"/>
      <c r="V179" s="105"/>
      <c r="W179" s="122"/>
    </row>
    <row r="180" spans="1:23" ht="15.75" hidden="1" customHeight="1">
      <c r="A180" s="103"/>
      <c r="B180" s="103"/>
      <c r="C180" s="105"/>
      <c r="D180" s="121"/>
      <c r="E180" s="105"/>
      <c r="F180" s="121"/>
      <c r="G180" s="105"/>
      <c r="H180" s="108"/>
      <c r="I180" s="108"/>
      <c r="J180" s="107"/>
      <c r="K180" s="108"/>
      <c r="L180" s="108"/>
      <c r="M180" s="104"/>
      <c r="N180" s="104"/>
      <c r="O180" s="104"/>
      <c r="P180" s="104"/>
      <c r="Q180" s="104"/>
      <c r="R180" s="105"/>
      <c r="S180" s="105"/>
      <c r="T180" s="105"/>
      <c r="U180" s="105"/>
      <c r="V180" s="105"/>
      <c r="W180" s="122"/>
    </row>
    <row r="181" spans="1:23" ht="15.75" hidden="1" customHeight="1">
      <c r="A181" s="103"/>
      <c r="B181" s="103"/>
      <c r="C181" s="105"/>
      <c r="D181" s="121"/>
      <c r="E181" s="105"/>
      <c r="F181" s="121"/>
      <c r="G181" s="105"/>
      <c r="H181" s="108"/>
      <c r="I181" s="108"/>
      <c r="J181" s="107"/>
      <c r="K181" s="108"/>
      <c r="L181" s="108"/>
      <c r="M181" s="104"/>
      <c r="N181" s="104"/>
      <c r="O181" s="104"/>
      <c r="P181" s="104"/>
      <c r="Q181" s="104"/>
      <c r="R181" s="105"/>
      <c r="S181" s="105"/>
      <c r="T181" s="105"/>
      <c r="U181" s="105"/>
      <c r="V181" s="105"/>
      <c r="W181" s="122"/>
    </row>
    <row r="182" spans="1:23" ht="15.75" hidden="1" customHeight="1">
      <c r="A182" s="103"/>
      <c r="B182" s="103"/>
      <c r="C182" s="105"/>
      <c r="D182" s="121"/>
      <c r="E182" s="105"/>
      <c r="F182" s="121"/>
      <c r="G182" s="105"/>
      <c r="H182" s="108"/>
      <c r="I182" s="108"/>
      <c r="J182" s="107"/>
      <c r="K182" s="108"/>
      <c r="L182" s="108"/>
      <c r="M182" s="104"/>
      <c r="N182" s="104"/>
      <c r="O182" s="104"/>
      <c r="P182" s="104"/>
      <c r="Q182" s="104"/>
      <c r="R182" s="105"/>
      <c r="S182" s="105"/>
      <c r="T182" s="105"/>
      <c r="U182" s="105"/>
      <c r="V182" s="105"/>
      <c r="W182" s="122"/>
    </row>
    <row r="183" spans="1:23" ht="15.75" hidden="1" customHeight="1">
      <c r="A183" s="103"/>
      <c r="B183" s="103"/>
      <c r="C183" s="105"/>
      <c r="D183" s="121"/>
      <c r="E183" s="105"/>
      <c r="F183" s="121"/>
      <c r="G183" s="105"/>
      <c r="H183" s="108"/>
      <c r="I183" s="108"/>
      <c r="J183" s="107"/>
      <c r="K183" s="108"/>
      <c r="L183" s="108"/>
      <c r="M183" s="104"/>
      <c r="N183" s="104"/>
      <c r="O183" s="104"/>
      <c r="P183" s="104"/>
      <c r="Q183" s="104"/>
      <c r="R183" s="105"/>
      <c r="S183" s="105"/>
      <c r="T183" s="105"/>
      <c r="U183" s="105"/>
      <c r="V183" s="105"/>
      <c r="W183" s="122"/>
    </row>
    <row r="184" spans="1:23" ht="15.75" hidden="1" customHeight="1">
      <c r="A184" s="103"/>
      <c r="B184" s="103"/>
      <c r="C184" s="105"/>
      <c r="D184" s="121"/>
      <c r="E184" s="105"/>
      <c r="F184" s="121"/>
      <c r="G184" s="105"/>
      <c r="H184" s="108"/>
      <c r="I184" s="108"/>
      <c r="J184" s="107"/>
      <c r="K184" s="108"/>
      <c r="L184" s="108"/>
      <c r="M184" s="104"/>
      <c r="N184" s="104"/>
      <c r="O184" s="104"/>
      <c r="P184" s="104"/>
      <c r="Q184" s="104"/>
      <c r="R184" s="105"/>
      <c r="S184" s="105"/>
      <c r="T184" s="105"/>
      <c r="U184" s="105"/>
      <c r="V184" s="105"/>
      <c r="W184" s="122"/>
    </row>
    <row r="185" spans="1:23" ht="15.75" hidden="1" customHeight="1">
      <c r="A185" s="103"/>
      <c r="B185" s="103"/>
      <c r="C185" s="105"/>
      <c r="D185" s="121"/>
      <c r="E185" s="105"/>
      <c r="F185" s="121"/>
      <c r="G185" s="105"/>
      <c r="H185" s="108"/>
      <c r="I185" s="108"/>
      <c r="J185" s="107"/>
      <c r="K185" s="108"/>
      <c r="L185" s="108"/>
      <c r="M185" s="104"/>
      <c r="N185" s="104"/>
      <c r="O185" s="104"/>
      <c r="P185" s="104"/>
      <c r="Q185" s="104"/>
      <c r="R185" s="105"/>
      <c r="S185" s="105"/>
      <c r="T185" s="105"/>
      <c r="U185" s="105"/>
      <c r="V185" s="105"/>
      <c r="W185" s="122"/>
    </row>
    <row r="186" spans="1:23" ht="15.75" hidden="1" customHeight="1">
      <c r="A186" s="103"/>
      <c r="B186" s="103"/>
      <c r="C186" s="105"/>
      <c r="D186" s="121"/>
      <c r="E186" s="105"/>
      <c r="F186" s="121"/>
      <c r="G186" s="105"/>
      <c r="H186" s="108"/>
      <c r="I186" s="108"/>
      <c r="J186" s="107"/>
      <c r="K186" s="108"/>
      <c r="L186" s="108"/>
      <c r="M186" s="104"/>
      <c r="N186" s="104"/>
      <c r="O186" s="104"/>
      <c r="P186" s="104"/>
      <c r="Q186" s="104"/>
      <c r="R186" s="105"/>
      <c r="S186" s="105"/>
      <c r="T186" s="105"/>
      <c r="U186" s="105"/>
      <c r="V186" s="105"/>
      <c r="W186" s="122"/>
    </row>
    <row r="187" spans="1:23" ht="15.75" hidden="1" customHeight="1">
      <c r="A187" s="103"/>
      <c r="B187" s="103"/>
      <c r="C187" s="105"/>
      <c r="D187" s="121"/>
      <c r="E187" s="105"/>
      <c r="F187" s="121"/>
      <c r="G187" s="105"/>
      <c r="H187" s="108"/>
      <c r="I187" s="108"/>
      <c r="J187" s="107"/>
      <c r="K187" s="108"/>
      <c r="L187" s="108"/>
      <c r="M187" s="104"/>
      <c r="N187" s="104"/>
      <c r="O187" s="104"/>
      <c r="P187" s="104"/>
      <c r="Q187" s="104"/>
      <c r="R187" s="105"/>
      <c r="S187" s="105"/>
      <c r="T187" s="105"/>
      <c r="U187" s="105"/>
      <c r="V187" s="105"/>
      <c r="W187" s="122"/>
    </row>
    <row r="188" spans="1:23" ht="15.75" hidden="1" customHeight="1">
      <c r="A188" s="103"/>
      <c r="B188" s="103"/>
      <c r="C188" s="105"/>
      <c r="D188" s="121"/>
      <c r="E188" s="105"/>
      <c r="F188" s="121"/>
      <c r="G188" s="105"/>
      <c r="H188" s="108"/>
      <c r="I188" s="108"/>
      <c r="J188" s="107"/>
      <c r="K188" s="108"/>
      <c r="L188" s="108"/>
      <c r="M188" s="104"/>
      <c r="N188" s="104"/>
      <c r="O188" s="104"/>
      <c r="P188" s="104"/>
      <c r="Q188" s="104"/>
      <c r="R188" s="105"/>
      <c r="S188" s="105"/>
      <c r="T188" s="105"/>
      <c r="U188" s="105"/>
      <c r="V188" s="105"/>
      <c r="W188" s="122"/>
    </row>
    <row r="189" spans="1:23" ht="15.75" hidden="1" customHeight="1">
      <c r="A189" s="103"/>
      <c r="B189" s="103"/>
      <c r="C189" s="105"/>
      <c r="D189" s="121"/>
      <c r="E189" s="105"/>
      <c r="F189" s="121"/>
      <c r="G189" s="105"/>
      <c r="H189" s="108"/>
      <c r="I189" s="108"/>
      <c r="J189" s="107"/>
      <c r="K189" s="108"/>
      <c r="L189" s="108"/>
      <c r="M189" s="104"/>
      <c r="N189" s="104"/>
      <c r="O189" s="104"/>
      <c r="P189" s="104"/>
      <c r="Q189" s="104"/>
      <c r="R189" s="105"/>
      <c r="S189" s="105"/>
      <c r="T189" s="105"/>
      <c r="U189" s="105"/>
      <c r="V189" s="105"/>
      <c r="W189" s="122"/>
    </row>
    <row r="190" spans="1:23" ht="15.75" hidden="1" customHeight="1">
      <c r="A190" s="103"/>
      <c r="B190" s="103"/>
      <c r="C190" s="105"/>
      <c r="D190" s="121"/>
      <c r="E190" s="105"/>
      <c r="F190" s="121"/>
      <c r="G190" s="105"/>
      <c r="H190" s="108"/>
      <c r="I190" s="108"/>
      <c r="J190" s="107"/>
      <c r="K190" s="108"/>
      <c r="L190" s="108"/>
      <c r="M190" s="104"/>
      <c r="N190" s="104"/>
      <c r="O190" s="104"/>
      <c r="P190" s="104"/>
      <c r="Q190" s="104"/>
      <c r="R190" s="105"/>
      <c r="S190" s="105"/>
      <c r="T190" s="105"/>
      <c r="U190" s="105"/>
      <c r="V190" s="105"/>
      <c r="W190" s="122"/>
    </row>
    <row r="191" spans="1:23" ht="15.75" hidden="1" customHeight="1">
      <c r="A191" s="103"/>
      <c r="B191" s="103"/>
      <c r="C191" s="105"/>
      <c r="D191" s="121"/>
      <c r="E191" s="105"/>
      <c r="F191" s="121"/>
      <c r="G191" s="105"/>
      <c r="H191" s="108"/>
      <c r="I191" s="108"/>
      <c r="J191" s="107"/>
      <c r="K191" s="108"/>
      <c r="L191" s="108"/>
      <c r="M191" s="104"/>
      <c r="N191" s="104"/>
      <c r="O191" s="104"/>
      <c r="P191" s="104"/>
      <c r="Q191" s="104"/>
      <c r="R191" s="105"/>
      <c r="S191" s="105"/>
      <c r="T191" s="105"/>
      <c r="U191" s="105"/>
      <c r="V191" s="105"/>
      <c r="W191" s="122"/>
    </row>
    <row r="192" spans="1:23" ht="15.75" hidden="1" customHeight="1">
      <c r="A192" s="103"/>
      <c r="B192" s="103"/>
      <c r="C192" s="105"/>
      <c r="D192" s="121"/>
      <c r="E192" s="105"/>
      <c r="F192" s="121"/>
      <c r="G192" s="105"/>
      <c r="H192" s="108"/>
      <c r="I192" s="108"/>
      <c r="J192" s="107"/>
      <c r="K192" s="108"/>
      <c r="L192" s="108"/>
      <c r="M192" s="104"/>
      <c r="N192" s="104"/>
      <c r="O192" s="104"/>
      <c r="P192" s="104"/>
      <c r="Q192" s="104"/>
      <c r="R192" s="105"/>
      <c r="S192" s="105"/>
      <c r="T192" s="105"/>
      <c r="U192" s="105"/>
      <c r="V192" s="105"/>
      <c r="W192" s="122"/>
    </row>
    <row r="193" spans="1:23" ht="15.75" hidden="1" customHeight="1">
      <c r="A193" s="103"/>
      <c r="B193" s="103"/>
      <c r="C193" s="105"/>
      <c r="D193" s="121"/>
      <c r="E193" s="105"/>
      <c r="F193" s="121"/>
      <c r="G193" s="105"/>
      <c r="H193" s="108"/>
      <c r="I193" s="108"/>
      <c r="J193" s="107"/>
      <c r="K193" s="108"/>
      <c r="L193" s="108"/>
      <c r="M193" s="104"/>
      <c r="N193" s="104"/>
      <c r="O193" s="104"/>
      <c r="P193" s="104"/>
      <c r="Q193" s="104"/>
      <c r="R193" s="105"/>
      <c r="S193" s="105"/>
      <c r="T193" s="105"/>
      <c r="U193" s="105"/>
      <c r="V193" s="105"/>
      <c r="W193" s="122"/>
    </row>
    <row r="194" spans="1:23" ht="15.75" hidden="1" customHeight="1">
      <c r="A194" s="103"/>
      <c r="B194" s="103"/>
      <c r="C194" s="105"/>
      <c r="D194" s="121"/>
      <c r="E194" s="105"/>
      <c r="F194" s="121"/>
      <c r="G194" s="105"/>
      <c r="H194" s="108"/>
      <c r="I194" s="108"/>
      <c r="J194" s="107"/>
      <c r="K194" s="108"/>
      <c r="L194" s="108"/>
      <c r="M194" s="104"/>
      <c r="N194" s="104"/>
      <c r="O194" s="104"/>
      <c r="P194" s="104"/>
      <c r="Q194" s="104"/>
      <c r="R194" s="105"/>
      <c r="S194" s="105"/>
      <c r="T194" s="105"/>
      <c r="U194" s="105"/>
      <c r="V194" s="105"/>
      <c r="W194" s="122"/>
    </row>
    <row r="195" spans="1:23" ht="15.75" hidden="1" customHeight="1">
      <c r="A195" s="103"/>
      <c r="B195" s="103"/>
      <c r="C195" s="105"/>
      <c r="D195" s="121"/>
      <c r="E195" s="105"/>
      <c r="F195" s="121"/>
      <c r="G195" s="105"/>
      <c r="H195" s="108"/>
      <c r="I195" s="108"/>
      <c r="J195" s="107"/>
      <c r="K195" s="108"/>
      <c r="L195" s="108"/>
      <c r="M195" s="104"/>
      <c r="N195" s="104"/>
      <c r="O195" s="104"/>
      <c r="P195" s="104"/>
      <c r="Q195" s="104"/>
      <c r="R195" s="105"/>
      <c r="S195" s="105"/>
      <c r="T195" s="105"/>
      <c r="U195" s="105"/>
      <c r="V195" s="105"/>
      <c r="W195" s="122"/>
    </row>
    <row r="196" spans="1:23" ht="15.75" hidden="1" customHeight="1">
      <c r="A196" s="103"/>
      <c r="B196" s="103"/>
      <c r="C196" s="105"/>
      <c r="D196" s="121"/>
      <c r="E196" s="105"/>
      <c r="F196" s="121"/>
      <c r="G196" s="105"/>
      <c r="H196" s="108"/>
      <c r="I196" s="108"/>
      <c r="J196" s="107"/>
      <c r="K196" s="108"/>
      <c r="L196" s="108"/>
      <c r="M196" s="104"/>
      <c r="N196" s="104"/>
      <c r="O196" s="104"/>
      <c r="P196" s="104"/>
      <c r="Q196" s="104"/>
      <c r="R196" s="105"/>
      <c r="S196" s="105"/>
      <c r="T196" s="105"/>
      <c r="U196" s="105"/>
      <c r="V196" s="105"/>
      <c r="W196" s="122"/>
    </row>
    <row r="197" spans="1:23" ht="15.75" hidden="1" customHeight="1">
      <c r="A197" s="103"/>
      <c r="B197" s="103"/>
      <c r="C197" s="105"/>
      <c r="D197" s="121"/>
      <c r="E197" s="105"/>
      <c r="F197" s="121"/>
      <c r="G197" s="105"/>
      <c r="H197" s="108"/>
      <c r="I197" s="108"/>
      <c r="J197" s="107"/>
      <c r="K197" s="108"/>
      <c r="L197" s="108"/>
      <c r="M197" s="104"/>
      <c r="N197" s="104"/>
      <c r="O197" s="104"/>
      <c r="P197" s="104"/>
      <c r="Q197" s="104"/>
      <c r="R197" s="105"/>
      <c r="S197" s="105"/>
      <c r="T197" s="105"/>
      <c r="U197" s="105"/>
      <c r="V197" s="105"/>
      <c r="W197" s="122"/>
    </row>
    <row r="198" spans="1:23" ht="15.75" hidden="1" customHeight="1">
      <c r="A198" s="103"/>
      <c r="B198" s="103"/>
      <c r="C198" s="105"/>
      <c r="D198" s="121"/>
      <c r="E198" s="105"/>
      <c r="F198" s="121"/>
      <c r="G198" s="105"/>
      <c r="H198" s="108"/>
      <c r="I198" s="108"/>
      <c r="J198" s="107"/>
      <c r="K198" s="108"/>
      <c r="L198" s="108"/>
      <c r="M198" s="104"/>
      <c r="N198" s="104"/>
      <c r="O198" s="104"/>
      <c r="P198" s="104"/>
      <c r="Q198" s="104"/>
      <c r="R198" s="105"/>
      <c r="S198" s="105"/>
      <c r="T198" s="105"/>
      <c r="U198" s="105"/>
      <c r="V198" s="105"/>
      <c r="W198" s="122"/>
    </row>
    <row r="199" spans="1:23" ht="15.75" hidden="1" customHeight="1">
      <c r="A199" s="103"/>
      <c r="B199" s="103"/>
      <c r="C199" s="105"/>
      <c r="D199" s="121"/>
      <c r="E199" s="105"/>
      <c r="F199" s="121"/>
      <c r="G199" s="105"/>
      <c r="H199" s="108"/>
      <c r="I199" s="108"/>
      <c r="J199" s="107"/>
      <c r="K199" s="108"/>
      <c r="L199" s="108"/>
      <c r="M199" s="104"/>
      <c r="N199" s="104"/>
      <c r="O199" s="104"/>
      <c r="P199" s="104"/>
      <c r="Q199" s="104"/>
      <c r="R199" s="105"/>
      <c r="S199" s="105"/>
      <c r="T199" s="105"/>
      <c r="U199" s="105"/>
      <c r="V199" s="105"/>
      <c r="W199" s="122"/>
    </row>
    <row r="200" spans="1:23" ht="15.75" hidden="1" customHeight="1">
      <c r="A200" s="103"/>
      <c r="B200" s="103"/>
      <c r="C200" s="105"/>
      <c r="D200" s="121"/>
      <c r="E200" s="105"/>
      <c r="F200" s="121"/>
      <c r="G200" s="105"/>
      <c r="H200" s="108"/>
      <c r="I200" s="108"/>
      <c r="J200" s="107"/>
      <c r="K200" s="108"/>
      <c r="L200" s="108"/>
      <c r="M200" s="104"/>
      <c r="N200" s="104"/>
      <c r="O200" s="104"/>
      <c r="P200" s="104"/>
      <c r="Q200" s="104"/>
      <c r="R200" s="105"/>
      <c r="S200" s="105"/>
      <c r="T200" s="105"/>
      <c r="U200" s="105"/>
      <c r="V200" s="105"/>
      <c r="W200" s="122"/>
    </row>
    <row r="201" spans="1:23" ht="15.75" hidden="1" customHeight="1">
      <c r="A201" s="103"/>
      <c r="B201" s="103"/>
      <c r="C201" s="105"/>
      <c r="D201" s="121"/>
      <c r="E201" s="105"/>
      <c r="F201" s="121"/>
      <c r="G201" s="105"/>
      <c r="H201" s="108"/>
      <c r="I201" s="108"/>
      <c r="J201" s="107"/>
      <c r="K201" s="108"/>
      <c r="L201" s="108"/>
      <c r="M201" s="104"/>
      <c r="N201" s="104"/>
      <c r="O201" s="104"/>
      <c r="P201" s="104"/>
      <c r="Q201" s="104"/>
      <c r="R201" s="105"/>
      <c r="S201" s="105"/>
      <c r="T201" s="105"/>
      <c r="U201" s="105"/>
      <c r="V201" s="105"/>
      <c r="W201" s="122"/>
    </row>
    <row r="202" spans="1:23" ht="15.75" hidden="1" customHeight="1">
      <c r="A202" s="103"/>
      <c r="B202" s="103"/>
      <c r="C202" s="105"/>
      <c r="D202" s="121"/>
      <c r="E202" s="105"/>
      <c r="F202" s="121"/>
      <c r="G202" s="105"/>
      <c r="H202" s="108"/>
      <c r="I202" s="108"/>
      <c r="J202" s="107"/>
      <c r="K202" s="108"/>
      <c r="L202" s="108"/>
      <c r="M202" s="104"/>
      <c r="N202" s="104"/>
      <c r="O202" s="104"/>
      <c r="P202" s="104"/>
      <c r="Q202" s="104"/>
      <c r="R202" s="105"/>
      <c r="S202" s="105"/>
      <c r="T202" s="105"/>
      <c r="U202" s="105"/>
      <c r="V202" s="105"/>
      <c r="W202" s="122"/>
    </row>
    <row r="203" spans="1:23" ht="15.75" hidden="1" customHeight="1">
      <c r="A203" s="103"/>
      <c r="B203" s="103"/>
      <c r="C203" s="105"/>
      <c r="D203" s="121"/>
      <c r="E203" s="105"/>
      <c r="F203" s="121"/>
      <c r="G203" s="105"/>
      <c r="H203" s="108"/>
      <c r="I203" s="108"/>
      <c r="J203" s="107"/>
      <c r="K203" s="108"/>
      <c r="L203" s="108"/>
      <c r="M203" s="104"/>
      <c r="N203" s="104"/>
      <c r="O203" s="104"/>
      <c r="P203" s="104"/>
      <c r="Q203" s="104"/>
      <c r="R203" s="105"/>
      <c r="S203" s="105"/>
      <c r="T203" s="105"/>
      <c r="U203" s="105"/>
      <c r="V203" s="105"/>
      <c r="W203" s="122"/>
    </row>
    <row r="204" spans="1:23" ht="15.75" hidden="1" customHeight="1">
      <c r="A204" s="103"/>
      <c r="B204" s="103"/>
      <c r="C204" s="105"/>
      <c r="D204" s="121"/>
      <c r="E204" s="105"/>
      <c r="F204" s="121"/>
      <c r="G204" s="105"/>
      <c r="H204" s="108"/>
      <c r="I204" s="108"/>
      <c r="J204" s="107"/>
      <c r="K204" s="108"/>
      <c r="L204" s="108"/>
      <c r="M204" s="104"/>
      <c r="N204" s="104"/>
      <c r="O204" s="104"/>
      <c r="P204" s="104"/>
      <c r="Q204" s="104"/>
      <c r="R204" s="105"/>
      <c r="S204" s="105"/>
      <c r="T204" s="105"/>
      <c r="U204" s="105"/>
      <c r="V204" s="105"/>
      <c r="W204" s="122"/>
    </row>
    <row r="205" spans="1:23" ht="15.75" hidden="1" customHeight="1">
      <c r="A205" s="103"/>
      <c r="B205" s="103"/>
      <c r="C205" s="105"/>
      <c r="D205" s="121"/>
      <c r="E205" s="105"/>
      <c r="F205" s="121"/>
      <c r="G205" s="105"/>
      <c r="H205" s="108"/>
      <c r="I205" s="108"/>
      <c r="J205" s="107"/>
      <c r="K205" s="108"/>
      <c r="L205" s="108"/>
      <c r="M205" s="104"/>
      <c r="N205" s="104"/>
      <c r="O205" s="104"/>
      <c r="P205" s="104"/>
      <c r="Q205" s="104"/>
      <c r="R205" s="105"/>
      <c r="S205" s="105"/>
      <c r="T205" s="105"/>
      <c r="U205" s="105"/>
      <c r="V205" s="105"/>
      <c r="W205" s="122"/>
    </row>
    <row r="206" spans="1:23" ht="15.75" hidden="1" customHeight="1">
      <c r="A206" s="103"/>
      <c r="B206" s="103"/>
      <c r="C206" s="105"/>
      <c r="D206" s="121"/>
      <c r="E206" s="105"/>
      <c r="F206" s="121"/>
      <c r="G206" s="105"/>
      <c r="H206" s="108"/>
      <c r="I206" s="108"/>
      <c r="J206" s="107"/>
      <c r="K206" s="108"/>
      <c r="L206" s="108"/>
      <c r="M206" s="104"/>
      <c r="N206" s="104"/>
      <c r="O206" s="104"/>
      <c r="P206" s="104"/>
      <c r="Q206" s="104"/>
      <c r="R206" s="105"/>
      <c r="S206" s="105"/>
      <c r="T206" s="105"/>
      <c r="U206" s="105"/>
      <c r="V206" s="105"/>
      <c r="W206" s="122"/>
    </row>
    <row r="207" spans="1:23" ht="15.75" hidden="1" customHeight="1">
      <c r="A207" s="103"/>
      <c r="B207" s="103"/>
      <c r="C207" s="105"/>
      <c r="D207" s="121"/>
      <c r="E207" s="105"/>
      <c r="F207" s="121"/>
      <c r="G207" s="105"/>
      <c r="H207" s="108"/>
      <c r="I207" s="108"/>
      <c r="J207" s="107"/>
      <c r="K207" s="108"/>
      <c r="L207" s="108"/>
      <c r="M207" s="104"/>
      <c r="N207" s="104"/>
      <c r="O207" s="104"/>
      <c r="P207" s="104"/>
      <c r="Q207" s="104"/>
      <c r="R207" s="105"/>
      <c r="S207" s="105"/>
      <c r="T207" s="105"/>
      <c r="U207" s="105"/>
      <c r="V207" s="105"/>
      <c r="W207" s="122"/>
    </row>
    <row r="208" spans="1:23" ht="15.75" hidden="1" customHeight="1">
      <c r="A208" s="103"/>
      <c r="B208" s="103"/>
      <c r="C208" s="105"/>
      <c r="D208" s="121"/>
      <c r="E208" s="105"/>
      <c r="F208" s="121"/>
      <c r="G208" s="105"/>
      <c r="H208" s="108"/>
      <c r="I208" s="108"/>
      <c r="J208" s="107"/>
      <c r="K208" s="108"/>
      <c r="L208" s="108"/>
      <c r="M208" s="104"/>
      <c r="N208" s="104"/>
      <c r="O208" s="104"/>
      <c r="P208" s="104"/>
      <c r="Q208" s="104"/>
      <c r="R208" s="105"/>
      <c r="S208" s="105"/>
      <c r="T208" s="105"/>
      <c r="U208" s="105"/>
      <c r="V208" s="105"/>
      <c r="W208" s="122"/>
    </row>
    <row r="209" spans="1:23" ht="15.75" hidden="1" customHeight="1">
      <c r="A209" s="103"/>
      <c r="B209" s="103"/>
      <c r="C209" s="105"/>
      <c r="D209" s="121"/>
      <c r="E209" s="105"/>
      <c r="F209" s="121"/>
      <c r="G209" s="105"/>
      <c r="H209" s="108"/>
      <c r="I209" s="108"/>
      <c r="J209" s="107"/>
      <c r="K209" s="108"/>
      <c r="L209" s="108"/>
      <c r="M209" s="104"/>
      <c r="N209" s="104"/>
      <c r="O209" s="104"/>
      <c r="P209" s="104"/>
      <c r="Q209" s="104"/>
      <c r="R209" s="105"/>
      <c r="S209" s="105"/>
      <c r="T209" s="105"/>
      <c r="U209" s="105"/>
      <c r="V209" s="105"/>
      <c r="W209" s="122"/>
    </row>
    <row r="210" spans="1:23" ht="15.75" hidden="1" customHeight="1">
      <c r="A210" s="103"/>
      <c r="B210" s="103"/>
      <c r="C210" s="105"/>
      <c r="D210" s="121"/>
      <c r="E210" s="105"/>
      <c r="F210" s="121"/>
      <c r="G210" s="105"/>
      <c r="H210" s="108"/>
      <c r="I210" s="108"/>
      <c r="J210" s="107"/>
      <c r="K210" s="108"/>
      <c r="L210" s="108"/>
      <c r="M210" s="104"/>
      <c r="N210" s="104"/>
      <c r="O210" s="104"/>
      <c r="P210" s="104"/>
      <c r="Q210" s="104"/>
      <c r="R210" s="105"/>
      <c r="S210" s="105"/>
      <c r="T210" s="105"/>
      <c r="U210" s="105"/>
      <c r="V210" s="105"/>
      <c r="W210" s="122"/>
    </row>
    <row r="211" spans="1:23" ht="15.75" hidden="1" customHeight="1">
      <c r="A211" s="103"/>
      <c r="B211" s="103"/>
      <c r="C211" s="105"/>
      <c r="D211" s="121"/>
      <c r="E211" s="105"/>
      <c r="F211" s="121"/>
      <c r="G211" s="105"/>
      <c r="H211" s="108"/>
      <c r="I211" s="108"/>
      <c r="J211" s="107"/>
      <c r="K211" s="108"/>
      <c r="L211" s="108"/>
      <c r="M211" s="104"/>
      <c r="N211" s="104"/>
      <c r="O211" s="104"/>
      <c r="P211" s="104"/>
      <c r="Q211" s="104"/>
      <c r="R211" s="105"/>
      <c r="S211" s="105"/>
      <c r="T211" s="105"/>
      <c r="U211" s="105"/>
      <c r="V211" s="105"/>
      <c r="W211" s="122"/>
    </row>
    <row r="212" spans="1:23" ht="15.75" hidden="1" customHeight="1">
      <c r="A212" s="103"/>
      <c r="B212" s="103"/>
      <c r="C212" s="105"/>
      <c r="D212" s="121"/>
      <c r="E212" s="105"/>
      <c r="F212" s="121"/>
      <c r="G212" s="105"/>
      <c r="H212" s="108"/>
      <c r="I212" s="108"/>
      <c r="J212" s="107"/>
      <c r="K212" s="108"/>
      <c r="L212" s="108"/>
      <c r="M212" s="104"/>
      <c r="N212" s="104"/>
      <c r="O212" s="104"/>
      <c r="P212" s="104"/>
      <c r="Q212" s="104"/>
      <c r="R212" s="105"/>
      <c r="S212" s="105"/>
      <c r="T212" s="105"/>
      <c r="U212" s="105"/>
      <c r="V212" s="105"/>
      <c r="W212" s="122"/>
    </row>
    <row r="213" spans="1:23" ht="15.75" hidden="1" customHeight="1">
      <c r="A213" s="103"/>
      <c r="B213" s="103"/>
      <c r="C213" s="105"/>
      <c r="D213" s="121"/>
      <c r="E213" s="105"/>
      <c r="F213" s="121"/>
      <c r="G213" s="105"/>
      <c r="H213" s="108"/>
      <c r="I213" s="108"/>
      <c r="J213" s="107"/>
      <c r="K213" s="108"/>
      <c r="L213" s="108"/>
      <c r="M213" s="104"/>
      <c r="N213" s="104"/>
      <c r="O213" s="104"/>
      <c r="P213" s="104"/>
      <c r="Q213" s="104"/>
      <c r="R213" s="105"/>
      <c r="S213" s="105"/>
      <c r="T213" s="105"/>
      <c r="U213" s="105"/>
      <c r="V213" s="105"/>
      <c r="W213" s="122"/>
    </row>
    <row r="214" spans="1:23" ht="15.75" hidden="1" customHeight="1">
      <c r="A214" s="103"/>
      <c r="B214" s="103"/>
      <c r="C214" s="105"/>
      <c r="D214" s="121"/>
      <c r="E214" s="105"/>
      <c r="F214" s="121"/>
      <c r="G214" s="105"/>
      <c r="H214" s="108"/>
      <c r="I214" s="108"/>
      <c r="J214" s="107"/>
      <c r="K214" s="108"/>
      <c r="L214" s="108"/>
      <c r="M214" s="104"/>
      <c r="N214" s="104"/>
      <c r="O214" s="104"/>
      <c r="P214" s="104"/>
      <c r="Q214" s="104"/>
      <c r="R214" s="105"/>
      <c r="S214" s="105"/>
      <c r="T214" s="105"/>
      <c r="U214" s="105"/>
      <c r="V214" s="105"/>
      <c r="W214" s="122"/>
    </row>
    <row r="215" spans="1:23" ht="15.75" hidden="1" customHeight="1">
      <c r="A215" s="103"/>
      <c r="B215" s="103"/>
      <c r="C215" s="105"/>
      <c r="D215" s="121"/>
      <c r="E215" s="105"/>
      <c r="F215" s="121"/>
      <c r="G215" s="105"/>
      <c r="H215" s="108"/>
      <c r="I215" s="108"/>
      <c r="J215" s="107"/>
      <c r="K215" s="108"/>
      <c r="L215" s="108"/>
      <c r="M215" s="104"/>
      <c r="N215" s="104"/>
      <c r="O215" s="104"/>
      <c r="P215" s="104"/>
      <c r="Q215" s="104"/>
      <c r="R215" s="105"/>
      <c r="S215" s="105"/>
      <c r="T215" s="105"/>
      <c r="U215" s="105"/>
      <c r="V215" s="105"/>
      <c r="W215" s="122"/>
    </row>
    <row r="216" spans="1:23" ht="15.75" hidden="1" customHeight="1">
      <c r="A216" s="103"/>
      <c r="B216" s="103"/>
      <c r="C216" s="105"/>
      <c r="D216" s="121"/>
      <c r="E216" s="105"/>
      <c r="F216" s="121"/>
      <c r="G216" s="105"/>
      <c r="H216" s="108"/>
      <c r="I216" s="108"/>
      <c r="J216" s="107"/>
      <c r="K216" s="108"/>
      <c r="L216" s="108"/>
      <c r="M216" s="104"/>
      <c r="N216" s="104"/>
      <c r="O216" s="104"/>
      <c r="P216" s="104"/>
      <c r="Q216" s="104"/>
      <c r="R216" s="105"/>
      <c r="S216" s="105"/>
      <c r="T216" s="105"/>
      <c r="U216" s="105"/>
      <c r="V216" s="105"/>
      <c r="W216" s="122"/>
    </row>
    <row r="217" spans="1:23" ht="15.75" hidden="1" customHeight="1">
      <c r="A217" s="103"/>
      <c r="B217" s="103"/>
      <c r="C217" s="105"/>
      <c r="D217" s="121"/>
      <c r="E217" s="105"/>
      <c r="F217" s="121"/>
      <c r="G217" s="105"/>
      <c r="H217" s="108"/>
      <c r="I217" s="108"/>
      <c r="J217" s="107"/>
      <c r="K217" s="108"/>
      <c r="L217" s="108"/>
      <c r="M217" s="104"/>
      <c r="N217" s="104"/>
      <c r="O217" s="104"/>
      <c r="P217" s="104"/>
      <c r="Q217" s="104"/>
      <c r="R217" s="105"/>
      <c r="S217" s="105"/>
      <c r="T217" s="105"/>
      <c r="U217" s="105"/>
      <c r="V217" s="105"/>
      <c r="W217" s="122"/>
    </row>
    <row r="218" spans="1:23" ht="15.75" hidden="1" customHeight="1">
      <c r="A218" s="103"/>
      <c r="B218" s="103"/>
      <c r="C218" s="105"/>
      <c r="D218" s="121"/>
      <c r="E218" s="105"/>
      <c r="F218" s="121"/>
      <c r="G218" s="105"/>
      <c r="H218" s="108"/>
      <c r="I218" s="108"/>
      <c r="J218" s="107"/>
      <c r="K218" s="108"/>
      <c r="L218" s="108"/>
      <c r="M218" s="104"/>
      <c r="N218" s="104"/>
      <c r="O218" s="104"/>
      <c r="P218" s="104"/>
      <c r="Q218" s="104"/>
      <c r="R218" s="105"/>
      <c r="S218" s="105"/>
      <c r="T218" s="105"/>
      <c r="U218" s="105"/>
      <c r="V218" s="105"/>
      <c r="W218" s="122"/>
    </row>
    <row r="219" spans="1:23" ht="15.75" hidden="1" customHeight="1">
      <c r="A219" s="103"/>
      <c r="B219" s="103"/>
      <c r="C219" s="105"/>
      <c r="D219" s="121"/>
      <c r="E219" s="105"/>
      <c r="F219" s="121"/>
      <c r="G219" s="105"/>
      <c r="H219" s="108"/>
      <c r="I219" s="108"/>
      <c r="J219" s="107"/>
      <c r="K219" s="108"/>
      <c r="L219" s="108"/>
      <c r="M219" s="104"/>
      <c r="N219" s="104"/>
      <c r="O219" s="104"/>
      <c r="P219" s="104"/>
      <c r="Q219" s="104"/>
      <c r="R219" s="105"/>
      <c r="S219" s="105"/>
      <c r="T219" s="105"/>
      <c r="U219" s="105"/>
      <c r="V219" s="105"/>
      <c r="W219" s="122"/>
    </row>
    <row r="220" spans="1:23" ht="15.75" hidden="1" customHeight="1">
      <c r="A220" s="103"/>
      <c r="B220" s="103"/>
      <c r="C220" s="105"/>
      <c r="D220" s="121"/>
      <c r="E220" s="105"/>
      <c r="F220" s="121"/>
      <c r="G220" s="105"/>
      <c r="H220" s="108"/>
      <c r="I220" s="108"/>
      <c r="J220" s="107"/>
      <c r="K220" s="108"/>
      <c r="L220" s="108"/>
      <c r="M220" s="104"/>
      <c r="N220" s="104"/>
      <c r="O220" s="104"/>
      <c r="P220" s="104"/>
      <c r="Q220" s="104"/>
      <c r="R220" s="105"/>
      <c r="S220" s="105"/>
      <c r="T220" s="105"/>
      <c r="U220" s="105"/>
      <c r="V220" s="105"/>
      <c r="W220" s="122"/>
    </row>
    <row r="221" spans="1:23" ht="15.75" hidden="1" customHeight="1">
      <c r="A221" s="103"/>
      <c r="B221" s="103"/>
      <c r="C221" s="105"/>
      <c r="D221" s="121"/>
      <c r="E221" s="105"/>
      <c r="F221" s="121"/>
      <c r="G221" s="105"/>
      <c r="H221" s="108"/>
      <c r="I221" s="108"/>
      <c r="J221" s="107"/>
      <c r="K221" s="108"/>
      <c r="L221" s="108"/>
      <c r="M221" s="104"/>
      <c r="N221" s="104"/>
      <c r="O221" s="104"/>
      <c r="P221" s="104"/>
      <c r="Q221" s="104"/>
      <c r="R221" s="105"/>
      <c r="S221" s="105"/>
      <c r="T221" s="105"/>
      <c r="U221" s="105"/>
      <c r="V221" s="105"/>
      <c r="W221" s="122"/>
    </row>
    <row r="222" spans="1:23" ht="15.75" hidden="1" customHeight="1">
      <c r="A222" s="103"/>
      <c r="B222" s="103"/>
      <c r="C222" s="105"/>
      <c r="D222" s="121"/>
      <c r="E222" s="105"/>
      <c r="F222" s="121"/>
      <c r="G222" s="105"/>
      <c r="H222" s="108"/>
      <c r="I222" s="108"/>
      <c r="J222" s="107"/>
      <c r="K222" s="108"/>
      <c r="L222" s="108"/>
      <c r="M222" s="104"/>
      <c r="N222" s="104"/>
      <c r="O222" s="104"/>
      <c r="P222" s="104"/>
      <c r="Q222" s="104"/>
      <c r="R222" s="105"/>
      <c r="S222" s="105"/>
      <c r="T222" s="105"/>
      <c r="U222" s="105"/>
      <c r="V222" s="105"/>
      <c r="W222" s="122"/>
    </row>
    <row r="223" spans="1:23" ht="15.75" hidden="1" customHeight="1">
      <c r="A223" s="103"/>
      <c r="B223" s="103"/>
      <c r="C223" s="105"/>
      <c r="D223" s="121"/>
      <c r="E223" s="105"/>
      <c r="F223" s="121"/>
      <c r="G223" s="105"/>
      <c r="H223" s="108"/>
      <c r="I223" s="108"/>
      <c r="J223" s="107"/>
      <c r="K223" s="108"/>
      <c r="L223" s="108"/>
      <c r="M223" s="104"/>
      <c r="N223" s="104"/>
      <c r="O223" s="104"/>
      <c r="P223" s="104"/>
      <c r="Q223" s="104"/>
      <c r="R223" s="105"/>
      <c r="S223" s="105"/>
      <c r="T223" s="105"/>
      <c r="U223" s="105"/>
      <c r="V223" s="105"/>
      <c r="W223" s="122"/>
    </row>
    <row r="224" spans="1:23" ht="15.75" hidden="1" customHeight="1">
      <c r="A224" s="103"/>
      <c r="B224" s="103"/>
      <c r="C224" s="105"/>
      <c r="D224" s="121"/>
      <c r="E224" s="105"/>
      <c r="F224" s="121"/>
      <c r="G224" s="105"/>
      <c r="H224" s="108"/>
      <c r="I224" s="108"/>
      <c r="J224" s="107"/>
      <c r="K224" s="108"/>
      <c r="L224" s="108"/>
      <c r="M224" s="104"/>
      <c r="N224" s="104"/>
      <c r="O224" s="104"/>
      <c r="P224" s="104"/>
      <c r="Q224" s="104"/>
      <c r="R224" s="105"/>
      <c r="S224" s="105"/>
      <c r="T224" s="105"/>
      <c r="U224" s="105"/>
      <c r="V224" s="105"/>
      <c r="W224" s="122"/>
    </row>
    <row r="225" spans="1:23" ht="15.75" hidden="1" customHeight="1">
      <c r="A225" s="103"/>
      <c r="B225" s="103"/>
      <c r="C225" s="105"/>
      <c r="D225" s="121"/>
      <c r="E225" s="105"/>
      <c r="F225" s="121"/>
      <c r="G225" s="105"/>
      <c r="H225" s="108"/>
      <c r="I225" s="108"/>
      <c r="J225" s="107"/>
      <c r="K225" s="108"/>
      <c r="L225" s="108"/>
      <c r="M225" s="104"/>
      <c r="N225" s="104"/>
      <c r="O225" s="104"/>
      <c r="P225" s="104"/>
      <c r="Q225" s="104"/>
      <c r="R225" s="105"/>
      <c r="S225" s="105"/>
      <c r="T225" s="105"/>
      <c r="U225" s="105"/>
      <c r="V225" s="105"/>
      <c r="W225" s="122"/>
    </row>
    <row r="226" spans="1:23" ht="15.75" hidden="1" customHeight="1">
      <c r="A226" s="103"/>
      <c r="B226" s="103"/>
      <c r="C226" s="105"/>
      <c r="D226" s="121"/>
      <c r="E226" s="105"/>
      <c r="F226" s="121"/>
      <c r="G226" s="105"/>
      <c r="H226" s="108"/>
      <c r="I226" s="108"/>
      <c r="J226" s="107"/>
      <c r="K226" s="108"/>
      <c r="L226" s="108"/>
      <c r="M226" s="104"/>
      <c r="N226" s="104"/>
      <c r="O226" s="104"/>
      <c r="P226" s="104"/>
      <c r="Q226" s="104"/>
      <c r="R226" s="105"/>
      <c r="S226" s="105"/>
      <c r="T226" s="105"/>
      <c r="U226" s="105"/>
      <c r="V226" s="105"/>
      <c r="W226" s="122"/>
    </row>
    <row r="227" spans="1:23" ht="15.75" hidden="1" customHeight="1">
      <c r="A227" s="103"/>
      <c r="B227" s="103"/>
      <c r="C227" s="105"/>
      <c r="D227" s="121"/>
      <c r="E227" s="105"/>
      <c r="F227" s="121"/>
      <c r="G227" s="105"/>
      <c r="H227" s="108"/>
      <c r="I227" s="108"/>
      <c r="J227" s="107"/>
      <c r="K227" s="108"/>
      <c r="L227" s="108"/>
      <c r="M227" s="104"/>
      <c r="N227" s="104"/>
      <c r="O227" s="104"/>
      <c r="P227" s="104"/>
      <c r="Q227" s="104"/>
      <c r="R227" s="105"/>
      <c r="S227" s="105"/>
      <c r="T227" s="105"/>
      <c r="U227" s="105"/>
      <c r="V227" s="105"/>
      <c r="W227" s="122"/>
    </row>
    <row r="228" spans="1:23" ht="15.75" hidden="1" customHeight="1">
      <c r="A228" s="103"/>
      <c r="B228" s="103"/>
      <c r="C228" s="105"/>
      <c r="D228" s="121"/>
      <c r="E228" s="105"/>
      <c r="F228" s="121"/>
      <c r="G228" s="105"/>
      <c r="H228" s="108"/>
      <c r="I228" s="108"/>
      <c r="J228" s="107"/>
      <c r="K228" s="108"/>
      <c r="L228" s="108"/>
      <c r="M228" s="104"/>
      <c r="N228" s="104"/>
      <c r="O228" s="104"/>
      <c r="P228" s="104"/>
      <c r="Q228" s="104"/>
      <c r="R228" s="105"/>
      <c r="S228" s="105"/>
      <c r="T228" s="105"/>
      <c r="U228" s="105"/>
      <c r="V228" s="105"/>
      <c r="W228" s="122"/>
    </row>
    <row r="229" spans="1:23" ht="15.75" hidden="1" customHeight="1">
      <c r="A229" s="103"/>
      <c r="B229" s="103"/>
      <c r="C229" s="105"/>
      <c r="D229" s="121"/>
      <c r="E229" s="105"/>
      <c r="F229" s="121"/>
      <c r="G229" s="105"/>
      <c r="H229" s="108"/>
      <c r="I229" s="108"/>
      <c r="J229" s="107"/>
      <c r="K229" s="108"/>
      <c r="L229" s="108"/>
      <c r="M229" s="104"/>
      <c r="N229" s="104"/>
      <c r="O229" s="104"/>
      <c r="P229" s="104"/>
      <c r="Q229" s="104"/>
      <c r="R229" s="105"/>
      <c r="S229" s="105"/>
      <c r="T229" s="105"/>
      <c r="U229" s="105"/>
      <c r="V229" s="105"/>
      <c r="W229" s="122"/>
    </row>
    <row r="230" spans="1:23" ht="15.75" hidden="1" customHeight="1">
      <c r="A230" s="103"/>
      <c r="B230" s="103"/>
      <c r="C230" s="105"/>
      <c r="D230" s="121"/>
      <c r="E230" s="105"/>
      <c r="F230" s="121"/>
      <c r="G230" s="105"/>
      <c r="H230" s="108"/>
      <c r="I230" s="108"/>
      <c r="J230" s="107"/>
      <c r="K230" s="108"/>
      <c r="L230" s="108"/>
      <c r="M230" s="104"/>
      <c r="N230" s="104"/>
      <c r="O230" s="104"/>
      <c r="P230" s="104"/>
      <c r="Q230" s="104"/>
      <c r="R230" s="105"/>
      <c r="S230" s="105"/>
      <c r="T230" s="105"/>
      <c r="U230" s="105"/>
      <c r="V230" s="105"/>
      <c r="W230" s="122"/>
    </row>
    <row r="231" spans="1:23" ht="15.75" hidden="1" customHeight="1">
      <c r="A231" s="103"/>
      <c r="B231" s="103"/>
      <c r="C231" s="105"/>
      <c r="D231" s="121"/>
      <c r="E231" s="105"/>
      <c r="F231" s="121"/>
      <c r="G231" s="105"/>
      <c r="H231" s="108"/>
      <c r="I231" s="108"/>
      <c r="J231" s="107"/>
      <c r="K231" s="108"/>
      <c r="L231" s="108"/>
      <c r="M231" s="104"/>
      <c r="N231" s="104"/>
      <c r="O231" s="104"/>
      <c r="P231" s="104"/>
      <c r="Q231" s="104"/>
      <c r="R231" s="105"/>
      <c r="S231" s="105"/>
      <c r="T231" s="105"/>
      <c r="U231" s="105"/>
      <c r="V231" s="105"/>
      <c r="W231" s="122"/>
    </row>
    <row r="232" spans="1:23" ht="15.75" hidden="1" customHeight="1">
      <c r="A232" s="103"/>
      <c r="B232" s="103"/>
      <c r="C232" s="105"/>
      <c r="D232" s="121"/>
      <c r="E232" s="105"/>
      <c r="F232" s="121"/>
      <c r="G232" s="105"/>
      <c r="H232" s="108"/>
      <c r="I232" s="108"/>
      <c r="J232" s="107"/>
      <c r="K232" s="108"/>
      <c r="L232" s="108"/>
      <c r="M232" s="104"/>
      <c r="N232" s="104"/>
      <c r="O232" s="104"/>
      <c r="P232" s="104"/>
      <c r="Q232" s="104"/>
      <c r="R232" s="105"/>
      <c r="S232" s="105"/>
      <c r="T232" s="105"/>
      <c r="U232" s="105"/>
      <c r="V232" s="105"/>
      <c r="W232" s="122"/>
    </row>
    <row r="233" spans="1:23" ht="15.75" hidden="1" customHeight="1">
      <c r="A233" s="103"/>
      <c r="B233" s="103"/>
      <c r="C233" s="105"/>
      <c r="D233" s="121"/>
      <c r="E233" s="105"/>
      <c r="F233" s="121"/>
      <c r="G233" s="105"/>
      <c r="H233" s="108"/>
      <c r="I233" s="108"/>
      <c r="J233" s="107"/>
      <c r="K233" s="108"/>
      <c r="L233" s="108"/>
      <c r="M233" s="104"/>
      <c r="N233" s="104"/>
      <c r="O233" s="104"/>
      <c r="P233" s="104"/>
      <c r="Q233" s="104"/>
      <c r="R233" s="105"/>
      <c r="S233" s="105"/>
      <c r="T233" s="105"/>
      <c r="U233" s="105"/>
      <c r="V233" s="105"/>
      <c r="W233" s="122"/>
    </row>
    <row r="234" spans="1:23" ht="15.75" hidden="1" customHeight="1">
      <c r="A234" s="103"/>
      <c r="B234" s="103"/>
      <c r="C234" s="105"/>
      <c r="D234" s="121"/>
      <c r="E234" s="105"/>
      <c r="F234" s="121"/>
      <c r="G234" s="105"/>
      <c r="H234" s="108"/>
      <c r="I234" s="108"/>
      <c r="J234" s="107"/>
      <c r="K234" s="108"/>
      <c r="L234" s="108"/>
      <c r="M234" s="104"/>
      <c r="N234" s="104"/>
      <c r="O234" s="104"/>
      <c r="P234" s="104"/>
      <c r="Q234" s="104"/>
      <c r="R234" s="105"/>
      <c r="S234" s="105"/>
      <c r="T234" s="105"/>
      <c r="U234" s="105"/>
      <c r="V234" s="105"/>
      <c r="W234" s="122"/>
    </row>
    <row r="235" spans="1:23" ht="15.75" hidden="1" customHeight="1">
      <c r="A235" s="103"/>
      <c r="B235" s="103"/>
      <c r="C235" s="105"/>
      <c r="D235" s="121"/>
      <c r="E235" s="105"/>
      <c r="F235" s="121"/>
      <c r="G235" s="105"/>
      <c r="H235" s="108"/>
      <c r="I235" s="108"/>
      <c r="J235" s="107"/>
      <c r="K235" s="108"/>
      <c r="L235" s="108"/>
      <c r="M235" s="104"/>
      <c r="N235" s="104"/>
      <c r="O235" s="104"/>
      <c r="P235" s="104"/>
      <c r="Q235" s="104"/>
      <c r="R235" s="105"/>
      <c r="S235" s="105"/>
      <c r="T235" s="105"/>
      <c r="U235" s="105"/>
      <c r="V235" s="105"/>
      <c r="W235" s="122"/>
    </row>
    <row r="236" spans="1:23" ht="15.75" hidden="1" customHeight="1">
      <c r="A236" s="103"/>
      <c r="B236" s="103"/>
      <c r="C236" s="105"/>
      <c r="D236" s="121"/>
      <c r="E236" s="105"/>
      <c r="F236" s="121"/>
      <c r="G236" s="105"/>
      <c r="H236" s="108"/>
      <c r="I236" s="108"/>
      <c r="J236" s="107"/>
      <c r="K236" s="108"/>
      <c r="L236" s="108"/>
      <c r="M236" s="104"/>
      <c r="N236" s="104"/>
      <c r="O236" s="104"/>
      <c r="P236" s="104"/>
      <c r="Q236" s="104"/>
      <c r="R236" s="105"/>
      <c r="S236" s="105"/>
      <c r="T236" s="105"/>
      <c r="U236" s="105"/>
      <c r="V236" s="105"/>
      <c r="W236" s="122"/>
    </row>
    <row r="237" spans="1:23" ht="15.75" hidden="1" customHeight="1">
      <c r="A237" s="103"/>
      <c r="B237" s="103"/>
      <c r="C237" s="105"/>
      <c r="D237" s="121"/>
      <c r="E237" s="105"/>
      <c r="F237" s="121"/>
      <c r="G237" s="105"/>
      <c r="H237" s="108"/>
      <c r="I237" s="108"/>
      <c r="J237" s="107"/>
      <c r="K237" s="108"/>
      <c r="L237" s="108"/>
      <c r="M237" s="104"/>
      <c r="N237" s="104"/>
      <c r="O237" s="104"/>
      <c r="P237" s="104"/>
      <c r="Q237" s="104"/>
      <c r="R237" s="105"/>
      <c r="S237" s="105"/>
      <c r="T237" s="105"/>
      <c r="U237" s="105"/>
      <c r="V237" s="105"/>
      <c r="W237" s="122"/>
    </row>
    <row r="238" spans="1:23" ht="15.75" hidden="1" customHeight="1">
      <c r="A238" s="103"/>
      <c r="B238" s="103"/>
      <c r="C238" s="105"/>
      <c r="D238" s="121"/>
      <c r="E238" s="105"/>
      <c r="F238" s="121"/>
      <c r="G238" s="105"/>
      <c r="H238" s="108"/>
      <c r="I238" s="108"/>
      <c r="J238" s="107"/>
      <c r="K238" s="108"/>
      <c r="L238" s="108"/>
      <c r="M238" s="104"/>
      <c r="N238" s="104"/>
      <c r="O238" s="104"/>
      <c r="P238" s="104"/>
      <c r="Q238" s="104"/>
      <c r="R238" s="105"/>
      <c r="S238" s="105"/>
      <c r="T238" s="105"/>
      <c r="U238" s="105"/>
      <c r="V238" s="105"/>
      <c r="W238" s="122"/>
    </row>
    <row r="239" spans="1:23" ht="15.75" hidden="1" customHeight="1">
      <c r="A239" s="103"/>
      <c r="B239" s="103"/>
      <c r="C239" s="105"/>
      <c r="D239" s="121"/>
      <c r="E239" s="105"/>
      <c r="F239" s="121"/>
      <c r="G239" s="105"/>
      <c r="H239" s="108"/>
      <c r="I239" s="108"/>
      <c r="J239" s="107"/>
      <c r="K239" s="108"/>
      <c r="L239" s="108"/>
      <c r="M239" s="104"/>
      <c r="N239" s="104"/>
      <c r="O239" s="104"/>
      <c r="P239" s="104"/>
      <c r="Q239" s="104"/>
      <c r="R239" s="105"/>
      <c r="S239" s="105"/>
      <c r="T239" s="105"/>
      <c r="U239" s="105"/>
      <c r="V239" s="105"/>
      <c r="W239" s="122"/>
    </row>
    <row r="240" spans="1:23" ht="15.75" hidden="1" customHeight="1">
      <c r="A240" s="103"/>
      <c r="B240" s="103"/>
      <c r="C240" s="105"/>
      <c r="D240" s="121"/>
      <c r="E240" s="105"/>
      <c r="F240" s="121"/>
      <c r="G240" s="105"/>
      <c r="H240" s="108"/>
      <c r="I240" s="108"/>
      <c r="J240" s="107"/>
      <c r="K240" s="108"/>
      <c r="L240" s="108"/>
      <c r="M240" s="104"/>
      <c r="N240" s="104"/>
      <c r="O240" s="104"/>
      <c r="P240" s="104"/>
      <c r="Q240" s="104"/>
      <c r="R240" s="105"/>
      <c r="S240" s="105"/>
      <c r="T240" s="105"/>
      <c r="U240" s="105"/>
      <c r="V240" s="105"/>
      <c r="W240" s="122"/>
    </row>
    <row r="241" spans="1:23" ht="15.75" hidden="1" customHeight="1">
      <c r="A241" s="103"/>
      <c r="B241" s="103"/>
      <c r="C241" s="105"/>
      <c r="D241" s="121"/>
      <c r="E241" s="105"/>
      <c r="F241" s="121"/>
      <c r="G241" s="105"/>
      <c r="H241" s="108"/>
      <c r="I241" s="108"/>
      <c r="J241" s="107"/>
      <c r="K241" s="108"/>
      <c r="L241" s="108"/>
      <c r="M241" s="104"/>
      <c r="N241" s="104"/>
      <c r="O241" s="104"/>
      <c r="P241" s="104"/>
      <c r="Q241" s="104"/>
      <c r="R241" s="105"/>
      <c r="S241" s="105"/>
      <c r="T241" s="105"/>
      <c r="U241" s="105"/>
      <c r="V241" s="105"/>
      <c r="W241" s="122"/>
    </row>
    <row r="242" spans="1:23" ht="15.75" hidden="1" customHeight="1">
      <c r="A242" s="103"/>
      <c r="B242" s="103"/>
      <c r="C242" s="105"/>
      <c r="D242" s="121"/>
      <c r="E242" s="105"/>
      <c r="F242" s="121"/>
      <c r="G242" s="105"/>
      <c r="H242" s="108"/>
      <c r="I242" s="108"/>
      <c r="J242" s="107"/>
      <c r="K242" s="108"/>
      <c r="L242" s="108"/>
      <c r="M242" s="104"/>
      <c r="N242" s="104"/>
      <c r="O242" s="104"/>
      <c r="P242" s="104"/>
      <c r="Q242" s="104"/>
      <c r="R242" s="105"/>
      <c r="S242" s="105"/>
      <c r="T242" s="105"/>
      <c r="U242" s="105"/>
      <c r="V242" s="105"/>
      <c r="W242" s="122"/>
    </row>
    <row r="243" spans="1:23" ht="15.75" hidden="1" customHeight="1">
      <c r="A243" s="103"/>
      <c r="B243" s="103"/>
      <c r="C243" s="105"/>
      <c r="D243" s="121"/>
      <c r="E243" s="105"/>
      <c r="F243" s="121"/>
      <c r="G243" s="105"/>
      <c r="H243" s="108"/>
      <c r="I243" s="108"/>
      <c r="J243" s="107"/>
      <c r="K243" s="108"/>
      <c r="L243" s="108"/>
      <c r="M243" s="104"/>
      <c r="N243" s="104"/>
      <c r="O243" s="104"/>
      <c r="P243" s="104"/>
      <c r="Q243" s="104"/>
      <c r="R243" s="105"/>
      <c r="S243" s="105"/>
      <c r="T243" s="105"/>
      <c r="U243" s="105"/>
      <c r="V243" s="105"/>
      <c r="W243" s="122"/>
    </row>
    <row r="244" spans="1:23" ht="15.75" hidden="1" customHeight="1">
      <c r="A244" s="103"/>
      <c r="B244" s="103"/>
      <c r="C244" s="105"/>
      <c r="D244" s="121"/>
      <c r="E244" s="105"/>
      <c r="F244" s="121"/>
      <c r="G244" s="105"/>
      <c r="H244" s="108"/>
      <c r="I244" s="108"/>
      <c r="J244" s="107"/>
      <c r="K244" s="108"/>
      <c r="L244" s="108"/>
      <c r="M244" s="104"/>
      <c r="N244" s="104"/>
      <c r="O244" s="104"/>
      <c r="P244" s="104"/>
      <c r="Q244" s="104"/>
      <c r="R244" s="105"/>
      <c r="S244" s="105"/>
      <c r="T244" s="105"/>
      <c r="U244" s="105"/>
      <c r="V244" s="105"/>
      <c r="W244" s="122"/>
    </row>
    <row r="245" spans="1:23" ht="15.75" hidden="1" customHeight="1">
      <c r="A245" s="103"/>
      <c r="B245" s="103"/>
      <c r="C245" s="105"/>
      <c r="D245" s="121"/>
      <c r="E245" s="105"/>
      <c r="F245" s="121"/>
      <c r="G245" s="105"/>
      <c r="H245" s="108"/>
      <c r="I245" s="108"/>
      <c r="J245" s="107"/>
      <c r="K245" s="108"/>
      <c r="L245" s="108"/>
      <c r="M245" s="104"/>
      <c r="N245" s="104"/>
      <c r="O245" s="104"/>
      <c r="P245" s="104"/>
      <c r="Q245" s="104"/>
      <c r="R245" s="105"/>
      <c r="S245" s="105"/>
      <c r="T245" s="105"/>
      <c r="U245" s="105"/>
      <c r="V245" s="105"/>
      <c r="W245" s="122"/>
    </row>
    <row r="246" spans="1:23" ht="15.75" hidden="1" customHeight="1">
      <c r="A246" s="103"/>
      <c r="B246" s="103"/>
      <c r="C246" s="105"/>
      <c r="D246" s="121"/>
      <c r="E246" s="105"/>
      <c r="F246" s="121"/>
      <c r="G246" s="105"/>
      <c r="H246" s="108"/>
      <c r="I246" s="108"/>
      <c r="J246" s="107"/>
      <c r="K246" s="108"/>
      <c r="L246" s="108"/>
      <c r="M246" s="104"/>
      <c r="N246" s="104"/>
      <c r="O246" s="104"/>
      <c r="P246" s="104"/>
      <c r="Q246" s="104"/>
      <c r="R246" s="105"/>
      <c r="S246" s="105"/>
      <c r="T246" s="105"/>
      <c r="U246" s="105"/>
      <c r="V246" s="105"/>
      <c r="W246" s="122"/>
    </row>
    <row r="247" spans="1:23" ht="15.75" hidden="1" customHeight="1">
      <c r="A247" s="103"/>
      <c r="B247" s="103"/>
      <c r="C247" s="105"/>
      <c r="D247" s="121"/>
      <c r="E247" s="105"/>
      <c r="F247" s="121"/>
      <c r="G247" s="105"/>
      <c r="H247" s="108"/>
      <c r="I247" s="108"/>
      <c r="J247" s="107"/>
      <c r="K247" s="108"/>
      <c r="L247" s="108"/>
      <c r="M247" s="104"/>
      <c r="N247" s="104"/>
      <c r="O247" s="104"/>
      <c r="P247" s="104"/>
      <c r="Q247" s="104"/>
      <c r="R247" s="105"/>
      <c r="S247" s="105"/>
      <c r="T247" s="105"/>
      <c r="U247" s="105"/>
      <c r="V247" s="105"/>
      <c r="W247" s="122"/>
    </row>
    <row r="248" spans="1:23" ht="15.75" hidden="1" customHeight="1">
      <c r="A248" s="103"/>
      <c r="B248" s="103"/>
      <c r="C248" s="105"/>
      <c r="D248" s="121"/>
      <c r="E248" s="105"/>
      <c r="F248" s="121"/>
      <c r="G248" s="105"/>
      <c r="H248" s="108"/>
      <c r="I248" s="108"/>
      <c r="J248" s="107"/>
      <c r="K248" s="108"/>
      <c r="L248" s="108"/>
      <c r="M248" s="104"/>
      <c r="N248" s="104"/>
      <c r="O248" s="104"/>
      <c r="P248" s="104"/>
      <c r="Q248" s="104"/>
      <c r="R248" s="105"/>
      <c r="S248" s="105"/>
      <c r="T248" s="105"/>
      <c r="U248" s="105"/>
      <c r="V248" s="105"/>
      <c r="W248" s="122"/>
    </row>
    <row r="249" spans="1:23" ht="15.75" hidden="1" customHeight="1">
      <c r="A249" s="103"/>
      <c r="B249" s="103"/>
      <c r="C249" s="105"/>
      <c r="D249" s="121"/>
      <c r="E249" s="105"/>
      <c r="F249" s="121"/>
      <c r="G249" s="105"/>
      <c r="H249" s="108"/>
      <c r="I249" s="108"/>
      <c r="J249" s="107"/>
      <c r="K249" s="108"/>
      <c r="L249" s="108"/>
      <c r="M249" s="104"/>
      <c r="N249" s="104"/>
      <c r="O249" s="104"/>
      <c r="P249" s="104"/>
      <c r="Q249" s="104"/>
      <c r="R249" s="105"/>
      <c r="S249" s="105"/>
      <c r="T249" s="105"/>
      <c r="U249" s="105"/>
      <c r="V249" s="105"/>
      <c r="W249" s="122"/>
    </row>
    <row r="250" spans="1:23" ht="15.75" hidden="1" customHeight="1">
      <c r="A250" s="103"/>
      <c r="B250" s="103"/>
      <c r="C250" s="105"/>
      <c r="D250" s="121"/>
      <c r="E250" s="105"/>
      <c r="F250" s="121"/>
      <c r="G250" s="105"/>
      <c r="H250" s="108"/>
      <c r="I250" s="108"/>
      <c r="J250" s="107"/>
      <c r="K250" s="108"/>
      <c r="L250" s="108"/>
      <c r="M250" s="104"/>
      <c r="N250" s="104"/>
      <c r="O250" s="104"/>
      <c r="P250" s="104"/>
      <c r="Q250" s="104"/>
      <c r="R250" s="105"/>
      <c r="S250" s="105"/>
      <c r="T250" s="105"/>
      <c r="U250" s="105"/>
      <c r="V250" s="105"/>
      <c r="W250" s="122"/>
    </row>
    <row r="251" spans="1:23" ht="15.75" hidden="1" customHeight="1">
      <c r="A251" s="103"/>
      <c r="B251" s="103"/>
      <c r="C251" s="105"/>
      <c r="D251" s="121"/>
      <c r="E251" s="105"/>
      <c r="F251" s="121"/>
      <c r="G251" s="105"/>
      <c r="H251" s="108"/>
      <c r="I251" s="108"/>
      <c r="J251" s="107"/>
      <c r="K251" s="108"/>
      <c r="L251" s="108"/>
      <c r="M251" s="104"/>
      <c r="N251" s="104"/>
      <c r="O251" s="104"/>
      <c r="P251" s="104"/>
      <c r="Q251" s="104"/>
      <c r="R251" s="105"/>
      <c r="S251" s="105"/>
      <c r="T251" s="105"/>
      <c r="U251" s="105"/>
      <c r="V251" s="105"/>
      <c r="W251" s="122"/>
    </row>
    <row r="252" spans="1:23" ht="15.75" hidden="1" customHeight="1">
      <c r="A252" s="103"/>
      <c r="B252" s="103"/>
      <c r="C252" s="105"/>
      <c r="D252" s="121"/>
      <c r="E252" s="105"/>
      <c r="F252" s="121"/>
      <c r="G252" s="105"/>
      <c r="H252" s="108"/>
      <c r="I252" s="108"/>
      <c r="J252" s="107"/>
      <c r="K252" s="108"/>
      <c r="L252" s="108"/>
      <c r="M252" s="104"/>
      <c r="N252" s="104"/>
      <c r="O252" s="104"/>
      <c r="P252" s="104"/>
      <c r="Q252" s="104"/>
      <c r="R252" s="105"/>
      <c r="S252" s="105"/>
      <c r="T252" s="105"/>
      <c r="U252" s="105"/>
      <c r="V252" s="105"/>
      <c r="W252" s="122"/>
    </row>
    <row r="253" spans="1:23" ht="15.75" hidden="1" customHeight="1">
      <c r="A253" s="103"/>
      <c r="B253" s="103"/>
      <c r="C253" s="105"/>
      <c r="D253" s="121"/>
      <c r="E253" s="105"/>
      <c r="F253" s="121"/>
      <c r="G253" s="105"/>
      <c r="H253" s="108"/>
      <c r="I253" s="108"/>
      <c r="J253" s="107"/>
      <c r="K253" s="108"/>
      <c r="L253" s="108"/>
      <c r="M253" s="104"/>
      <c r="N253" s="104"/>
      <c r="O253" s="104"/>
      <c r="P253" s="104"/>
      <c r="Q253" s="104"/>
      <c r="R253" s="105"/>
      <c r="S253" s="105"/>
      <c r="T253" s="105"/>
      <c r="U253" s="105"/>
      <c r="V253" s="105"/>
      <c r="W253" s="122"/>
    </row>
    <row r="254" spans="1:23" ht="15.75" hidden="1" customHeight="1">
      <c r="A254" s="103"/>
      <c r="B254" s="103"/>
      <c r="C254" s="105"/>
      <c r="D254" s="121"/>
      <c r="E254" s="105"/>
      <c r="F254" s="121"/>
      <c r="G254" s="105"/>
      <c r="H254" s="108"/>
      <c r="I254" s="108"/>
      <c r="J254" s="107"/>
      <c r="K254" s="108"/>
      <c r="L254" s="108"/>
      <c r="M254" s="104"/>
      <c r="N254" s="104"/>
      <c r="O254" s="104"/>
      <c r="P254" s="104"/>
      <c r="Q254" s="104"/>
      <c r="R254" s="105"/>
      <c r="S254" s="105"/>
      <c r="T254" s="105"/>
      <c r="U254" s="105"/>
      <c r="V254" s="105"/>
      <c r="W254" s="122"/>
    </row>
    <row r="255" spans="1:23" ht="15.75" hidden="1" customHeight="1">
      <c r="A255" s="103"/>
      <c r="B255" s="103"/>
      <c r="C255" s="105"/>
      <c r="D255" s="121"/>
      <c r="E255" s="105"/>
      <c r="F255" s="121"/>
      <c r="G255" s="105"/>
      <c r="H255" s="108"/>
      <c r="I255" s="108"/>
      <c r="J255" s="107"/>
      <c r="K255" s="108"/>
      <c r="L255" s="108"/>
      <c r="M255" s="104"/>
      <c r="N255" s="104"/>
      <c r="O255" s="104"/>
      <c r="P255" s="104"/>
      <c r="Q255" s="104"/>
      <c r="R255" s="105"/>
      <c r="S255" s="105"/>
      <c r="T255" s="105"/>
      <c r="U255" s="105"/>
      <c r="V255" s="105"/>
      <c r="W255" s="122"/>
    </row>
    <row r="256" spans="1:23" ht="15.75" hidden="1" customHeight="1">
      <c r="A256" s="103"/>
      <c r="B256" s="103"/>
      <c r="C256" s="105"/>
      <c r="D256" s="121"/>
      <c r="E256" s="105"/>
      <c r="F256" s="121"/>
      <c r="G256" s="105"/>
      <c r="H256" s="108"/>
      <c r="I256" s="108"/>
      <c r="J256" s="107"/>
      <c r="K256" s="108"/>
      <c r="L256" s="108"/>
      <c r="M256" s="104"/>
      <c r="N256" s="104"/>
      <c r="O256" s="104"/>
      <c r="P256" s="104"/>
      <c r="Q256" s="104"/>
      <c r="R256" s="105"/>
      <c r="S256" s="105"/>
      <c r="T256" s="105"/>
      <c r="U256" s="105"/>
      <c r="V256" s="105"/>
      <c r="W256" s="122"/>
    </row>
    <row r="257" spans="1:23" ht="15.75" hidden="1" customHeight="1">
      <c r="A257" s="103"/>
      <c r="B257" s="103"/>
      <c r="C257" s="105"/>
      <c r="D257" s="121"/>
      <c r="E257" s="105"/>
      <c r="F257" s="121"/>
      <c r="G257" s="105"/>
      <c r="H257" s="108"/>
      <c r="I257" s="108"/>
      <c r="J257" s="107"/>
      <c r="K257" s="108"/>
      <c r="L257" s="108"/>
      <c r="M257" s="104"/>
      <c r="N257" s="104"/>
      <c r="O257" s="104"/>
      <c r="P257" s="104"/>
      <c r="Q257" s="104"/>
      <c r="R257" s="105"/>
      <c r="S257" s="105"/>
      <c r="T257" s="105"/>
      <c r="U257" s="105"/>
      <c r="V257" s="105"/>
      <c r="W257" s="122"/>
    </row>
    <row r="258" spans="1:23" ht="15.75" hidden="1" customHeight="1">
      <c r="A258" s="103"/>
      <c r="B258" s="103"/>
      <c r="C258" s="105"/>
      <c r="D258" s="121"/>
      <c r="E258" s="105"/>
      <c r="F258" s="121"/>
      <c r="G258" s="105"/>
      <c r="H258" s="108"/>
      <c r="I258" s="108"/>
      <c r="J258" s="107"/>
      <c r="K258" s="108"/>
      <c r="L258" s="108"/>
      <c r="M258" s="104"/>
      <c r="N258" s="104"/>
      <c r="O258" s="104"/>
      <c r="P258" s="104"/>
      <c r="Q258" s="104"/>
      <c r="R258" s="105"/>
      <c r="S258" s="105"/>
      <c r="T258" s="105"/>
      <c r="U258" s="105"/>
      <c r="V258" s="105"/>
      <c r="W258" s="122"/>
    </row>
    <row r="259" spans="1:23" ht="15.75" hidden="1" customHeight="1">
      <c r="A259" s="103"/>
      <c r="B259" s="103"/>
      <c r="C259" s="105"/>
      <c r="D259" s="121"/>
      <c r="E259" s="105"/>
      <c r="F259" s="121"/>
      <c r="G259" s="105"/>
      <c r="H259" s="108"/>
      <c r="I259" s="108"/>
      <c r="J259" s="107"/>
      <c r="K259" s="108"/>
      <c r="L259" s="108"/>
      <c r="M259" s="104"/>
      <c r="N259" s="104"/>
      <c r="O259" s="104"/>
      <c r="P259" s="104"/>
      <c r="Q259" s="104"/>
      <c r="R259" s="105"/>
      <c r="S259" s="105"/>
      <c r="T259" s="105"/>
      <c r="U259" s="105"/>
      <c r="V259" s="105"/>
      <c r="W259" s="122"/>
    </row>
    <row r="260" spans="1:23" ht="15.75" hidden="1" customHeight="1">
      <c r="A260" s="103"/>
      <c r="B260" s="103"/>
      <c r="C260" s="105"/>
      <c r="D260" s="121"/>
      <c r="E260" s="105"/>
      <c r="F260" s="121"/>
      <c r="G260" s="105"/>
      <c r="H260" s="108"/>
      <c r="I260" s="108"/>
      <c r="J260" s="107"/>
      <c r="K260" s="108"/>
      <c r="L260" s="108"/>
      <c r="M260" s="104"/>
      <c r="N260" s="104"/>
      <c r="O260" s="104"/>
      <c r="P260" s="104"/>
      <c r="Q260" s="104"/>
      <c r="R260" s="105"/>
      <c r="S260" s="105"/>
      <c r="T260" s="105"/>
      <c r="U260" s="105"/>
      <c r="V260" s="105"/>
      <c r="W260" s="122"/>
    </row>
    <row r="261" spans="1:23" ht="15.75" hidden="1" customHeight="1">
      <c r="A261" s="103"/>
      <c r="B261" s="103"/>
      <c r="C261" s="105"/>
      <c r="D261" s="121"/>
      <c r="E261" s="105"/>
      <c r="F261" s="121"/>
      <c r="G261" s="105"/>
      <c r="H261" s="108"/>
      <c r="I261" s="108"/>
      <c r="J261" s="107"/>
      <c r="K261" s="108"/>
      <c r="L261" s="108"/>
      <c r="M261" s="104"/>
      <c r="N261" s="104"/>
      <c r="O261" s="104"/>
      <c r="P261" s="104"/>
      <c r="Q261" s="104"/>
      <c r="R261" s="105"/>
      <c r="S261" s="105"/>
      <c r="T261" s="105"/>
      <c r="U261" s="105"/>
      <c r="V261" s="105"/>
      <c r="W261" s="122"/>
    </row>
    <row r="262" spans="1:23" ht="15.75" hidden="1" customHeight="1">
      <c r="A262" s="103"/>
      <c r="B262" s="103"/>
      <c r="C262" s="105"/>
      <c r="D262" s="121"/>
      <c r="E262" s="105"/>
      <c r="F262" s="121"/>
      <c r="G262" s="105"/>
      <c r="H262" s="108"/>
      <c r="I262" s="108"/>
      <c r="J262" s="107"/>
      <c r="K262" s="108"/>
      <c r="L262" s="108"/>
      <c r="M262" s="104"/>
      <c r="N262" s="104"/>
      <c r="O262" s="104"/>
      <c r="P262" s="104"/>
      <c r="Q262" s="104"/>
      <c r="R262" s="105"/>
      <c r="S262" s="105"/>
      <c r="T262" s="105"/>
      <c r="U262" s="105"/>
      <c r="V262" s="105"/>
      <c r="W262" s="122"/>
    </row>
    <row r="263" spans="1:23" ht="15.75" hidden="1" customHeight="1">
      <c r="A263" s="103"/>
      <c r="B263" s="103"/>
      <c r="C263" s="105"/>
      <c r="D263" s="121"/>
      <c r="E263" s="105"/>
      <c r="F263" s="121"/>
      <c r="G263" s="105"/>
      <c r="H263" s="108"/>
      <c r="I263" s="108"/>
      <c r="J263" s="107"/>
      <c r="K263" s="108"/>
      <c r="L263" s="108"/>
      <c r="M263" s="104"/>
      <c r="N263" s="104"/>
      <c r="O263" s="104"/>
      <c r="P263" s="104"/>
      <c r="Q263" s="104"/>
      <c r="R263" s="105"/>
      <c r="S263" s="105"/>
      <c r="T263" s="105"/>
      <c r="U263" s="105"/>
      <c r="V263" s="105"/>
      <c r="W263" s="122"/>
    </row>
    <row r="264" spans="1:23" ht="15.75" hidden="1" customHeight="1">
      <c r="A264" s="103"/>
      <c r="B264" s="103"/>
      <c r="C264" s="105"/>
      <c r="D264" s="121"/>
      <c r="E264" s="105"/>
      <c r="F264" s="121"/>
      <c r="G264" s="105"/>
      <c r="H264" s="108"/>
      <c r="I264" s="108"/>
      <c r="J264" s="107"/>
      <c r="K264" s="108"/>
      <c r="L264" s="108"/>
      <c r="M264" s="104"/>
      <c r="N264" s="104"/>
      <c r="O264" s="104"/>
      <c r="P264" s="104"/>
      <c r="Q264" s="104"/>
      <c r="R264" s="105"/>
      <c r="S264" s="105"/>
      <c r="T264" s="105"/>
      <c r="U264" s="105"/>
      <c r="V264" s="105"/>
      <c r="W264" s="122"/>
    </row>
    <row r="265" spans="1:23" ht="15.75" hidden="1" customHeight="1">
      <c r="A265" s="103"/>
      <c r="B265" s="103"/>
      <c r="C265" s="105"/>
      <c r="D265" s="121"/>
      <c r="E265" s="105"/>
      <c r="F265" s="121"/>
      <c r="G265" s="105"/>
      <c r="H265" s="108"/>
      <c r="I265" s="108"/>
      <c r="J265" s="107"/>
      <c r="K265" s="108"/>
      <c r="L265" s="108"/>
      <c r="M265" s="104"/>
      <c r="N265" s="104"/>
      <c r="O265" s="104"/>
      <c r="P265" s="104"/>
      <c r="Q265" s="104"/>
      <c r="R265" s="105"/>
      <c r="S265" s="105"/>
      <c r="T265" s="105"/>
      <c r="U265" s="105"/>
      <c r="V265" s="105"/>
      <c r="W265" s="122"/>
    </row>
    <row r="266" spans="1:23" ht="15.75" hidden="1" customHeight="1">
      <c r="A266" s="103"/>
      <c r="B266" s="103"/>
      <c r="C266" s="105"/>
      <c r="D266" s="121"/>
      <c r="E266" s="105"/>
      <c r="F266" s="121"/>
      <c r="G266" s="105"/>
      <c r="H266" s="108"/>
      <c r="I266" s="108"/>
      <c r="J266" s="107"/>
      <c r="K266" s="108"/>
      <c r="L266" s="108"/>
      <c r="M266" s="104"/>
      <c r="N266" s="104"/>
      <c r="O266" s="104"/>
      <c r="P266" s="104"/>
      <c r="Q266" s="104"/>
      <c r="R266" s="105"/>
      <c r="S266" s="105"/>
      <c r="T266" s="105"/>
      <c r="U266" s="105"/>
      <c r="V266" s="105"/>
      <c r="W266" s="122"/>
    </row>
    <row r="267" spans="1:23" ht="15.75" hidden="1" customHeight="1">
      <c r="A267" s="103"/>
      <c r="B267" s="103"/>
      <c r="C267" s="105"/>
      <c r="D267" s="121"/>
      <c r="E267" s="105"/>
      <c r="F267" s="121"/>
      <c r="G267" s="105"/>
      <c r="H267" s="108"/>
      <c r="I267" s="108"/>
      <c r="J267" s="107"/>
      <c r="K267" s="108"/>
      <c r="L267" s="108"/>
      <c r="M267" s="104"/>
      <c r="N267" s="104"/>
      <c r="O267" s="104"/>
      <c r="P267" s="104"/>
      <c r="Q267" s="104"/>
      <c r="R267" s="105"/>
      <c r="S267" s="105"/>
      <c r="T267" s="105"/>
      <c r="U267" s="105"/>
      <c r="V267" s="105"/>
      <c r="W267" s="122"/>
    </row>
    <row r="268" spans="1:23" ht="15.75" hidden="1" customHeight="1">
      <c r="A268" s="103"/>
      <c r="B268" s="103"/>
      <c r="C268" s="105"/>
      <c r="D268" s="121"/>
      <c r="E268" s="105"/>
      <c r="F268" s="121"/>
      <c r="G268" s="105"/>
      <c r="H268" s="108"/>
      <c r="I268" s="108"/>
      <c r="J268" s="107"/>
      <c r="K268" s="108"/>
      <c r="L268" s="108"/>
      <c r="M268" s="104"/>
      <c r="N268" s="104"/>
      <c r="O268" s="104"/>
      <c r="P268" s="104"/>
      <c r="Q268" s="104"/>
      <c r="R268" s="105"/>
      <c r="S268" s="105"/>
      <c r="T268" s="105"/>
      <c r="U268" s="105"/>
      <c r="V268" s="105"/>
      <c r="W268" s="122"/>
    </row>
    <row r="269" spans="1:23" ht="15.75" hidden="1" customHeight="1">
      <c r="A269" s="103"/>
      <c r="B269" s="103"/>
      <c r="C269" s="105"/>
      <c r="D269" s="121"/>
      <c r="E269" s="105"/>
      <c r="F269" s="121"/>
      <c r="G269" s="105"/>
      <c r="H269" s="108"/>
      <c r="I269" s="108"/>
      <c r="J269" s="107"/>
      <c r="K269" s="108"/>
      <c r="L269" s="108"/>
      <c r="M269" s="104"/>
      <c r="N269" s="104"/>
      <c r="O269" s="104"/>
      <c r="P269" s="104"/>
      <c r="Q269" s="104"/>
      <c r="R269" s="105"/>
      <c r="S269" s="105"/>
      <c r="T269" s="105"/>
      <c r="U269" s="105"/>
      <c r="V269" s="105"/>
      <c r="W269" s="122"/>
    </row>
    <row r="270" spans="1:23" ht="15.75" hidden="1" customHeight="1">
      <c r="A270" s="103"/>
      <c r="B270" s="103"/>
      <c r="C270" s="105"/>
      <c r="D270" s="121"/>
      <c r="E270" s="105"/>
      <c r="F270" s="121"/>
      <c r="G270" s="105"/>
      <c r="H270" s="108"/>
      <c r="I270" s="108"/>
      <c r="J270" s="107"/>
      <c r="K270" s="108"/>
      <c r="L270" s="108"/>
      <c r="M270" s="104"/>
      <c r="N270" s="104"/>
      <c r="O270" s="104"/>
      <c r="P270" s="104"/>
      <c r="Q270" s="104"/>
      <c r="R270" s="105"/>
      <c r="S270" s="105"/>
      <c r="T270" s="105"/>
      <c r="U270" s="105"/>
      <c r="V270" s="105"/>
      <c r="W270" s="122"/>
    </row>
    <row r="271" spans="1:23" ht="15.75" hidden="1" customHeight="1">
      <c r="A271" s="103"/>
      <c r="B271" s="103"/>
      <c r="C271" s="105"/>
      <c r="D271" s="121"/>
      <c r="E271" s="105"/>
      <c r="F271" s="121"/>
      <c r="G271" s="105"/>
      <c r="H271" s="108"/>
      <c r="I271" s="108"/>
      <c r="J271" s="107"/>
      <c r="K271" s="108"/>
      <c r="L271" s="108"/>
      <c r="M271" s="104"/>
      <c r="N271" s="104"/>
      <c r="O271" s="104"/>
      <c r="P271" s="104"/>
      <c r="Q271" s="104"/>
      <c r="R271" s="105"/>
      <c r="S271" s="105"/>
      <c r="T271" s="105"/>
      <c r="U271" s="105"/>
      <c r="V271" s="105"/>
      <c r="W271" s="122"/>
    </row>
    <row r="272" spans="1:23" ht="15.75" hidden="1" customHeight="1">
      <c r="A272" s="103"/>
      <c r="B272" s="103"/>
      <c r="C272" s="105"/>
      <c r="D272" s="121"/>
      <c r="E272" s="105"/>
      <c r="F272" s="121"/>
      <c r="G272" s="105"/>
      <c r="H272" s="108"/>
      <c r="I272" s="108"/>
      <c r="J272" s="107"/>
      <c r="K272" s="108"/>
      <c r="L272" s="108"/>
      <c r="M272" s="104"/>
      <c r="N272" s="104"/>
      <c r="O272" s="104"/>
      <c r="P272" s="104"/>
      <c r="Q272" s="104"/>
      <c r="R272" s="105"/>
      <c r="S272" s="105"/>
      <c r="T272" s="105"/>
      <c r="U272" s="105"/>
      <c r="V272" s="105"/>
      <c r="W272" s="122"/>
    </row>
    <row r="273" spans="1:23" ht="15.75" hidden="1" customHeight="1">
      <c r="A273" s="103"/>
      <c r="B273" s="103"/>
      <c r="C273" s="105"/>
      <c r="D273" s="121"/>
      <c r="E273" s="105"/>
      <c r="F273" s="121"/>
      <c r="G273" s="105"/>
      <c r="H273" s="108"/>
      <c r="I273" s="108"/>
      <c r="J273" s="107"/>
      <c r="K273" s="108"/>
      <c r="L273" s="108"/>
      <c r="M273" s="104"/>
      <c r="N273" s="104"/>
      <c r="O273" s="104"/>
      <c r="P273" s="104"/>
      <c r="Q273" s="104"/>
      <c r="R273" s="105"/>
      <c r="S273" s="105"/>
      <c r="T273" s="105"/>
      <c r="U273" s="105"/>
      <c r="V273" s="105"/>
      <c r="W273" s="122"/>
    </row>
    <row r="274" spans="1:23" ht="15.75" hidden="1" customHeight="1">
      <c r="A274" s="103"/>
      <c r="B274" s="103"/>
      <c r="C274" s="105"/>
      <c r="D274" s="121"/>
      <c r="E274" s="105"/>
      <c r="F274" s="121"/>
      <c r="G274" s="105"/>
      <c r="H274" s="108"/>
      <c r="I274" s="108"/>
      <c r="J274" s="107"/>
      <c r="K274" s="108"/>
      <c r="L274" s="108"/>
      <c r="M274" s="104"/>
      <c r="N274" s="104"/>
      <c r="O274" s="104"/>
      <c r="P274" s="104"/>
      <c r="Q274" s="104"/>
      <c r="R274" s="105"/>
      <c r="S274" s="105"/>
      <c r="T274" s="105"/>
      <c r="U274" s="105"/>
      <c r="V274" s="105"/>
      <c r="W274" s="122"/>
    </row>
    <row r="275" spans="1:23" ht="15.75" hidden="1" customHeight="1">
      <c r="A275" s="103"/>
      <c r="B275" s="103"/>
      <c r="C275" s="105"/>
      <c r="D275" s="121"/>
      <c r="E275" s="105"/>
      <c r="F275" s="121"/>
      <c r="G275" s="105"/>
      <c r="H275" s="108"/>
      <c r="I275" s="108"/>
      <c r="J275" s="107"/>
      <c r="K275" s="108"/>
      <c r="L275" s="108"/>
      <c r="M275" s="104"/>
      <c r="N275" s="104"/>
      <c r="O275" s="104"/>
      <c r="P275" s="104"/>
      <c r="Q275" s="104"/>
      <c r="R275" s="105"/>
      <c r="S275" s="105"/>
      <c r="T275" s="105"/>
      <c r="U275" s="105"/>
      <c r="V275" s="105"/>
      <c r="W275" s="122"/>
    </row>
    <row r="276" spans="1:23" ht="15.75" hidden="1" customHeight="1">
      <c r="A276" s="103"/>
      <c r="B276" s="103"/>
      <c r="C276" s="105"/>
      <c r="D276" s="121"/>
      <c r="E276" s="105"/>
      <c r="F276" s="121"/>
      <c r="G276" s="105"/>
      <c r="H276" s="108"/>
      <c r="I276" s="108"/>
      <c r="J276" s="107"/>
      <c r="K276" s="108"/>
      <c r="L276" s="108"/>
      <c r="M276" s="104"/>
      <c r="N276" s="104"/>
      <c r="O276" s="104"/>
      <c r="P276" s="104"/>
      <c r="Q276" s="104"/>
      <c r="R276" s="105"/>
      <c r="S276" s="105"/>
      <c r="T276" s="105"/>
      <c r="U276" s="105"/>
      <c r="V276" s="105"/>
      <c r="W276" s="122"/>
    </row>
    <row r="277" spans="1:23" ht="15.75" hidden="1" customHeight="1">
      <c r="A277" s="103"/>
      <c r="B277" s="103"/>
      <c r="C277" s="105"/>
      <c r="D277" s="121"/>
      <c r="E277" s="105"/>
      <c r="F277" s="121"/>
      <c r="G277" s="105"/>
      <c r="H277" s="108"/>
      <c r="I277" s="108"/>
      <c r="J277" s="107"/>
      <c r="K277" s="108"/>
      <c r="L277" s="108"/>
      <c r="M277" s="104"/>
      <c r="N277" s="104"/>
      <c r="O277" s="104"/>
      <c r="P277" s="104"/>
      <c r="Q277" s="104"/>
      <c r="R277" s="105"/>
      <c r="S277" s="105"/>
      <c r="T277" s="105"/>
      <c r="U277" s="105"/>
      <c r="V277" s="105"/>
      <c r="W277" s="122"/>
    </row>
    <row r="278" spans="1:23" ht="15.75" hidden="1" customHeight="1">
      <c r="A278" s="103"/>
      <c r="B278" s="103"/>
      <c r="C278" s="105"/>
      <c r="D278" s="121"/>
      <c r="E278" s="105"/>
      <c r="F278" s="121"/>
      <c r="G278" s="105"/>
      <c r="H278" s="108"/>
      <c r="I278" s="108"/>
      <c r="J278" s="107"/>
      <c r="K278" s="108"/>
      <c r="L278" s="108"/>
      <c r="M278" s="104"/>
      <c r="N278" s="104"/>
      <c r="O278" s="104"/>
      <c r="P278" s="104"/>
      <c r="Q278" s="104"/>
      <c r="R278" s="105"/>
      <c r="S278" s="105"/>
      <c r="T278" s="105"/>
      <c r="U278" s="105"/>
      <c r="V278" s="105"/>
      <c r="W278" s="122"/>
    </row>
    <row r="279" spans="1:23" ht="15.75" hidden="1" customHeight="1">
      <c r="A279" s="103"/>
      <c r="B279" s="103"/>
      <c r="C279" s="105"/>
      <c r="D279" s="121"/>
      <c r="E279" s="105"/>
      <c r="F279" s="121"/>
      <c r="G279" s="105"/>
      <c r="H279" s="108"/>
      <c r="I279" s="108"/>
      <c r="J279" s="107"/>
      <c r="K279" s="108"/>
      <c r="L279" s="108"/>
      <c r="M279" s="104"/>
      <c r="N279" s="104"/>
      <c r="O279" s="104"/>
      <c r="P279" s="104"/>
      <c r="Q279" s="104"/>
      <c r="R279" s="105"/>
      <c r="S279" s="105"/>
      <c r="T279" s="105"/>
      <c r="U279" s="105"/>
      <c r="V279" s="105"/>
      <c r="W279" s="122"/>
    </row>
    <row r="280" spans="1:23" ht="15.75" hidden="1" customHeight="1">
      <c r="A280" s="103"/>
      <c r="B280" s="103"/>
      <c r="C280" s="105"/>
      <c r="D280" s="121"/>
      <c r="E280" s="105"/>
      <c r="F280" s="121"/>
      <c r="G280" s="105"/>
      <c r="H280" s="108"/>
      <c r="I280" s="108"/>
      <c r="J280" s="107"/>
      <c r="K280" s="108"/>
      <c r="L280" s="108"/>
      <c r="M280" s="104"/>
      <c r="N280" s="104"/>
      <c r="O280" s="104"/>
      <c r="P280" s="104"/>
      <c r="Q280" s="104"/>
      <c r="R280" s="105"/>
      <c r="S280" s="105"/>
      <c r="T280" s="105"/>
      <c r="U280" s="105"/>
      <c r="V280" s="105"/>
      <c r="W280" s="122"/>
    </row>
    <row r="281" spans="1:23" ht="15.75" hidden="1" customHeight="1">
      <c r="A281" s="103"/>
      <c r="B281" s="103"/>
      <c r="C281" s="105"/>
      <c r="D281" s="121"/>
      <c r="E281" s="105"/>
      <c r="F281" s="121"/>
      <c r="G281" s="105"/>
      <c r="H281" s="108"/>
      <c r="I281" s="108"/>
      <c r="J281" s="107"/>
      <c r="K281" s="108"/>
      <c r="L281" s="108"/>
      <c r="M281" s="104"/>
      <c r="N281" s="104"/>
      <c r="O281" s="104"/>
      <c r="P281" s="104"/>
      <c r="Q281" s="104"/>
      <c r="R281" s="105"/>
      <c r="S281" s="105"/>
      <c r="T281" s="105"/>
      <c r="U281" s="105"/>
      <c r="V281" s="105"/>
      <c r="W281" s="122"/>
    </row>
    <row r="282" spans="1:23" ht="15.75" hidden="1" customHeight="1">
      <c r="A282" s="103"/>
      <c r="B282" s="103"/>
      <c r="C282" s="105"/>
      <c r="D282" s="121"/>
      <c r="E282" s="105"/>
      <c r="F282" s="121"/>
      <c r="G282" s="105"/>
      <c r="H282" s="108"/>
      <c r="I282" s="108"/>
      <c r="J282" s="107"/>
      <c r="K282" s="108"/>
      <c r="L282" s="108"/>
      <c r="M282" s="104"/>
      <c r="N282" s="104"/>
      <c r="O282" s="104"/>
      <c r="P282" s="104"/>
      <c r="Q282" s="104"/>
      <c r="R282" s="105"/>
      <c r="S282" s="105"/>
      <c r="T282" s="105"/>
      <c r="U282" s="105"/>
      <c r="V282" s="105"/>
      <c r="W282" s="122"/>
    </row>
    <row r="283" spans="1:23" ht="15.75" hidden="1" customHeight="1">
      <c r="A283" s="103"/>
      <c r="B283" s="103"/>
      <c r="C283" s="105"/>
      <c r="D283" s="121"/>
      <c r="E283" s="105"/>
      <c r="F283" s="121"/>
      <c r="G283" s="105"/>
      <c r="H283" s="108"/>
      <c r="I283" s="108"/>
      <c r="J283" s="107"/>
      <c r="K283" s="108"/>
      <c r="L283" s="108"/>
      <c r="M283" s="104"/>
      <c r="N283" s="104"/>
      <c r="O283" s="104"/>
      <c r="P283" s="104"/>
      <c r="Q283" s="104"/>
      <c r="R283" s="105"/>
      <c r="S283" s="105"/>
      <c r="T283" s="105"/>
      <c r="U283" s="105"/>
      <c r="V283" s="105"/>
      <c r="W283" s="122"/>
    </row>
    <row r="284" spans="1:23" ht="15.75" hidden="1" customHeight="1">
      <c r="A284" s="103"/>
      <c r="B284" s="103"/>
      <c r="C284" s="105"/>
      <c r="D284" s="121"/>
      <c r="E284" s="105"/>
      <c r="F284" s="121"/>
      <c r="G284" s="105"/>
      <c r="H284" s="108"/>
      <c r="I284" s="108"/>
      <c r="J284" s="107"/>
      <c r="K284" s="108"/>
      <c r="L284" s="108"/>
      <c r="M284" s="104"/>
      <c r="N284" s="104"/>
      <c r="O284" s="104"/>
      <c r="P284" s="104"/>
      <c r="Q284" s="104"/>
      <c r="R284" s="105"/>
      <c r="S284" s="105"/>
      <c r="T284" s="105"/>
      <c r="U284" s="105"/>
      <c r="V284" s="105"/>
      <c r="W284" s="122"/>
    </row>
    <row r="285" spans="1:23" ht="15.75" hidden="1" customHeight="1">
      <c r="A285" s="103"/>
      <c r="B285" s="103"/>
      <c r="C285" s="105"/>
      <c r="D285" s="121"/>
      <c r="E285" s="105"/>
      <c r="F285" s="121"/>
      <c r="G285" s="105"/>
      <c r="H285" s="108"/>
      <c r="I285" s="108"/>
      <c r="J285" s="107"/>
      <c r="K285" s="108"/>
      <c r="L285" s="108"/>
      <c r="M285" s="104"/>
      <c r="N285" s="104"/>
      <c r="O285" s="104"/>
      <c r="P285" s="104"/>
      <c r="Q285" s="104"/>
      <c r="R285" s="105"/>
      <c r="S285" s="105"/>
      <c r="T285" s="105"/>
      <c r="U285" s="105"/>
      <c r="V285" s="105"/>
      <c r="W285" s="122"/>
    </row>
    <row r="286" spans="1:23" ht="15.75" hidden="1" customHeight="1"/>
    <row r="287" spans="1:23" ht="15.75" hidden="1" customHeight="1"/>
    <row r="288" spans="1:23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8"/>
  <sheetViews>
    <sheetView workbookViewId="0">
      <selection activeCell="K20" sqref="K20"/>
    </sheetView>
  </sheetViews>
  <sheetFormatPr defaultColWidth="14.42578125" defaultRowHeight="15" customHeight="1"/>
  <cols>
    <col min="1" max="1" width="6.140625" customWidth="1"/>
    <col min="2" max="2" width="22.85546875" customWidth="1"/>
    <col min="3" max="9" width="8" customWidth="1"/>
    <col min="10" max="10" width="9.5703125" customWidth="1"/>
    <col min="11" max="22" width="8" customWidth="1"/>
    <col min="23" max="23" width="14.42578125" customWidth="1"/>
    <col min="24" max="25" width="8" customWidth="1"/>
  </cols>
  <sheetData>
    <row r="1" spans="1:25" ht="26.25" customHeight="1">
      <c r="A1" s="232">
        <f>'Final Attainment'!A1:V1</f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69"/>
      <c r="X1" s="75"/>
      <c r="Y1" s="75"/>
    </row>
    <row r="2" spans="1:25" ht="19.5" customHeight="1">
      <c r="A2" s="233">
        <f>'Final Attainment'!A2:V2</f>
        <v>0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75"/>
      <c r="X2" s="75"/>
      <c r="Y2" s="75"/>
    </row>
    <row r="3" spans="1:25" ht="15.75" customHeight="1">
      <c r="A3" s="70"/>
      <c r="B3" s="70"/>
      <c r="C3" s="70"/>
      <c r="D3" s="70"/>
      <c r="E3" s="75"/>
      <c r="F3" s="75"/>
      <c r="G3" s="75"/>
      <c r="H3" s="75"/>
      <c r="I3" s="70"/>
      <c r="J3" s="70"/>
      <c r="K3" s="71"/>
      <c r="L3" s="70"/>
      <c r="M3" s="75"/>
      <c r="N3" s="75"/>
      <c r="O3" s="70"/>
      <c r="P3" s="75"/>
      <c r="Q3" s="75"/>
      <c r="R3" s="70"/>
      <c r="S3" s="70"/>
      <c r="T3" s="75"/>
      <c r="U3" s="75"/>
      <c r="V3" s="70"/>
      <c r="W3" s="71"/>
      <c r="X3" s="75"/>
      <c r="Y3" s="75"/>
    </row>
    <row r="4" spans="1:25" ht="39" customHeight="1">
      <c r="A4" s="234" t="s">
        <v>202</v>
      </c>
      <c r="B4" s="224"/>
      <c r="C4" s="72" t="str">
        <f>'Final Attainment'!C4</f>
        <v>2024-2025 EVEN</v>
      </c>
      <c r="D4" s="70"/>
      <c r="E4" s="234" t="s">
        <v>203</v>
      </c>
      <c r="F4" s="224"/>
      <c r="G4" s="73" t="str">
        <f>'Final Attainment'!G4</f>
        <v>IV &amp; II</v>
      </c>
      <c r="H4" s="235" t="s">
        <v>204</v>
      </c>
      <c r="I4" s="224"/>
      <c r="J4" s="224"/>
      <c r="K4" s="236" t="str">
        <f>'Final Attainment'!K4:Q4</f>
        <v>22EE401 &amp; POWER GENERATION, TRANSMISSION AND DISTRIBUTION</v>
      </c>
      <c r="L4" s="224"/>
      <c r="M4" s="224"/>
      <c r="N4" s="224"/>
      <c r="O4" s="224"/>
      <c r="P4" s="224"/>
      <c r="Q4" s="224"/>
      <c r="R4" s="70" t="s">
        <v>205</v>
      </c>
      <c r="S4" s="74" t="str">
        <f>'Final Attainment'!S4</f>
        <v>Dr.SIVARAMAN P / EE1329</v>
      </c>
      <c r="T4" s="75"/>
      <c r="U4" s="74"/>
      <c r="V4" s="74"/>
      <c r="W4" s="71"/>
      <c r="X4" s="75"/>
      <c r="Y4" s="75"/>
    </row>
    <row r="5" spans="1:25" ht="16.5" customHeight="1">
      <c r="A5" s="70"/>
      <c r="B5" s="70"/>
      <c r="C5" s="70"/>
      <c r="D5" s="76"/>
      <c r="E5" s="75"/>
      <c r="F5" s="75"/>
      <c r="G5" s="75"/>
      <c r="H5" s="75"/>
      <c r="I5" s="70"/>
      <c r="J5" s="70"/>
      <c r="K5" s="71"/>
      <c r="L5" s="77"/>
      <c r="M5" s="75"/>
      <c r="N5" s="75"/>
      <c r="O5" s="70"/>
      <c r="P5" s="75"/>
      <c r="Q5" s="75"/>
      <c r="R5" s="77"/>
      <c r="S5" s="77"/>
      <c r="T5" s="75"/>
      <c r="U5" s="75"/>
      <c r="V5" s="70"/>
      <c r="W5" s="71"/>
      <c r="X5" s="75"/>
      <c r="Y5" s="75"/>
    </row>
    <row r="6" spans="1:25" ht="28.5" customHeight="1">
      <c r="A6" s="274" t="s">
        <v>201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9"/>
      <c r="W6" s="78"/>
      <c r="X6" s="75"/>
      <c r="Y6" s="75"/>
    </row>
    <row r="7" spans="1:25" ht="28.5" customHeight="1">
      <c r="A7" s="243" t="s">
        <v>207</v>
      </c>
      <c r="B7" s="246" t="str">
        <f>'Final Attainment'!X1</f>
        <v>CO Attainment Level 0: &lt;50% of students scoring less than the target marks
CO Attainment Level 1: 50% of students scoring more than the target marks
CO Attainment Level 2: 60% of students scoring more than the target marks
CO Attainment Level 3: 70% of students scoring more than the target marks</v>
      </c>
      <c r="C7" s="247"/>
      <c r="D7" s="247"/>
      <c r="E7" s="247"/>
      <c r="F7" s="247"/>
      <c r="G7" s="247"/>
      <c r="H7" s="247"/>
      <c r="I7" s="247"/>
      <c r="J7" s="247"/>
      <c r="K7" s="248"/>
      <c r="L7" s="240" t="s">
        <v>208</v>
      </c>
      <c r="M7" s="241"/>
      <c r="N7" s="241"/>
      <c r="O7" s="241"/>
      <c r="P7" s="241"/>
      <c r="Q7" s="241"/>
      <c r="R7" s="241"/>
      <c r="S7" s="241"/>
      <c r="T7" s="241"/>
      <c r="U7" s="241"/>
      <c r="V7" s="242"/>
      <c r="W7" s="75"/>
      <c r="X7" s="75"/>
      <c r="Y7" s="75"/>
    </row>
    <row r="8" spans="1:25" ht="15.75" customHeight="1">
      <c r="A8" s="244"/>
      <c r="B8" s="249"/>
      <c r="C8" s="224"/>
      <c r="D8" s="224"/>
      <c r="E8" s="224"/>
      <c r="F8" s="224"/>
      <c r="G8" s="224"/>
      <c r="H8" s="224"/>
      <c r="I8" s="224"/>
      <c r="J8" s="224"/>
      <c r="K8" s="250"/>
      <c r="L8" s="251"/>
      <c r="M8" s="212"/>
      <c r="N8" s="212"/>
      <c r="O8" s="212"/>
      <c r="P8" s="212"/>
      <c r="Q8" s="213"/>
      <c r="R8" s="79" t="s">
        <v>209</v>
      </c>
      <c r="S8" s="79" t="s">
        <v>210</v>
      </c>
      <c r="T8" s="79" t="s">
        <v>211</v>
      </c>
      <c r="U8" s="79" t="s">
        <v>212</v>
      </c>
      <c r="V8" s="80" t="s">
        <v>213</v>
      </c>
      <c r="W8" s="75"/>
      <c r="X8" s="75"/>
      <c r="Y8" s="75"/>
    </row>
    <row r="9" spans="1:25" ht="16.5" customHeight="1">
      <c r="A9" s="245"/>
      <c r="B9" s="249"/>
      <c r="C9" s="224"/>
      <c r="D9" s="224"/>
      <c r="E9" s="224"/>
      <c r="F9" s="224"/>
      <c r="G9" s="224"/>
      <c r="H9" s="224"/>
      <c r="I9" s="224"/>
      <c r="J9" s="224"/>
      <c r="K9" s="250"/>
      <c r="L9" s="252" t="s">
        <v>214</v>
      </c>
      <c r="M9" s="212"/>
      <c r="N9" s="212"/>
      <c r="O9" s="212"/>
      <c r="P9" s="212"/>
      <c r="Q9" s="213"/>
      <c r="R9" s="81">
        <f t="shared" ref="R9:V9" si="0">COUNTIF(H16:H548,"&gt;=0")</f>
        <v>0</v>
      </c>
      <c r="S9" s="81">
        <f t="shared" si="0"/>
        <v>0</v>
      </c>
      <c r="T9" s="81">
        <f t="shared" si="0"/>
        <v>0</v>
      </c>
      <c r="U9" s="81">
        <f t="shared" si="0"/>
        <v>66</v>
      </c>
      <c r="V9" s="82">
        <f t="shared" si="0"/>
        <v>0</v>
      </c>
      <c r="W9" s="75"/>
      <c r="X9" s="75"/>
      <c r="Y9" s="75"/>
    </row>
    <row r="10" spans="1:25" ht="15.75" customHeight="1">
      <c r="A10" s="253" t="s">
        <v>215</v>
      </c>
      <c r="B10" s="254"/>
      <c r="C10" s="254"/>
      <c r="D10" s="254"/>
      <c r="E10" s="255">
        <f>'Final Attainment'!E7</f>
        <v>58</v>
      </c>
      <c r="F10" s="256"/>
      <c r="G10" s="83"/>
      <c r="H10" s="84"/>
      <c r="I10" s="84"/>
      <c r="J10" s="84"/>
      <c r="K10" s="85"/>
      <c r="L10" s="252" t="s">
        <v>216</v>
      </c>
      <c r="M10" s="212"/>
      <c r="N10" s="212"/>
      <c r="O10" s="212"/>
      <c r="P10" s="212"/>
      <c r="Q10" s="213"/>
      <c r="R10" s="81">
        <f t="shared" ref="R10:V10" si="1">COUNTIF(M16:M548,"&gt;="&amp;$E$10)</f>
        <v>0</v>
      </c>
      <c r="S10" s="81">
        <f t="shared" si="1"/>
        <v>0</v>
      </c>
      <c r="T10" s="81">
        <f t="shared" si="1"/>
        <v>0</v>
      </c>
      <c r="U10" s="81">
        <f t="shared" si="1"/>
        <v>58</v>
      </c>
      <c r="V10" s="82">
        <f t="shared" si="1"/>
        <v>0</v>
      </c>
      <c r="W10" s="75"/>
      <c r="X10" s="75"/>
      <c r="Y10" s="75"/>
    </row>
    <row r="11" spans="1:25" ht="15.75" customHeight="1">
      <c r="A11" s="262" t="s">
        <v>217</v>
      </c>
      <c r="B11" s="263"/>
      <c r="C11" s="263"/>
      <c r="D11" s="263"/>
      <c r="E11" s="264">
        <f>COUNTA(B16:B548)</f>
        <v>66</v>
      </c>
      <c r="F11" s="265"/>
      <c r="G11" s="87"/>
      <c r="H11" s="88"/>
      <c r="I11" s="88"/>
      <c r="J11" s="88"/>
      <c r="K11" s="89"/>
      <c r="L11" s="252" t="s">
        <v>218</v>
      </c>
      <c r="M11" s="212"/>
      <c r="N11" s="212"/>
      <c r="O11" s="212"/>
      <c r="P11" s="212"/>
      <c r="Q11" s="213"/>
      <c r="R11" s="90" t="str">
        <f ca="1"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)))"),"")</f>
        <v/>
      </c>
      <c r="S11" s="90" t="str">
        <f ca="1"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)))"),"")</f>
        <v/>
      </c>
      <c r="T11" s="90" t="str">
        <f ca="1"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)))"),"")</f>
        <v/>
      </c>
      <c r="U11" s="90">
        <f ca="1"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)))"),3)</f>
        <v>3</v>
      </c>
      <c r="V11" s="92" t="str">
        <f ca="1"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  <c r="W11" s="75"/>
      <c r="X11" s="75"/>
      <c r="Y11" s="75"/>
    </row>
    <row r="12" spans="1:25" ht="16.5" customHeight="1">
      <c r="A12" s="266" t="s">
        <v>219</v>
      </c>
      <c r="B12" s="267"/>
      <c r="C12" s="267"/>
      <c r="D12" s="267"/>
      <c r="E12" s="268">
        <f>U9</f>
        <v>66</v>
      </c>
      <c r="F12" s="269"/>
      <c r="G12" s="93"/>
      <c r="H12" s="94"/>
      <c r="I12" s="94"/>
      <c r="J12" s="94"/>
      <c r="K12" s="95"/>
      <c r="L12" s="270" t="s">
        <v>220</v>
      </c>
      <c r="M12" s="271"/>
      <c r="N12" s="271"/>
      <c r="O12" s="271"/>
      <c r="P12" s="271"/>
      <c r="Q12" s="272"/>
      <c r="R12" s="96">
        <f t="shared" ref="R12:V12" si="2">R9-R10</f>
        <v>0</v>
      </c>
      <c r="S12" s="96">
        <f t="shared" si="2"/>
        <v>0</v>
      </c>
      <c r="T12" s="96">
        <f t="shared" si="2"/>
        <v>0</v>
      </c>
      <c r="U12" s="96">
        <f t="shared" si="2"/>
        <v>8</v>
      </c>
      <c r="V12" s="97">
        <f t="shared" si="2"/>
        <v>0</v>
      </c>
      <c r="W12" s="75"/>
      <c r="X12" s="75"/>
      <c r="Y12" s="75"/>
    </row>
    <row r="13" spans="1:25" ht="15.75" customHeight="1">
      <c r="A13" s="98"/>
      <c r="B13" s="98"/>
      <c r="C13" s="98"/>
      <c r="D13" s="98"/>
      <c r="E13" s="98"/>
      <c r="F13" s="98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112"/>
      <c r="X13" s="75"/>
      <c r="Y13" s="75"/>
    </row>
    <row r="14" spans="1:25" ht="15.75" customHeight="1">
      <c r="A14" s="257" t="s">
        <v>221</v>
      </c>
      <c r="B14" s="257" t="s">
        <v>222</v>
      </c>
      <c r="C14" s="258" t="s">
        <v>223</v>
      </c>
      <c r="D14" s="259"/>
      <c r="E14" s="259"/>
      <c r="F14" s="259"/>
      <c r="G14" s="260"/>
      <c r="H14" s="258" t="s">
        <v>224</v>
      </c>
      <c r="I14" s="259"/>
      <c r="J14" s="259"/>
      <c r="K14" s="259"/>
      <c r="L14" s="260"/>
      <c r="M14" s="261" t="s">
        <v>225</v>
      </c>
      <c r="N14" s="212"/>
      <c r="O14" s="212"/>
      <c r="P14" s="212"/>
      <c r="Q14" s="213"/>
      <c r="R14" s="261" t="s">
        <v>226</v>
      </c>
      <c r="S14" s="212"/>
      <c r="T14" s="212"/>
      <c r="U14" s="212"/>
      <c r="V14" s="213"/>
      <c r="W14" s="113" t="s">
        <v>201</v>
      </c>
      <c r="X14" s="75"/>
      <c r="Y14" s="75"/>
    </row>
    <row r="15" spans="1:25" ht="15.75" customHeight="1">
      <c r="A15" s="229"/>
      <c r="B15" s="229"/>
      <c r="C15" s="102" t="s">
        <v>209</v>
      </c>
      <c r="D15" s="102" t="s">
        <v>210</v>
      </c>
      <c r="E15" s="102" t="s">
        <v>211</v>
      </c>
      <c r="F15" s="102" t="s">
        <v>212</v>
      </c>
      <c r="G15" s="102" t="s">
        <v>213</v>
      </c>
      <c r="H15" s="102" t="s">
        <v>209</v>
      </c>
      <c r="I15" s="102" t="s">
        <v>210</v>
      </c>
      <c r="J15" s="102" t="s">
        <v>211</v>
      </c>
      <c r="K15" s="102" t="s">
        <v>212</v>
      </c>
      <c r="L15" s="102" t="s">
        <v>213</v>
      </c>
      <c r="M15" s="101" t="s">
        <v>209</v>
      </c>
      <c r="N15" s="101" t="s">
        <v>210</v>
      </c>
      <c r="O15" s="101" t="s">
        <v>211</v>
      </c>
      <c r="P15" s="101" t="s">
        <v>212</v>
      </c>
      <c r="Q15" s="101" t="s">
        <v>213</v>
      </c>
      <c r="R15" s="101" t="s">
        <v>209</v>
      </c>
      <c r="S15" s="101" t="s">
        <v>210</v>
      </c>
      <c r="T15" s="101" t="s">
        <v>211</v>
      </c>
      <c r="U15" s="101" t="s">
        <v>212</v>
      </c>
      <c r="V15" s="101" t="s">
        <v>213</v>
      </c>
      <c r="W15" s="113" t="s">
        <v>227</v>
      </c>
      <c r="X15" s="75"/>
      <c r="Y15" s="75"/>
    </row>
    <row r="16" spans="1:25" ht="16.5" customHeight="1">
      <c r="A16" s="103">
        <f>Theory!A6</f>
        <v>1</v>
      </c>
      <c r="B16" s="103" t="str">
        <f>Theory!B6</f>
        <v>7376231EE102</v>
      </c>
      <c r="C16" s="105"/>
      <c r="D16" s="105"/>
      <c r="E16" s="120"/>
      <c r="F16" s="123">
        <v>8</v>
      </c>
      <c r="G16" s="124"/>
      <c r="H16" s="108"/>
      <c r="I16" s="108"/>
      <c r="J16" s="108"/>
      <c r="K16" s="108">
        <v>7</v>
      </c>
      <c r="L16" s="67"/>
      <c r="M16" s="125"/>
      <c r="N16" s="125" t="str">
        <f t="shared" ref="N16:Q16" si="3">IF(D16="","",I16*100/D16)</f>
        <v/>
      </c>
      <c r="O16" s="125" t="str">
        <f t="shared" si="3"/>
        <v/>
      </c>
      <c r="P16" s="125">
        <f t="shared" si="3"/>
        <v>87.5</v>
      </c>
      <c r="Q16" s="125" t="str">
        <f t="shared" si="3"/>
        <v/>
      </c>
      <c r="R16" s="115"/>
      <c r="S16" s="115"/>
      <c r="T16" s="115"/>
      <c r="U16" s="115"/>
      <c r="V16" s="115"/>
      <c r="W16" s="122">
        <f>IP!E6</f>
        <v>7</v>
      </c>
      <c r="X16" s="75"/>
      <c r="Y16" s="75"/>
    </row>
    <row r="17" spans="1:25" ht="16.5" customHeight="1">
      <c r="A17" s="103">
        <f>Theory!A7</f>
        <v>2</v>
      </c>
      <c r="B17" s="103" t="str">
        <f>Theory!B7</f>
        <v>7376231EE103</v>
      </c>
      <c r="C17" s="105"/>
      <c r="D17" s="105"/>
      <c r="E17" s="120"/>
      <c r="F17" s="123">
        <v>8</v>
      </c>
      <c r="G17" s="124"/>
      <c r="H17" s="108"/>
      <c r="I17" s="108"/>
      <c r="J17" s="108"/>
      <c r="K17" s="108">
        <v>7</v>
      </c>
      <c r="L17" s="67"/>
      <c r="M17" s="125"/>
      <c r="N17" s="125" t="str">
        <f t="shared" ref="N17:Q17" si="4">IF(D17="","",I17*100/D17)</f>
        <v/>
      </c>
      <c r="O17" s="125" t="str">
        <f t="shared" si="4"/>
        <v/>
      </c>
      <c r="P17" s="125">
        <f t="shared" si="4"/>
        <v>87.5</v>
      </c>
      <c r="Q17" s="125" t="str">
        <f t="shared" si="4"/>
        <v/>
      </c>
      <c r="R17" s="115"/>
      <c r="S17" s="115"/>
      <c r="T17" s="115"/>
      <c r="U17" s="115"/>
      <c r="V17" s="115"/>
      <c r="W17" s="122">
        <f>IP!E7</f>
        <v>7</v>
      </c>
      <c r="X17" s="75"/>
      <c r="Y17" s="75"/>
    </row>
    <row r="18" spans="1:25" ht="16.5" customHeight="1">
      <c r="A18" s="103">
        <f>Theory!A8</f>
        <v>3</v>
      </c>
      <c r="B18" s="103" t="str">
        <f>Theory!B8</f>
        <v>7376231EE104</v>
      </c>
      <c r="C18" s="105"/>
      <c r="D18" s="105"/>
      <c r="E18" s="120"/>
      <c r="F18" s="123">
        <v>8</v>
      </c>
      <c r="G18" s="124"/>
      <c r="H18" s="108"/>
      <c r="I18" s="108"/>
      <c r="J18" s="108"/>
      <c r="K18" s="108">
        <v>4</v>
      </c>
      <c r="L18" s="67"/>
      <c r="M18" s="125"/>
      <c r="N18" s="125" t="str">
        <f t="shared" ref="N18:Q18" si="5">IF(D18="","",I18*100/D18)</f>
        <v/>
      </c>
      <c r="O18" s="125" t="str">
        <f t="shared" si="5"/>
        <v/>
      </c>
      <c r="P18" s="125">
        <f t="shared" si="5"/>
        <v>50</v>
      </c>
      <c r="Q18" s="125" t="str">
        <f t="shared" si="5"/>
        <v/>
      </c>
      <c r="R18" s="115"/>
      <c r="S18" s="115"/>
      <c r="T18" s="115"/>
      <c r="U18" s="115"/>
      <c r="V18" s="115"/>
      <c r="W18" s="122">
        <f>IP!E8</f>
        <v>4</v>
      </c>
      <c r="X18" s="75"/>
      <c r="Y18" s="75"/>
    </row>
    <row r="19" spans="1:25" ht="16.5" customHeight="1">
      <c r="A19" s="103">
        <f>Theory!A9</f>
        <v>4</v>
      </c>
      <c r="B19" s="103" t="str">
        <f>Theory!B9</f>
        <v>7376231EE105</v>
      </c>
      <c r="C19" s="105"/>
      <c r="D19" s="105"/>
      <c r="E19" s="120"/>
      <c r="F19" s="123">
        <v>8</v>
      </c>
      <c r="G19" s="124"/>
      <c r="H19" s="108"/>
      <c r="I19" s="108"/>
      <c r="J19" s="108"/>
      <c r="K19" s="108">
        <v>7</v>
      </c>
      <c r="L19" s="67"/>
      <c r="M19" s="125"/>
      <c r="N19" s="125" t="str">
        <f t="shared" ref="N19:Q19" si="6">IF(D19="","",I19*100/D19)</f>
        <v/>
      </c>
      <c r="O19" s="125" t="str">
        <f t="shared" si="6"/>
        <v/>
      </c>
      <c r="P19" s="125">
        <f t="shared" si="6"/>
        <v>87.5</v>
      </c>
      <c r="Q19" s="125" t="str">
        <f t="shared" si="6"/>
        <v/>
      </c>
      <c r="R19" s="115"/>
      <c r="S19" s="115"/>
      <c r="T19" s="115"/>
      <c r="U19" s="115"/>
      <c r="V19" s="115"/>
      <c r="W19" s="122">
        <f>IP!E9</f>
        <v>7</v>
      </c>
      <c r="X19" s="75"/>
      <c r="Y19" s="75"/>
    </row>
    <row r="20" spans="1:25" ht="16.5" customHeight="1">
      <c r="A20" s="103">
        <f>Theory!A10</f>
        <v>5</v>
      </c>
      <c r="B20" s="103" t="str">
        <f>Theory!B10</f>
        <v>7376231EE106</v>
      </c>
      <c r="C20" s="105"/>
      <c r="D20" s="105"/>
      <c r="E20" s="120"/>
      <c r="F20" s="123">
        <v>8</v>
      </c>
      <c r="G20" s="124"/>
      <c r="H20" s="108"/>
      <c r="I20" s="108"/>
      <c r="J20" s="108"/>
      <c r="K20" s="108">
        <v>7</v>
      </c>
      <c r="L20" s="67"/>
      <c r="M20" s="125"/>
      <c r="N20" s="125" t="str">
        <f t="shared" ref="N20:Q20" si="7">IF(D20="","",I20*100/D20)</f>
        <v/>
      </c>
      <c r="O20" s="125" t="str">
        <f t="shared" si="7"/>
        <v/>
      </c>
      <c r="P20" s="125">
        <f t="shared" si="7"/>
        <v>87.5</v>
      </c>
      <c r="Q20" s="125" t="str">
        <f t="shared" si="7"/>
        <v/>
      </c>
      <c r="R20" s="115"/>
      <c r="S20" s="115"/>
      <c r="T20" s="115"/>
      <c r="U20" s="115"/>
      <c r="V20" s="115"/>
      <c r="W20" s="122">
        <f>IP!E10</f>
        <v>7</v>
      </c>
      <c r="X20" s="75"/>
      <c r="Y20" s="75"/>
    </row>
    <row r="21" spans="1:25" ht="16.5" customHeight="1">
      <c r="A21" s="103">
        <f>Theory!A11</f>
        <v>6</v>
      </c>
      <c r="B21" s="103" t="str">
        <f>Theory!B11</f>
        <v>7376231EE107</v>
      </c>
      <c r="C21" s="105"/>
      <c r="D21" s="105"/>
      <c r="E21" s="120"/>
      <c r="F21" s="123">
        <v>8</v>
      </c>
      <c r="G21" s="124"/>
      <c r="H21" s="108"/>
      <c r="I21" s="108"/>
      <c r="J21" s="108"/>
      <c r="K21" s="108">
        <v>8</v>
      </c>
      <c r="L21" s="67"/>
      <c r="M21" s="125"/>
      <c r="N21" s="125" t="str">
        <f t="shared" ref="N21:Q21" si="8">IF(D21="","",I21*100/D21)</f>
        <v/>
      </c>
      <c r="O21" s="125" t="str">
        <f t="shared" si="8"/>
        <v/>
      </c>
      <c r="P21" s="125">
        <f t="shared" si="8"/>
        <v>100</v>
      </c>
      <c r="Q21" s="125" t="str">
        <f t="shared" si="8"/>
        <v/>
      </c>
      <c r="R21" s="115"/>
      <c r="S21" s="115"/>
      <c r="T21" s="115"/>
      <c r="U21" s="115"/>
      <c r="V21" s="115"/>
      <c r="W21" s="122">
        <f>IP!E11</f>
        <v>8</v>
      </c>
      <c r="X21" s="75"/>
      <c r="Y21" s="75"/>
    </row>
    <row r="22" spans="1:25" ht="16.5" customHeight="1">
      <c r="A22" s="103">
        <f>Theory!A12</f>
        <v>7</v>
      </c>
      <c r="B22" s="103" t="str">
        <f>Theory!B12</f>
        <v>7376231EE108</v>
      </c>
      <c r="C22" s="105"/>
      <c r="D22" s="105"/>
      <c r="E22" s="120"/>
      <c r="F22" s="123">
        <v>8</v>
      </c>
      <c r="G22" s="124"/>
      <c r="H22" s="108"/>
      <c r="I22" s="108"/>
      <c r="J22" s="108"/>
      <c r="K22" s="108">
        <v>8</v>
      </c>
      <c r="L22" s="67"/>
      <c r="M22" s="125"/>
      <c r="N22" s="125" t="str">
        <f t="shared" ref="N22:Q22" si="9">IF(D22="","",I22*100/D22)</f>
        <v/>
      </c>
      <c r="O22" s="125" t="str">
        <f t="shared" si="9"/>
        <v/>
      </c>
      <c r="P22" s="125">
        <f t="shared" si="9"/>
        <v>100</v>
      </c>
      <c r="Q22" s="125" t="str">
        <f t="shared" si="9"/>
        <v/>
      </c>
      <c r="R22" s="115"/>
      <c r="S22" s="115"/>
      <c r="T22" s="115"/>
      <c r="U22" s="115"/>
      <c r="V22" s="115"/>
      <c r="W22" s="122">
        <f>IP!E12</f>
        <v>8</v>
      </c>
      <c r="X22" s="75"/>
      <c r="Y22" s="75"/>
    </row>
    <row r="23" spans="1:25" ht="16.5" customHeight="1">
      <c r="A23" s="103">
        <f>Theory!A13</f>
        <v>8</v>
      </c>
      <c r="B23" s="103" t="str">
        <f>Theory!B13</f>
        <v>7376231EE109</v>
      </c>
      <c r="C23" s="105"/>
      <c r="D23" s="105"/>
      <c r="E23" s="120"/>
      <c r="F23" s="123">
        <v>8</v>
      </c>
      <c r="G23" s="124"/>
      <c r="H23" s="108"/>
      <c r="I23" s="108"/>
      <c r="J23" s="108"/>
      <c r="K23" s="108">
        <v>7</v>
      </c>
      <c r="L23" s="67"/>
      <c r="M23" s="125"/>
      <c r="N23" s="125" t="str">
        <f t="shared" ref="N23:Q23" si="10">IF(D23="","",I23*100/D23)</f>
        <v/>
      </c>
      <c r="O23" s="125" t="str">
        <f t="shared" si="10"/>
        <v/>
      </c>
      <c r="P23" s="125">
        <f t="shared" si="10"/>
        <v>87.5</v>
      </c>
      <c r="Q23" s="125" t="str">
        <f t="shared" si="10"/>
        <v/>
      </c>
      <c r="R23" s="115"/>
      <c r="S23" s="115"/>
      <c r="T23" s="115"/>
      <c r="U23" s="115"/>
      <c r="V23" s="115"/>
      <c r="W23" s="122">
        <f>IP!E13</f>
        <v>7</v>
      </c>
      <c r="X23" s="75"/>
      <c r="Y23" s="75"/>
    </row>
    <row r="24" spans="1:25" ht="16.5" customHeight="1">
      <c r="A24" s="103">
        <f>Theory!A14</f>
        <v>9</v>
      </c>
      <c r="B24" s="103" t="str">
        <f>Theory!B14</f>
        <v>7376231EE110</v>
      </c>
      <c r="C24" s="105"/>
      <c r="D24" s="105"/>
      <c r="E24" s="120"/>
      <c r="F24" s="123">
        <v>8</v>
      </c>
      <c r="G24" s="124"/>
      <c r="H24" s="108"/>
      <c r="I24" s="108"/>
      <c r="J24" s="108"/>
      <c r="K24" s="108">
        <v>8</v>
      </c>
      <c r="L24" s="67"/>
      <c r="M24" s="125"/>
      <c r="N24" s="125" t="str">
        <f t="shared" ref="N24:Q24" si="11">IF(D24="","",I24*100/D24)</f>
        <v/>
      </c>
      <c r="O24" s="125" t="str">
        <f t="shared" si="11"/>
        <v/>
      </c>
      <c r="P24" s="125">
        <f t="shared" si="11"/>
        <v>100</v>
      </c>
      <c r="Q24" s="125" t="str">
        <f t="shared" si="11"/>
        <v/>
      </c>
      <c r="R24" s="115"/>
      <c r="S24" s="115"/>
      <c r="T24" s="115"/>
      <c r="U24" s="115"/>
      <c r="V24" s="115"/>
      <c r="W24" s="122">
        <f>IP!E14</f>
        <v>8</v>
      </c>
      <c r="X24" s="75"/>
      <c r="Y24" s="75"/>
    </row>
    <row r="25" spans="1:25" ht="16.5" customHeight="1">
      <c r="A25" s="103">
        <f>Theory!A15</f>
        <v>10</v>
      </c>
      <c r="B25" s="103" t="str">
        <f>Theory!B15</f>
        <v>7376231EE111</v>
      </c>
      <c r="C25" s="105"/>
      <c r="D25" s="105"/>
      <c r="E25" s="120"/>
      <c r="F25" s="123">
        <v>8</v>
      </c>
      <c r="G25" s="124"/>
      <c r="H25" s="108"/>
      <c r="I25" s="108"/>
      <c r="J25" s="108"/>
      <c r="K25" s="108">
        <v>1</v>
      </c>
      <c r="L25" s="67"/>
      <c r="M25" s="125"/>
      <c r="N25" s="125" t="str">
        <f t="shared" ref="N25:Q25" si="12">IF(D25="","",I25*100/D25)</f>
        <v/>
      </c>
      <c r="O25" s="125" t="str">
        <f t="shared" si="12"/>
        <v/>
      </c>
      <c r="P25" s="125">
        <f t="shared" si="12"/>
        <v>12.5</v>
      </c>
      <c r="Q25" s="125" t="str">
        <f t="shared" si="12"/>
        <v/>
      </c>
      <c r="R25" s="115"/>
      <c r="S25" s="115"/>
      <c r="T25" s="115"/>
      <c r="U25" s="115"/>
      <c r="V25" s="115"/>
      <c r="W25" s="122">
        <f>IP!E15</f>
        <v>1</v>
      </c>
      <c r="X25" s="75"/>
      <c r="Y25" s="75"/>
    </row>
    <row r="26" spans="1:25" ht="16.5" customHeight="1">
      <c r="A26" s="103">
        <f>Theory!A16</f>
        <v>11</v>
      </c>
      <c r="B26" s="103" t="str">
        <f>Theory!B16</f>
        <v>7376231EE112</v>
      </c>
      <c r="C26" s="105"/>
      <c r="D26" s="105"/>
      <c r="E26" s="120"/>
      <c r="F26" s="123">
        <v>8</v>
      </c>
      <c r="G26" s="124"/>
      <c r="H26" s="108"/>
      <c r="I26" s="108"/>
      <c r="J26" s="108"/>
      <c r="K26" s="108">
        <v>6</v>
      </c>
      <c r="L26" s="67"/>
      <c r="M26" s="125"/>
      <c r="N26" s="125" t="str">
        <f t="shared" ref="N26:Q26" si="13">IF(D26="","",I26*100/D26)</f>
        <v/>
      </c>
      <c r="O26" s="125" t="str">
        <f t="shared" si="13"/>
        <v/>
      </c>
      <c r="P26" s="125">
        <f t="shared" si="13"/>
        <v>75</v>
      </c>
      <c r="Q26" s="125" t="str">
        <f t="shared" si="13"/>
        <v/>
      </c>
      <c r="R26" s="115"/>
      <c r="S26" s="115"/>
      <c r="T26" s="115"/>
      <c r="U26" s="115"/>
      <c r="V26" s="115"/>
      <c r="W26" s="122">
        <f>IP!E16</f>
        <v>6</v>
      </c>
      <c r="X26" s="75"/>
      <c r="Y26" s="75"/>
    </row>
    <row r="27" spans="1:25" ht="16.5" customHeight="1">
      <c r="A27" s="103">
        <f>Theory!A17</f>
        <v>12</v>
      </c>
      <c r="B27" s="103" t="str">
        <f>Theory!B17</f>
        <v>7376231EE113</v>
      </c>
      <c r="C27" s="105"/>
      <c r="D27" s="105"/>
      <c r="E27" s="120"/>
      <c r="F27" s="123">
        <v>8</v>
      </c>
      <c r="G27" s="124"/>
      <c r="H27" s="108"/>
      <c r="I27" s="108"/>
      <c r="J27" s="108"/>
      <c r="K27" s="108">
        <v>7</v>
      </c>
      <c r="L27" s="67"/>
      <c r="M27" s="125"/>
      <c r="N27" s="125" t="str">
        <f t="shared" ref="N27:Q27" si="14">IF(D27="","",I27*100/D27)</f>
        <v/>
      </c>
      <c r="O27" s="125" t="str">
        <f t="shared" si="14"/>
        <v/>
      </c>
      <c r="P27" s="125">
        <f t="shared" si="14"/>
        <v>87.5</v>
      </c>
      <c r="Q27" s="125" t="str">
        <f t="shared" si="14"/>
        <v/>
      </c>
      <c r="R27" s="115"/>
      <c r="S27" s="115"/>
      <c r="T27" s="115"/>
      <c r="U27" s="115"/>
      <c r="V27" s="115"/>
      <c r="W27" s="122">
        <f>IP!E17</f>
        <v>7</v>
      </c>
      <c r="X27" s="75"/>
      <c r="Y27" s="75"/>
    </row>
    <row r="28" spans="1:25" ht="16.5" customHeight="1">
      <c r="A28" s="103">
        <f>Theory!A18</f>
        <v>13</v>
      </c>
      <c r="B28" s="103" t="str">
        <f>Theory!B18</f>
        <v>7376231EE114</v>
      </c>
      <c r="C28" s="105"/>
      <c r="D28" s="105"/>
      <c r="E28" s="120"/>
      <c r="F28" s="123">
        <v>8</v>
      </c>
      <c r="G28" s="124"/>
      <c r="H28" s="108"/>
      <c r="I28" s="108"/>
      <c r="J28" s="108"/>
      <c r="K28" s="108">
        <v>5</v>
      </c>
      <c r="L28" s="67"/>
      <c r="M28" s="125"/>
      <c r="N28" s="125" t="str">
        <f t="shared" ref="N28:Q28" si="15">IF(D28="","",I28*100/D28)</f>
        <v/>
      </c>
      <c r="O28" s="125" t="str">
        <f t="shared" si="15"/>
        <v/>
      </c>
      <c r="P28" s="125">
        <f t="shared" si="15"/>
        <v>62.5</v>
      </c>
      <c r="Q28" s="125" t="str">
        <f t="shared" si="15"/>
        <v/>
      </c>
      <c r="R28" s="115"/>
      <c r="S28" s="115"/>
      <c r="T28" s="115"/>
      <c r="U28" s="115"/>
      <c r="V28" s="115"/>
      <c r="W28" s="122">
        <f>IP!E18</f>
        <v>5</v>
      </c>
      <c r="X28" s="75"/>
      <c r="Y28" s="75"/>
    </row>
    <row r="29" spans="1:25" ht="16.5" customHeight="1">
      <c r="A29" s="103">
        <f>Theory!A19</f>
        <v>14</v>
      </c>
      <c r="B29" s="103" t="str">
        <f>Theory!B19</f>
        <v>7376231EE115</v>
      </c>
      <c r="C29" s="105"/>
      <c r="D29" s="105"/>
      <c r="E29" s="120"/>
      <c r="F29" s="123">
        <v>8</v>
      </c>
      <c r="G29" s="124"/>
      <c r="H29" s="108"/>
      <c r="I29" s="108"/>
      <c r="J29" s="108"/>
      <c r="K29" s="108">
        <v>4</v>
      </c>
      <c r="L29" s="67"/>
      <c r="M29" s="125"/>
      <c r="N29" s="125" t="str">
        <f t="shared" ref="N29:Q29" si="16">IF(D29="","",I29*100/D29)</f>
        <v/>
      </c>
      <c r="O29" s="125" t="str">
        <f t="shared" si="16"/>
        <v/>
      </c>
      <c r="P29" s="125">
        <f t="shared" si="16"/>
        <v>50</v>
      </c>
      <c r="Q29" s="125" t="str">
        <f t="shared" si="16"/>
        <v/>
      </c>
      <c r="R29" s="115"/>
      <c r="S29" s="115"/>
      <c r="T29" s="115"/>
      <c r="U29" s="115"/>
      <c r="V29" s="115"/>
      <c r="W29" s="122">
        <f>IP!E19</f>
        <v>4</v>
      </c>
      <c r="X29" s="75"/>
      <c r="Y29" s="75"/>
    </row>
    <row r="30" spans="1:25" ht="16.5" customHeight="1">
      <c r="A30" s="103">
        <f>Theory!A20</f>
        <v>15</v>
      </c>
      <c r="B30" s="103" t="str">
        <f>Theory!B20</f>
        <v>7376231EE116</v>
      </c>
      <c r="C30" s="105"/>
      <c r="D30" s="105"/>
      <c r="E30" s="120"/>
      <c r="F30" s="123">
        <v>8</v>
      </c>
      <c r="G30" s="124"/>
      <c r="H30" s="108"/>
      <c r="I30" s="108"/>
      <c r="J30" s="108"/>
      <c r="K30" s="108">
        <v>6</v>
      </c>
      <c r="L30" s="67"/>
      <c r="M30" s="125"/>
      <c r="N30" s="125" t="str">
        <f t="shared" ref="N30:Q30" si="17">IF(D30="","",I30*100/D30)</f>
        <v/>
      </c>
      <c r="O30" s="125" t="str">
        <f t="shared" si="17"/>
        <v/>
      </c>
      <c r="P30" s="125">
        <f t="shared" si="17"/>
        <v>75</v>
      </c>
      <c r="Q30" s="125" t="str">
        <f t="shared" si="17"/>
        <v/>
      </c>
      <c r="R30" s="115"/>
      <c r="S30" s="115"/>
      <c r="T30" s="115"/>
      <c r="U30" s="115"/>
      <c r="V30" s="115"/>
      <c r="W30" s="122">
        <f>IP!E20</f>
        <v>6</v>
      </c>
      <c r="X30" s="75"/>
      <c r="Y30" s="75"/>
    </row>
    <row r="31" spans="1:25" ht="16.5" customHeight="1">
      <c r="A31" s="103">
        <f>Theory!A21</f>
        <v>16</v>
      </c>
      <c r="B31" s="103" t="str">
        <f>Theory!B21</f>
        <v>7376231EE117</v>
      </c>
      <c r="C31" s="105"/>
      <c r="D31" s="105"/>
      <c r="E31" s="120"/>
      <c r="F31" s="123">
        <v>8</v>
      </c>
      <c r="G31" s="124"/>
      <c r="H31" s="108"/>
      <c r="I31" s="108"/>
      <c r="J31" s="108"/>
      <c r="K31" s="108">
        <v>7</v>
      </c>
      <c r="L31" s="67"/>
      <c r="M31" s="125"/>
      <c r="N31" s="125" t="str">
        <f t="shared" ref="N31:Q31" si="18">IF(D31="","",I31*100/D31)</f>
        <v/>
      </c>
      <c r="O31" s="125" t="str">
        <f t="shared" si="18"/>
        <v/>
      </c>
      <c r="P31" s="125">
        <f t="shared" si="18"/>
        <v>87.5</v>
      </c>
      <c r="Q31" s="125" t="str">
        <f t="shared" si="18"/>
        <v/>
      </c>
      <c r="R31" s="115"/>
      <c r="S31" s="115"/>
      <c r="T31" s="115"/>
      <c r="U31" s="115"/>
      <c r="V31" s="115"/>
      <c r="W31" s="122">
        <f>IP!E21</f>
        <v>7</v>
      </c>
      <c r="X31" s="75"/>
      <c r="Y31" s="75"/>
    </row>
    <row r="32" spans="1:25" ht="16.5" customHeight="1">
      <c r="A32" s="103">
        <f>Theory!A22</f>
        <v>17</v>
      </c>
      <c r="B32" s="103" t="str">
        <f>Theory!B22</f>
        <v>7376231EE118</v>
      </c>
      <c r="C32" s="105"/>
      <c r="D32" s="105"/>
      <c r="E32" s="120"/>
      <c r="F32" s="123">
        <v>8</v>
      </c>
      <c r="G32" s="124"/>
      <c r="H32" s="108"/>
      <c r="I32" s="108"/>
      <c r="J32" s="108"/>
      <c r="K32" s="108">
        <v>7</v>
      </c>
      <c r="L32" s="67"/>
      <c r="M32" s="125"/>
      <c r="N32" s="125" t="str">
        <f t="shared" ref="N32:Q32" si="19">IF(D32="","",I32*100/D32)</f>
        <v/>
      </c>
      <c r="O32" s="125" t="str">
        <f t="shared" si="19"/>
        <v/>
      </c>
      <c r="P32" s="125">
        <f t="shared" si="19"/>
        <v>87.5</v>
      </c>
      <c r="Q32" s="125" t="str">
        <f t="shared" si="19"/>
        <v/>
      </c>
      <c r="R32" s="115"/>
      <c r="S32" s="115"/>
      <c r="T32" s="115"/>
      <c r="U32" s="115"/>
      <c r="V32" s="115"/>
      <c r="W32" s="122">
        <f>IP!E22</f>
        <v>7</v>
      </c>
      <c r="X32" s="75"/>
      <c r="Y32" s="75"/>
    </row>
    <row r="33" spans="1:25" ht="16.5" customHeight="1">
      <c r="A33" s="103">
        <f>Theory!A23</f>
        <v>18</v>
      </c>
      <c r="B33" s="103" t="str">
        <f>Theory!B23</f>
        <v>7376231EE119</v>
      </c>
      <c r="C33" s="105"/>
      <c r="D33" s="105"/>
      <c r="E33" s="120"/>
      <c r="F33" s="123">
        <v>8</v>
      </c>
      <c r="G33" s="124"/>
      <c r="H33" s="108"/>
      <c r="I33" s="108"/>
      <c r="J33" s="108"/>
      <c r="K33" s="108">
        <v>7</v>
      </c>
      <c r="L33" s="67"/>
      <c r="M33" s="125"/>
      <c r="N33" s="125" t="str">
        <f t="shared" ref="N33:Q33" si="20">IF(D33="","",I33*100/D33)</f>
        <v/>
      </c>
      <c r="O33" s="125" t="str">
        <f t="shared" si="20"/>
        <v/>
      </c>
      <c r="P33" s="125">
        <f t="shared" si="20"/>
        <v>87.5</v>
      </c>
      <c r="Q33" s="125" t="str">
        <f t="shared" si="20"/>
        <v/>
      </c>
      <c r="R33" s="115"/>
      <c r="S33" s="115"/>
      <c r="T33" s="115"/>
      <c r="U33" s="115"/>
      <c r="V33" s="115"/>
      <c r="W33" s="122">
        <f>IP!E23</f>
        <v>7</v>
      </c>
      <c r="X33" s="75"/>
      <c r="Y33" s="75"/>
    </row>
    <row r="34" spans="1:25" ht="16.5" customHeight="1">
      <c r="A34" s="103">
        <f>Theory!A24</f>
        <v>19</v>
      </c>
      <c r="B34" s="103" t="str">
        <f>Theory!B24</f>
        <v>7376231EE120</v>
      </c>
      <c r="C34" s="105"/>
      <c r="D34" s="105"/>
      <c r="E34" s="120"/>
      <c r="F34" s="123">
        <v>8</v>
      </c>
      <c r="G34" s="124"/>
      <c r="H34" s="108"/>
      <c r="I34" s="108"/>
      <c r="J34" s="108"/>
      <c r="K34" s="108">
        <v>7</v>
      </c>
      <c r="L34" s="67"/>
      <c r="M34" s="125"/>
      <c r="N34" s="125" t="str">
        <f t="shared" ref="N34:Q34" si="21">IF(D34="","",I34*100/D34)</f>
        <v/>
      </c>
      <c r="O34" s="125" t="str">
        <f t="shared" si="21"/>
        <v/>
      </c>
      <c r="P34" s="125">
        <f t="shared" si="21"/>
        <v>87.5</v>
      </c>
      <c r="Q34" s="125" t="str">
        <f t="shared" si="21"/>
        <v/>
      </c>
      <c r="R34" s="115"/>
      <c r="S34" s="115"/>
      <c r="T34" s="115"/>
      <c r="U34" s="115"/>
      <c r="V34" s="115"/>
      <c r="W34" s="122">
        <f>IP!E24</f>
        <v>7</v>
      </c>
      <c r="X34" s="75"/>
      <c r="Y34" s="75"/>
    </row>
    <row r="35" spans="1:25" ht="16.5" customHeight="1">
      <c r="A35" s="103">
        <f>Theory!A25</f>
        <v>20</v>
      </c>
      <c r="B35" s="103" t="str">
        <f>Theory!B25</f>
        <v>7376231EE121</v>
      </c>
      <c r="C35" s="105"/>
      <c r="D35" s="105"/>
      <c r="E35" s="120"/>
      <c r="F35" s="123">
        <v>8</v>
      </c>
      <c r="G35" s="124"/>
      <c r="H35" s="108"/>
      <c r="I35" s="108"/>
      <c r="J35" s="108"/>
      <c r="K35" s="108">
        <v>8</v>
      </c>
      <c r="L35" s="67"/>
      <c r="M35" s="125"/>
      <c r="N35" s="125" t="str">
        <f t="shared" ref="N35:Q35" si="22">IF(D35="","",I35*100/D35)</f>
        <v/>
      </c>
      <c r="O35" s="125" t="str">
        <f t="shared" si="22"/>
        <v/>
      </c>
      <c r="P35" s="125">
        <f t="shared" si="22"/>
        <v>100</v>
      </c>
      <c r="Q35" s="125" t="str">
        <f t="shared" si="22"/>
        <v/>
      </c>
      <c r="R35" s="115"/>
      <c r="S35" s="115"/>
      <c r="T35" s="115"/>
      <c r="U35" s="115"/>
      <c r="V35" s="115"/>
      <c r="W35" s="122">
        <f>IP!E25</f>
        <v>8</v>
      </c>
      <c r="X35" s="75"/>
      <c r="Y35" s="75"/>
    </row>
    <row r="36" spans="1:25" ht="16.5" customHeight="1">
      <c r="A36" s="103">
        <f>Theory!A26</f>
        <v>21</v>
      </c>
      <c r="B36" s="103" t="str">
        <f>Theory!B26</f>
        <v>7376231EE122</v>
      </c>
      <c r="C36" s="105"/>
      <c r="D36" s="105"/>
      <c r="E36" s="120"/>
      <c r="F36" s="123">
        <v>8</v>
      </c>
      <c r="G36" s="124"/>
      <c r="H36" s="108"/>
      <c r="I36" s="108"/>
      <c r="J36" s="108"/>
      <c r="K36" s="108">
        <v>8</v>
      </c>
      <c r="L36" s="67"/>
      <c r="M36" s="125"/>
      <c r="N36" s="125" t="str">
        <f t="shared" ref="N36:Q36" si="23">IF(D36="","",I36*100/D36)</f>
        <v/>
      </c>
      <c r="O36" s="125" t="str">
        <f t="shared" si="23"/>
        <v/>
      </c>
      <c r="P36" s="125">
        <f t="shared" si="23"/>
        <v>100</v>
      </c>
      <c r="Q36" s="125" t="str">
        <f t="shared" si="23"/>
        <v/>
      </c>
      <c r="R36" s="115"/>
      <c r="S36" s="115"/>
      <c r="T36" s="115"/>
      <c r="U36" s="115"/>
      <c r="V36" s="115"/>
      <c r="W36" s="122">
        <f>IP!E26</f>
        <v>8</v>
      </c>
      <c r="X36" s="75"/>
      <c r="Y36" s="75"/>
    </row>
    <row r="37" spans="1:25" ht="16.5" customHeight="1">
      <c r="A37" s="103">
        <f>Theory!A27</f>
        <v>22</v>
      </c>
      <c r="B37" s="103" t="str">
        <f>Theory!B27</f>
        <v>7376231EE123</v>
      </c>
      <c r="C37" s="105"/>
      <c r="D37" s="105"/>
      <c r="E37" s="120"/>
      <c r="F37" s="123">
        <v>8</v>
      </c>
      <c r="G37" s="124"/>
      <c r="H37" s="108"/>
      <c r="I37" s="108"/>
      <c r="J37" s="108"/>
      <c r="K37" s="108">
        <v>8</v>
      </c>
      <c r="L37" s="67"/>
      <c r="M37" s="125"/>
      <c r="N37" s="125" t="str">
        <f t="shared" ref="N37:Q37" si="24">IF(D37="","",I37*100/D37)</f>
        <v/>
      </c>
      <c r="O37" s="125" t="str">
        <f t="shared" si="24"/>
        <v/>
      </c>
      <c r="P37" s="125">
        <f t="shared" si="24"/>
        <v>100</v>
      </c>
      <c r="Q37" s="125" t="str">
        <f t="shared" si="24"/>
        <v/>
      </c>
      <c r="R37" s="115"/>
      <c r="S37" s="115"/>
      <c r="T37" s="115"/>
      <c r="U37" s="115"/>
      <c r="V37" s="115"/>
      <c r="W37" s="122">
        <f>IP!E27</f>
        <v>8</v>
      </c>
      <c r="X37" s="75"/>
      <c r="Y37" s="75"/>
    </row>
    <row r="38" spans="1:25" ht="16.5" customHeight="1">
      <c r="A38" s="103">
        <f>Theory!A28</f>
        <v>23</v>
      </c>
      <c r="B38" s="103" t="str">
        <f>Theory!B28</f>
        <v>7376231EE124</v>
      </c>
      <c r="C38" s="105"/>
      <c r="D38" s="105"/>
      <c r="E38" s="120"/>
      <c r="F38" s="123">
        <v>8</v>
      </c>
      <c r="G38" s="124"/>
      <c r="H38" s="108"/>
      <c r="I38" s="108"/>
      <c r="J38" s="108"/>
      <c r="K38" s="108">
        <v>7</v>
      </c>
      <c r="L38" s="67"/>
      <c r="M38" s="125"/>
      <c r="N38" s="125" t="str">
        <f t="shared" ref="N38:Q38" si="25">IF(D38="","",I38*100/D38)</f>
        <v/>
      </c>
      <c r="O38" s="125" t="str">
        <f t="shared" si="25"/>
        <v/>
      </c>
      <c r="P38" s="125">
        <f t="shared" si="25"/>
        <v>87.5</v>
      </c>
      <c r="Q38" s="125" t="str">
        <f t="shared" si="25"/>
        <v/>
      </c>
      <c r="R38" s="115"/>
      <c r="S38" s="115"/>
      <c r="T38" s="115"/>
      <c r="U38" s="115"/>
      <c r="V38" s="115"/>
      <c r="W38" s="122">
        <f>IP!E28</f>
        <v>7</v>
      </c>
      <c r="X38" s="75"/>
      <c r="Y38" s="75"/>
    </row>
    <row r="39" spans="1:25" ht="16.5" customHeight="1">
      <c r="A39" s="103">
        <f>Theory!A29</f>
        <v>24</v>
      </c>
      <c r="B39" s="103" t="str">
        <f>Theory!B29</f>
        <v>7376231EE125</v>
      </c>
      <c r="C39" s="105"/>
      <c r="D39" s="105"/>
      <c r="E39" s="120"/>
      <c r="F39" s="123">
        <v>8</v>
      </c>
      <c r="G39" s="124"/>
      <c r="H39" s="108"/>
      <c r="I39" s="108"/>
      <c r="J39" s="108"/>
      <c r="K39" s="108">
        <v>7</v>
      </c>
      <c r="L39" s="67"/>
      <c r="M39" s="125"/>
      <c r="N39" s="125" t="str">
        <f t="shared" ref="N39:Q39" si="26">IF(D39="","",I39*100/D39)</f>
        <v/>
      </c>
      <c r="O39" s="125" t="str">
        <f t="shared" si="26"/>
        <v/>
      </c>
      <c r="P39" s="125">
        <f t="shared" si="26"/>
        <v>87.5</v>
      </c>
      <c r="Q39" s="125" t="str">
        <f t="shared" si="26"/>
        <v/>
      </c>
      <c r="R39" s="115"/>
      <c r="S39" s="115"/>
      <c r="T39" s="115"/>
      <c r="U39" s="115"/>
      <c r="V39" s="115"/>
      <c r="W39" s="122">
        <f>IP!E29</f>
        <v>7</v>
      </c>
      <c r="X39" s="75"/>
      <c r="Y39" s="75"/>
    </row>
    <row r="40" spans="1:25" ht="15.75" customHeight="1">
      <c r="A40" s="103">
        <f>Theory!A30</f>
        <v>25</v>
      </c>
      <c r="B40" s="103" t="str">
        <f>Theory!B30</f>
        <v>7376231EE126</v>
      </c>
      <c r="C40" s="105"/>
      <c r="D40" s="105"/>
      <c r="E40" s="120"/>
      <c r="F40" s="123">
        <v>8</v>
      </c>
      <c r="G40" s="124"/>
      <c r="H40" s="108"/>
      <c r="I40" s="108"/>
      <c r="J40" s="108"/>
      <c r="K40" s="108">
        <v>7</v>
      </c>
      <c r="L40" s="67"/>
      <c r="M40" s="125"/>
      <c r="N40" s="125" t="str">
        <f t="shared" ref="N40:Q40" si="27">IF(D40="","",I40*100/D40)</f>
        <v/>
      </c>
      <c r="O40" s="125" t="str">
        <f t="shared" si="27"/>
        <v/>
      </c>
      <c r="P40" s="125">
        <f t="shared" si="27"/>
        <v>87.5</v>
      </c>
      <c r="Q40" s="125" t="str">
        <f t="shared" si="27"/>
        <v/>
      </c>
      <c r="R40" s="115"/>
      <c r="S40" s="115"/>
      <c r="T40" s="115"/>
      <c r="U40" s="115"/>
      <c r="V40" s="115"/>
      <c r="W40" s="122">
        <f>IP!E30</f>
        <v>7</v>
      </c>
    </row>
    <row r="41" spans="1:25" ht="15.75" customHeight="1">
      <c r="A41" s="103">
        <f>Theory!A31</f>
        <v>26</v>
      </c>
      <c r="B41" s="103" t="str">
        <f>Theory!B31</f>
        <v>7376231EE127</v>
      </c>
      <c r="C41" s="105"/>
      <c r="D41" s="105"/>
      <c r="E41" s="120"/>
      <c r="F41" s="123">
        <v>8</v>
      </c>
      <c r="G41" s="124"/>
      <c r="H41" s="108"/>
      <c r="I41" s="108"/>
      <c r="J41" s="108"/>
      <c r="K41" s="108">
        <v>7</v>
      </c>
      <c r="L41" s="67"/>
      <c r="M41" s="125"/>
      <c r="N41" s="125" t="str">
        <f t="shared" ref="N41:Q41" si="28">IF(D41="","",I41*100/D41)</f>
        <v/>
      </c>
      <c r="O41" s="125" t="str">
        <f t="shared" si="28"/>
        <v/>
      </c>
      <c r="P41" s="125">
        <f t="shared" si="28"/>
        <v>87.5</v>
      </c>
      <c r="Q41" s="125" t="str">
        <f t="shared" si="28"/>
        <v/>
      </c>
      <c r="R41" s="115"/>
      <c r="S41" s="115"/>
      <c r="T41" s="115"/>
      <c r="U41" s="115"/>
      <c r="V41" s="115"/>
      <c r="W41" s="122">
        <f>IP!E31</f>
        <v>7</v>
      </c>
    </row>
    <row r="42" spans="1:25" ht="15.75" customHeight="1">
      <c r="A42" s="103">
        <f>Theory!A32</f>
        <v>27</v>
      </c>
      <c r="B42" s="103" t="str">
        <f>Theory!B32</f>
        <v>7376231EE128</v>
      </c>
      <c r="C42" s="105"/>
      <c r="D42" s="105"/>
      <c r="E42" s="120"/>
      <c r="F42" s="123">
        <v>8</v>
      </c>
      <c r="G42" s="124"/>
      <c r="H42" s="108"/>
      <c r="I42" s="108"/>
      <c r="J42" s="108"/>
      <c r="K42" s="108">
        <v>5</v>
      </c>
      <c r="L42" s="67"/>
      <c r="M42" s="125"/>
      <c r="N42" s="125" t="str">
        <f t="shared" ref="N42:Q42" si="29">IF(D42="","",I42*100/D42)</f>
        <v/>
      </c>
      <c r="O42" s="125" t="str">
        <f t="shared" si="29"/>
        <v/>
      </c>
      <c r="P42" s="125">
        <f t="shared" si="29"/>
        <v>62.5</v>
      </c>
      <c r="Q42" s="125" t="str">
        <f t="shared" si="29"/>
        <v/>
      </c>
      <c r="R42" s="115"/>
      <c r="S42" s="115"/>
      <c r="T42" s="115"/>
      <c r="U42" s="115"/>
      <c r="V42" s="115"/>
      <c r="W42" s="122">
        <f>IP!E32</f>
        <v>5</v>
      </c>
    </row>
    <row r="43" spans="1:25" ht="15.75" customHeight="1">
      <c r="A43" s="103">
        <f>Theory!A33</f>
        <v>28</v>
      </c>
      <c r="B43" s="103" t="str">
        <f>Theory!B33</f>
        <v>7376231EE129</v>
      </c>
      <c r="C43" s="105"/>
      <c r="D43" s="105"/>
      <c r="E43" s="120"/>
      <c r="F43" s="123">
        <v>8</v>
      </c>
      <c r="G43" s="124"/>
      <c r="H43" s="108"/>
      <c r="I43" s="108"/>
      <c r="J43" s="108"/>
      <c r="K43" s="108">
        <v>7</v>
      </c>
      <c r="L43" s="67"/>
      <c r="M43" s="125"/>
      <c r="N43" s="125" t="str">
        <f t="shared" ref="N43:Q43" si="30">IF(D43="","",I43*100/D43)</f>
        <v/>
      </c>
      <c r="O43" s="125" t="str">
        <f t="shared" si="30"/>
        <v/>
      </c>
      <c r="P43" s="125">
        <f t="shared" si="30"/>
        <v>87.5</v>
      </c>
      <c r="Q43" s="125" t="str">
        <f t="shared" si="30"/>
        <v/>
      </c>
      <c r="R43" s="115"/>
      <c r="S43" s="115"/>
      <c r="T43" s="115"/>
      <c r="U43" s="115"/>
      <c r="V43" s="115"/>
      <c r="W43" s="122">
        <f>IP!E33</f>
        <v>7</v>
      </c>
    </row>
    <row r="44" spans="1:25" ht="15.75" customHeight="1">
      <c r="A44" s="103">
        <f>Theory!A34</f>
        <v>29</v>
      </c>
      <c r="B44" s="103" t="str">
        <f>Theory!B34</f>
        <v>7376231EE130</v>
      </c>
      <c r="C44" s="105"/>
      <c r="D44" s="105"/>
      <c r="E44" s="120"/>
      <c r="F44" s="123">
        <v>8</v>
      </c>
      <c r="G44" s="124"/>
      <c r="H44" s="108"/>
      <c r="I44" s="108"/>
      <c r="J44" s="108"/>
      <c r="K44" s="108">
        <v>7</v>
      </c>
      <c r="L44" s="67"/>
      <c r="M44" s="125"/>
      <c r="N44" s="125" t="str">
        <f t="shared" ref="N44:Q44" si="31">IF(D44="","",I44*100/D44)</f>
        <v/>
      </c>
      <c r="O44" s="125" t="str">
        <f t="shared" si="31"/>
        <v/>
      </c>
      <c r="P44" s="125">
        <f t="shared" si="31"/>
        <v>87.5</v>
      </c>
      <c r="Q44" s="125" t="str">
        <f t="shared" si="31"/>
        <v/>
      </c>
      <c r="R44" s="115"/>
      <c r="S44" s="115"/>
      <c r="T44" s="115"/>
      <c r="U44" s="115"/>
      <c r="V44" s="115"/>
      <c r="W44" s="122">
        <f>IP!E34</f>
        <v>7</v>
      </c>
    </row>
    <row r="45" spans="1:25" ht="15.75" customHeight="1">
      <c r="A45" s="103">
        <f>Theory!A35</f>
        <v>30</v>
      </c>
      <c r="B45" s="103" t="str">
        <f>Theory!B35</f>
        <v>7376231EE131</v>
      </c>
      <c r="C45" s="105"/>
      <c r="D45" s="105"/>
      <c r="E45" s="120"/>
      <c r="F45" s="123">
        <v>8</v>
      </c>
      <c r="G45" s="124"/>
      <c r="H45" s="108"/>
      <c r="I45" s="108"/>
      <c r="J45" s="108"/>
      <c r="K45" s="108">
        <v>7</v>
      </c>
      <c r="L45" s="67"/>
      <c r="M45" s="125"/>
      <c r="N45" s="125" t="str">
        <f t="shared" ref="N45:Q45" si="32">IF(D45="","",I45*100/D45)</f>
        <v/>
      </c>
      <c r="O45" s="125" t="str">
        <f t="shared" si="32"/>
        <v/>
      </c>
      <c r="P45" s="125">
        <f t="shared" si="32"/>
        <v>87.5</v>
      </c>
      <c r="Q45" s="125" t="str">
        <f t="shared" si="32"/>
        <v/>
      </c>
      <c r="R45" s="115"/>
      <c r="S45" s="115"/>
      <c r="T45" s="115"/>
      <c r="U45" s="115"/>
      <c r="V45" s="115"/>
      <c r="W45" s="122">
        <f>IP!E35</f>
        <v>7</v>
      </c>
    </row>
    <row r="46" spans="1:25" ht="15.75" customHeight="1">
      <c r="A46" s="103">
        <f>Theory!A36</f>
        <v>31</v>
      </c>
      <c r="B46" s="103" t="str">
        <f>Theory!B36</f>
        <v>7376231EE132</v>
      </c>
      <c r="C46" s="105"/>
      <c r="D46" s="105"/>
      <c r="E46" s="120"/>
      <c r="F46" s="123">
        <v>8</v>
      </c>
      <c r="G46" s="124"/>
      <c r="H46" s="108"/>
      <c r="I46" s="108"/>
      <c r="J46" s="108"/>
      <c r="K46" s="108">
        <v>8</v>
      </c>
      <c r="L46" s="67"/>
      <c r="M46" s="125"/>
      <c r="N46" s="125" t="str">
        <f t="shared" ref="N46:Q46" si="33">IF(D46="","",I46*100/D46)</f>
        <v/>
      </c>
      <c r="O46" s="125" t="str">
        <f t="shared" si="33"/>
        <v/>
      </c>
      <c r="P46" s="125">
        <f t="shared" si="33"/>
        <v>100</v>
      </c>
      <c r="Q46" s="125" t="str">
        <f t="shared" si="33"/>
        <v/>
      </c>
      <c r="R46" s="115"/>
      <c r="S46" s="115"/>
      <c r="T46" s="115"/>
      <c r="U46" s="115"/>
      <c r="V46" s="115"/>
      <c r="W46" s="122">
        <f>IP!E36</f>
        <v>8</v>
      </c>
    </row>
    <row r="47" spans="1:25" ht="15.75" customHeight="1">
      <c r="A47" s="103">
        <f>Theory!A37</f>
        <v>32</v>
      </c>
      <c r="B47" s="103" t="str">
        <f>Theory!B37</f>
        <v>7376231EE133</v>
      </c>
      <c r="C47" s="105"/>
      <c r="D47" s="105"/>
      <c r="E47" s="120"/>
      <c r="F47" s="123">
        <v>8</v>
      </c>
      <c r="G47" s="124"/>
      <c r="H47" s="108"/>
      <c r="I47" s="108"/>
      <c r="J47" s="108"/>
      <c r="K47" s="108">
        <v>6</v>
      </c>
      <c r="L47" s="67"/>
      <c r="M47" s="125"/>
      <c r="N47" s="125" t="str">
        <f t="shared" ref="N47:Q47" si="34">IF(D47="","",I47*100/D47)</f>
        <v/>
      </c>
      <c r="O47" s="125" t="str">
        <f t="shared" si="34"/>
        <v/>
      </c>
      <c r="P47" s="125">
        <f t="shared" si="34"/>
        <v>75</v>
      </c>
      <c r="Q47" s="125" t="str">
        <f t="shared" si="34"/>
        <v/>
      </c>
      <c r="R47" s="115"/>
      <c r="S47" s="115"/>
      <c r="T47" s="115"/>
      <c r="U47" s="115"/>
      <c r="V47" s="115"/>
      <c r="W47" s="122">
        <f>IP!E37</f>
        <v>6</v>
      </c>
    </row>
    <row r="48" spans="1:25" ht="15.75" customHeight="1">
      <c r="A48" s="103">
        <f>Theory!A38</f>
        <v>33</v>
      </c>
      <c r="B48" s="103" t="str">
        <f>Theory!B38</f>
        <v>7376231EE134</v>
      </c>
      <c r="C48" s="105"/>
      <c r="D48" s="105"/>
      <c r="E48" s="120"/>
      <c r="F48" s="123">
        <v>8</v>
      </c>
      <c r="G48" s="124"/>
      <c r="H48" s="108"/>
      <c r="I48" s="108"/>
      <c r="J48" s="108"/>
      <c r="K48" s="108">
        <v>7</v>
      </c>
      <c r="L48" s="67"/>
      <c r="M48" s="125"/>
      <c r="N48" s="125" t="str">
        <f t="shared" ref="N48:Q48" si="35">IF(D48="","",I48*100/D48)</f>
        <v/>
      </c>
      <c r="O48" s="125" t="str">
        <f t="shared" si="35"/>
        <v/>
      </c>
      <c r="P48" s="125">
        <f t="shared" si="35"/>
        <v>87.5</v>
      </c>
      <c r="Q48" s="125" t="str">
        <f t="shared" si="35"/>
        <v/>
      </c>
      <c r="R48" s="115"/>
      <c r="S48" s="115"/>
      <c r="T48" s="115"/>
      <c r="U48" s="115"/>
      <c r="V48" s="115"/>
      <c r="W48" s="122">
        <f>IP!E38</f>
        <v>7</v>
      </c>
    </row>
    <row r="49" spans="1:23" ht="15.75" customHeight="1">
      <c r="A49" s="103">
        <f>Theory!A39</f>
        <v>34</v>
      </c>
      <c r="B49" s="103" t="str">
        <f>Theory!B39</f>
        <v>7376231EE135</v>
      </c>
      <c r="C49" s="105"/>
      <c r="D49" s="105"/>
      <c r="E49" s="120"/>
      <c r="F49" s="123">
        <v>8</v>
      </c>
      <c r="G49" s="124"/>
      <c r="H49" s="108"/>
      <c r="I49" s="108"/>
      <c r="J49" s="108"/>
      <c r="K49" s="108">
        <v>8</v>
      </c>
      <c r="L49" s="67"/>
      <c r="M49" s="125"/>
      <c r="N49" s="125" t="str">
        <f t="shared" ref="N49:Q49" si="36">IF(D49="","",I49*100/D49)</f>
        <v/>
      </c>
      <c r="O49" s="125" t="str">
        <f t="shared" si="36"/>
        <v/>
      </c>
      <c r="P49" s="125">
        <f t="shared" si="36"/>
        <v>100</v>
      </c>
      <c r="Q49" s="125" t="str">
        <f t="shared" si="36"/>
        <v/>
      </c>
      <c r="R49" s="115"/>
      <c r="S49" s="115"/>
      <c r="T49" s="115"/>
      <c r="U49" s="115"/>
      <c r="V49" s="115"/>
      <c r="W49" s="122">
        <f>IP!E39</f>
        <v>8</v>
      </c>
    </row>
    <row r="50" spans="1:23" ht="15.75" customHeight="1">
      <c r="A50" s="103">
        <f>Theory!A40</f>
        <v>35</v>
      </c>
      <c r="B50" s="103" t="str">
        <f>Theory!B40</f>
        <v>7376231EE136</v>
      </c>
      <c r="C50" s="105"/>
      <c r="D50" s="105"/>
      <c r="E50" s="120"/>
      <c r="F50" s="123">
        <v>8</v>
      </c>
      <c r="G50" s="124"/>
      <c r="H50" s="108"/>
      <c r="I50" s="108"/>
      <c r="J50" s="108"/>
      <c r="K50" s="108">
        <v>7</v>
      </c>
      <c r="L50" s="67"/>
      <c r="M50" s="125"/>
      <c r="N50" s="125" t="str">
        <f t="shared" ref="N50:Q50" si="37">IF(D50="","",I50*100/D50)</f>
        <v/>
      </c>
      <c r="O50" s="125" t="str">
        <f t="shared" si="37"/>
        <v/>
      </c>
      <c r="P50" s="125">
        <f t="shared" si="37"/>
        <v>87.5</v>
      </c>
      <c r="Q50" s="125" t="str">
        <f t="shared" si="37"/>
        <v/>
      </c>
      <c r="R50" s="115"/>
      <c r="S50" s="115"/>
      <c r="T50" s="115"/>
      <c r="U50" s="115"/>
      <c r="V50" s="115"/>
      <c r="W50" s="122">
        <f>IP!E40</f>
        <v>7</v>
      </c>
    </row>
    <row r="51" spans="1:23" ht="15.75" customHeight="1">
      <c r="A51" s="103">
        <f>Theory!A41</f>
        <v>36</v>
      </c>
      <c r="B51" s="103" t="str">
        <f>Theory!B41</f>
        <v>7376231EE137</v>
      </c>
      <c r="C51" s="105"/>
      <c r="D51" s="105"/>
      <c r="E51" s="120"/>
      <c r="F51" s="123">
        <v>8</v>
      </c>
      <c r="G51" s="124"/>
      <c r="H51" s="108"/>
      <c r="I51" s="108"/>
      <c r="J51" s="108"/>
      <c r="K51" s="108">
        <v>8</v>
      </c>
      <c r="L51" s="67"/>
      <c r="M51" s="125"/>
      <c r="N51" s="125" t="str">
        <f t="shared" ref="N51:Q51" si="38">IF(D51="","",I51*100/D51)</f>
        <v/>
      </c>
      <c r="O51" s="125" t="str">
        <f t="shared" si="38"/>
        <v/>
      </c>
      <c r="P51" s="125">
        <f t="shared" si="38"/>
        <v>100</v>
      </c>
      <c r="Q51" s="125" t="str">
        <f t="shared" si="38"/>
        <v/>
      </c>
      <c r="R51" s="115"/>
      <c r="S51" s="115"/>
      <c r="T51" s="115"/>
      <c r="U51" s="115"/>
      <c r="V51" s="115"/>
      <c r="W51" s="122">
        <f>IP!E41</f>
        <v>8</v>
      </c>
    </row>
    <row r="52" spans="1:23" ht="15.75" customHeight="1">
      <c r="A52" s="103">
        <f>Theory!A42</f>
        <v>37</v>
      </c>
      <c r="B52" s="103" t="str">
        <f>Theory!B42</f>
        <v>7376231EE138</v>
      </c>
      <c r="C52" s="105"/>
      <c r="D52" s="105"/>
      <c r="E52" s="120"/>
      <c r="F52" s="123">
        <v>8</v>
      </c>
      <c r="G52" s="124"/>
      <c r="H52" s="108"/>
      <c r="I52" s="108"/>
      <c r="J52" s="108"/>
      <c r="K52" s="108">
        <v>7</v>
      </c>
      <c r="L52" s="67"/>
      <c r="M52" s="125"/>
      <c r="N52" s="125" t="str">
        <f t="shared" ref="N52:Q52" si="39">IF(D52="","",I52*100/D52)</f>
        <v/>
      </c>
      <c r="O52" s="125" t="str">
        <f t="shared" si="39"/>
        <v/>
      </c>
      <c r="P52" s="125">
        <f t="shared" si="39"/>
        <v>87.5</v>
      </c>
      <c r="Q52" s="125" t="str">
        <f t="shared" si="39"/>
        <v/>
      </c>
      <c r="R52" s="115"/>
      <c r="S52" s="115"/>
      <c r="T52" s="115"/>
      <c r="U52" s="115"/>
      <c r="V52" s="115"/>
      <c r="W52" s="122">
        <f>IP!E42</f>
        <v>7</v>
      </c>
    </row>
    <row r="53" spans="1:23" ht="15.75" customHeight="1">
      <c r="A53" s="103">
        <f>Theory!A43</f>
        <v>38</v>
      </c>
      <c r="B53" s="103" t="str">
        <f>Theory!B43</f>
        <v>7376231EE139</v>
      </c>
      <c r="C53" s="105"/>
      <c r="D53" s="105"/>
      <c r="E53" s="120"/>
      <c r="F53" s="123">
        <v>8</v>
      </c>
      <c r="G53" s="124"/>
      <c r="H53" s="108"/>
      <c r="I53" s="108"/>
      <c r="J53" s="108"/>
      <c r="K53" s="108">
        <v>8</v>
      </c>
      <c r="L53" s="67"/>
      <c r="M53" s="125"/>
      <c r="N53" s="125" t="str">
        <f t="shared" ref="N53:Q53" si="40">IF(D53="","",I53*100/D53)</f>
        <v/>
      </c>
      <c r="O53" s="125" t="str">
        <f t="shared" si="40"/>
        <v/>
      </c>
      <c r="P53" s="125">
        <f t="shared" si="40"/>
        <v>100</v>
      </c>
      <c r="Q53" s="125" t="str">
        <f t="shared" si="40"/>
        <v/>
      </c>
      <c r="R53" s="115"/>
      <c r="S53" s="115"/>
      <c r="T53" s="115"/>
      <c r="U53" s="115"/>
      <c r="V53" s="115"/>
      <c r="W53" s="122">
        <f>IP!E43</f>
        <v>8</v>
      </c>
    </row>
    <row r="54" spans="1:23" ht="15.75" customHeight="1">
      <c r="A54" s="103">
        <f>Theory!A44</f>
        <v>39</v>
      </c>
      <c r="B54" s="103" t="str">
        <f>Theory!B44</f>
        <v>7376231EE140</v>
      </c>
      <c r="C54" s="105"/>
      <c r="D54" s="105"/>
      <c r="E54" s="120"/>
      <c r="F54" s="123">
        <v>8</v>
      </c>
      <c r="G54" s="124"/>
      <c r="H54" s="108"/>
      <c r="I54" s="108"/>
      <c r="J54" s="108"/>
      <c r="K54" s="108">
        <v>7</v>
      </c>
      <c r="L54" s="67"/>
      <c r="M54" s="125"/>
      <c r="N54" s="125" t="str">
        <f t="shared" ref="N54:Q54" si="41">IF(D54="","",I54*100/D54)</f>
        <v/>
      </c>
      <c r="O54" s="125" t="str">
        <f t="shared" si="41"/>
        <v/>
      </c>
      <c r="P54" s="125">
        <f t="shared" si="41"/>
        <v>87.5</v>
      </c>
      <c r="Q54" s="125" t="str">
        <f t="shared" si="41"/>
        <v/>
      </c>
      <c r="R54" s="115"/>
      <c r="S54" s="115"/>
      <c r="T54" s="115"/>
      <c r="U54" s="115"/>
      <c r="V54" s="115"/>
      <c r="W54" s="122">
        <f>IP!E44</f>
        <v>7</v>
      </c>
    </row>
    <row r="55" spans="1:23" ht="15.75" customHeight="1">
      <c r="A55" s="103">
        <f>Theory!A45</f>
        <v>40</v>
      </c>
      <c r="B55" s="103" t="str">
        <f>Theory!B45</f>
        <v>7376231EE141</v>
      </c>
      <c r="C55" s="105"/>
      <c r="D55" s="105"/>
      <c r="E55" s="120"/>
      <c r="F55" s="123">
        <v>8</v>
      </c>
      <c r="G55" s="124"/>
      <c r="H55" s="108"/>
      <c r="I55" s="108"/>
      <c r="J55" s="108"/>
      <c r="K55" s="108">
        <v>7</v>
      </c>
      <c r="L55" s="67"/>
      <c r="M55" s="125"/>
      <c r="N55" s="125" t="str">
        <f t="shared" ref="N55:Q55" si="42">IF(D55="","",I55*100/D55)</f>
        <v/>
      </c>
      <c r="O55" s="125" t="str">
        <f t="shared" si="42"/>
        <v/>
      </c>
      <c r="P55" s="125">
        <f t="shared" si="42"/>
        <v>87.5</v>
      </c>
      <c r="Q55" s="125" t="str">
        <f t="shared" si="42"/>
        <v/>
      </c>
      <c r="R55" s="115"/>
      <c r="S55" s="115"/>
      <c r="T55" s="115"/>
      <c r="U55" s="115"/>
      <c r="V55" s="115"/>
      <c r="W55" s="122">
        <f>IP!E45</f>
        <v>7</v>
      </c>
    </row>
    <row r="56" spans="1:23" ht="15.75" customHeight="1">
      <c r="A56" s="103">
        <f>Theory!A46</f>
        <v>41</v>
      </c>
      <c r="B56" s="103" t="str">
        <f>Theory!B46</f>
        <v>7376231EE142</v>
      </c>
      <c r="C56" s="105"/>
      <c r="D56" s="105"/>
      <c r="E56" s="120"/>
      <c r="F56" s="123">
        <v>8</v>
      </c>
      <c r="G56" s="124"/>
      <c r="H56" s="108"/>
      <c r="I56" s="108"/>
      <c r="J56" s="108"/>
      <c r="K56" s="108">
        <v>8</v>
      </c>
      <c r="L56" s="67"/>
      <c r="M56" s="125"/>
      <c r="N56" s="125" t="str">
        <f t="shared" ref="N56:Q56" si="43">IF(D56="","",I56*100/D56)</f>
        <v/>
      </c>
      <c r="O56" s="125" t="str">
        <f t="shared" si="43"/>
        <v/>
      </c>
      <c r="P56" s="125">
        <f t="shared" si="43"/>
        <v>100</v>
      </c>
      <c r="Q56" s="125" t="str">
        <f t="shared" si="43"/>
        <v/>
      </c>
      <c r="R56" s="115"/>
      <c r="S56" s="115"/>
      <c r="T56" s="115"/>
      <c r="U56" s="115"/>
      <c r="V56" s="115"/>
      <c r="W56" s="122">
        <f>IP!E46</f>
        <v>8</v>
      </c>
    </row>
    <row r="57" spans="1:23" ht="15.75" customHeight="1">
      <c r="A57" s="103">
        <f>Theory!A47</f>
        <v>42</v>
      </c>
      <c r="B57" s="103" t="str">
        <f>Theory!B47</f>
        <v>7376231EE143</v>
      </c>
      <c r="C57" s="105"/>
      <c r="D57" s="105"/>
      <c r="E57" s="120"/>
      <c r="F57" s="123">
        <v>8</v>
      </c>
      <c r="G57" s="124"/>
      <c r="H57" s="108"/>
      <c r="I57" s="108"/>
      <c r="J57" s="108"/>
      <c r="K57" s="108">
        <v>6</v>
      </c>
      <c r="L57" s="67"/>
      <c r="M57" s="125"/>
      <c r="N57" s="125" t="str">
        <f t="shared" ref="N57:Q57" si="44">IF(D57="","",I57*100/D57)</f>
        <v/>
      </c>
      <c r="O57" s="125" t="str">
        <f t="shared" si="44"/>
        <v/>
      </c>
      <c r="P57" s="125">
        <f t="shared" si="44"/>
        <v>75</v>
      </c>
      <c r="Q57" s="125" t="str">
        <f t="shared" si="44"/>
        <v/>
      </c>
      <c r="R57" s="115"/>
      <c r="S57" s="115"/>
      <c r="T57" s="115"/>
      <c r="U57" s="115"/>
      <c r="V57" s="115"/>
      <c r="W57" s="122">
        <f>IP!E47</f>
        <v>6</v>
      </c>
    </row>
    <row r="58" spans="1:23" ht="15.75" customHeight="1">
      <c r="A58" s="103">
        <f>Theory!A48</f>
        <v>43</v>
      </c>
      <c r="B58" s="103" t="str">
        <f>Theory!B48</f>
        <v>7376231EE144</v>
      </c>
      <c r="C58" s="105"/>
      <c r="D58" s="105"/>
      <c r="E58" s="120"/>
      <c r="F58" s="123">
        <v>8</v>
      </c>
      <c r="G58" s="124"/>
      <c r="H58" s="108"/>
      <c r="I58" s="108"/>
      <c r="J58" s="108"/>
      <c r="K58" s="108">
        <v>7</v>
      </c>
      <c r="L58" s="67"/>
      <c r="M58" s="125"/>
      <c r="N58" s="125" t="str">
        <f t="shared" ref="N58:Q58" si="45">IF(D58="","",I58*100/D58)</f>
        <v/>
      </c>
      <c r="O58" s="125" t="str">
        <f t="shared" si="45"/>
        <v/>
      </c>
      <c r="P58" s="125">
        <f t="shared" si="45"/>
        <v>87.5</v>
      </c>
      <c r="Q58" s="125" t="str">
        <f t="shared" si="45"/>
        <v/>
      </c>
      <c r="R58" s="115"/>
      <c r="S58" s="115"/>
      <c r="T58" s="115"/>
      <c r="U58" s="115"/>
      <c r="V58" s="115"/>
      <c r="W58" s="122">
        <f>IP!E48</f>
        <v>7</v>
      </c>
    </row>
    <row r="59" spans="1:23" ht="15.75" customHeight="1">
      <c r="A59" s="103">
        <f>Theory!A49</f>
        <v>44</v>
      </c>
      <c r="B59" s="103" t="str">
        <f>Theory!B49</f>
        <v>7376231EE145</v>
      </c>
      <c r="C59" s="105"/>
      <c r="D59" s="105"/>
      <c r="E59" s="120"/>
      <c r="F59" s="123">
        <v>8</v>
      </c>
      <c r="G59" s="124"/>
      <c r="H59" s="108"/>
      <c r="I59" s="108"/>
      <c r="J59" s="108"/>
      <c r="K59" s="108">
        <v>7</v>
      </c>
      <c r="L59" s="67"/>
      <c r="M59" s="125"/>
      <c r="N59" s="125" t="str">
        <f t="shared" ref="N59:Q59" si="46">IF(D59="","",I59*100/D59)</f>
        <v/>
      </c>
      <c r="O59" s="125" t="str">
        <f t="shared" si="46"/>
        <v/>
      </c>
      <c r="P59" s="125">
        <f t="shared" si="46"/>
        <v>87.5</v>
      </c>
      <c r="Q59" s="125" t="str">
        <f t="shared" si="46"/>
        <v/>
      </c>
      <c r="R59" s="115"/>
      <c r="S59" s="115"/>
      <c r="T59" s="115"/>
      <c r="U59" s="115"/>
      <c r="V59" s="115"/>
      <c r="W59" s="122">
        <f>IP!E49</f>
        <v>7</v>
      </c>
    </row>
    <row r="60" spans="1:23" ht="15.75" customHeight="1">
      <c r="A60" s="103">
        <f>Theory!A50</f>
        <v>45</v>
      </c>
      <c r="B60" s="103" t="str">
        <f>Theory!B50</f>
        <v>7376231EE146</v>
      </c>
      <c r="C60" s="105"/>
      <c r="D60" s="105"/>
      <c r="E60" s="120"/>
      <c r="F60" s="123">
        <v>8</v>
      </c>
      <c r="G60" s="124"/>
      <c r="H60" s="108"/>
      <c r="I60" s="108"/>
      <c r="J60" s="108"/>
      <c r="K60" s="108">
        <v>8</v>
      </c>
      <c r="L60" s="67"/>
      <c r="M60" s="125"/>
      <c r="N60" s="125" t="str">
        <f t="shared" ref="N60:Q60" si="47">IF(D60="","",I60*100/D60)</f>
        <v/>
      </c>
      <c r="O60" s="125" t="str">
        <f t="shared" si="47"/>
        <v/>
      </c>
      <c r="P60" s="125">
        <f t="shared" si="47"/>
        <v>100</v>
      </c>
      <c r="Q60" s="125" t="str">
        <f t="shared" si="47"/>
        <v/>
      </c>
      <c r="R60" s="115"/>
      <c r="S60" s="115"/>
      <c r="T60" s="115"/>
      <c r="U60" s="115"/>
      <c r="V60" s="115"/>
      <c r="W60" s="122">
        <f>IP!E50</f>
        <v>8</v>
      </c>
    </row>
    <row r="61" spans="1:23" ht="15.75" customHeight="1">
      <c r="A61" s="103">
        <f>Theory!A51</f>
        <v>46</v>
      </c>
      <c r="B61" s="103" t="str">
        <f>Theory!B51</f>
        <v>7376231EE147</v>
      </c>
      <c r="C61" s="105"/>
      <c r="D61" s="105"/>
      <c r="E61" s="120"/>
      <c r="F61" s="123">
        <v>8</v>
      </c>
      <c r="G61" s="124"/>
      <c r="H61" s="108"/>
      <c r="I61" s="108"/>
      <c r="J61" s="108"/>
      <c r="K61" s="108">
        <v>7</v>
      </c>
      <c r="L61" s="67"/>
      <c r="M61" s="125"/>
      <c r="N61" s="125" t="str">
        <f t="shared" ref="N61:Q61" si="48">IF(D61="","",I61*100/D61)</f>
        <v/>
      </c>
      <c r="O61" s="125" t="str">
        <f t="shared" si="48"/>
        <v/>
      </c>
      <c r="P61" s="125">
        <f t="shared" si="48"/>
        <v>87.5</v>
      </c>
      <c r="Q61" s="125" t="str">
        <f t="shared" si="48"/>
        <v/>
      </c>
      <c r="R61" s="115"/>
      <c r="S61" s="115"/>
      <c r="T61" s="115"/>
      <c r="U61" s="115"/>
      <c r="V61" s="115"/>
      <c r="W61" s="122">
        <f>IP!E51</f>
        <v>7</v>
      </c>
    </row>
    <row r="62" spans="1:23" ht="15.75" customHeight="1">
      <c r="A62" s="103">
        <f>Theory!A52</f>
        <v>47</v>
      </c>
      <c r="B62" s="103" t="str">
        <f>Theory!B52</f>
        <v>7376231EE148</v>
      </c>
      <c r="C62" s="105"/>
      <c r="D62" s="105"/>
      <c r="E62" s="120"/>
      <c r="F62" s="123">
        <v>8</v>
      </c>
      <c r="G62" s="124"/>
      <c r="H62" s="108"/>
      <c r="I62" s="108"/>
      <c r="J62" s="108"/>
      <c r="K62" s="108">
        <v>7</v>
      </c>
      <c r="L62" s="67"/>
      <c r="M62" s="125"/>
      <c r="N62" s="125" t="str">
        <f t="shared" ref="N62:Q62" si="49">IF(D62="","",I62*100/D62)</f>
        <v/>
      </c>
      <c r="O62" s="125" t="str">
        <f t="shared" si="49"/>
        <v/>
      </c>
      <c r="P62" s="125">
        <f t="shared" si="49"/>
        <v>87.5</v>
      </c>
      <c r="Q62" s="125" t="str">
        <f t="shared" si="49"/>
        <v/>
      </c>
      <c r="R62" s="115"/>
      <c r="S62" s="115"/>
      <c r="T62" s="115"/>
      <c r="U62" s="115"/>
      <c r="V62" s="115"/>
      <c r="W62" s="122">
        <f>IP!E52</f>
        <v>7</v>
      </c>
    </row>
    <row r="63" spans="1:23" ht="15.75" customHeight="1">
      <c r="A63" s="103">
        <f>Theory!A53</f>
        <v>48</v>
      </c>
      <c r="B63" s="103" t="str">
        <f>Theory!B53</f>
        <v>7376231EE149</v>
      </c>
      <c r="C63" s="105"/>
      <c r="D63" s="105"/>
      <c r="E63" s="120"/>
      <c r="F63" s="123">
        <v>8</v>
      </c>
      <c r="G63" s="124"/>
      <c r="H63" s="108"/>
      <c r="I63" s="108"/>
      <c r="J63" s="108"/>
      <c r="K63" s="108">
        <v>4</v>
      </c>
      <c r="L63" s="67"/>
      <c r="M63" s="125"/>
      <c r="N63" s="125" t="str">
        <f t="shared" ref="N63:Q63" si="50">IF(D63="","",I63*100/D63)</f>
        <v/>
      </c>
      <c r="O63" s="125" t="str">
        <f t="shared" si="50"/>
        <v/>
      </c>
      <c r="P63" s="125">
        <f t="shared" si="50"/>
        <v>50</v>
      </c>
      <c r="Q63" s="125" t="str">
        <f t="shared" si="50"/>
        <v/>
      </c>
      <c r="R63" s="115"/>
      <c r="S63" s="115"/>
      <c r="T63" s="115"/>
      <c r="U63" s="115"/>
      <c r="V63" s="115"/>
      <c r="W63" s="122">
        <f>IP!E53</f>
        <v>4</v>
      </c>
    </row>
    <row r="64" spans="1:23" ht="15.75" customHeight="1">
      <c r="A64" s="103">
        <f>Theory!A54</f>
        <v>49</v>
      </c>
      <c r="B64" s="103" t="str">
        <f>Theory!B54</f>
        <v>7376231EE150</v>
      </c>
      <c r="C64" s="105"/>
      <c r="D64" s="105"/>
      <c r="E64" s="120"/>
      <c r="F64" s="123">
        <v>8</v>
      </c>
      <c r="G64" s="124"/>
      <c r="H64" s="108"/>
      <c r="I64" s="108"/>
      <c r="J64" s="108"/>
      <c r="K64" s="108">
        <v>4</v>
      </c>
      <c r="L64" s="67"/>
      <c r="M64" s="125"/>
      <c r="N64" s="125" t="str">
        <f t="shared" ref="N64:Q64" si="51">IF(D64="","",I64*100/D64)</f>
        <v/>
      </c>
      <c r="O64" s="125" t="str">
        <f t="shared" si="51"/>
        <v/>
      </c>
      <c r="P64" s="125">
        <f t="shared" si="51"/>
        <v>50</v>
      </c>
      <c r="Q64" s="125" t="str">
        <f t="shared" si="51"/>
        <v/>
      </c>
      <c r="R64" s="115"/>
      <c r="S64" s="115"/>
      <c r="T64" s="115"/>
      <c r="U64" s="115"/>
      <c r="V64" s="115"/>
      <c r="W64" s="122">
        <f>IP!E54</f>
        <v>4</v>
      </c>
    </row>
    <row r="65" spans="1:23" ht="15.75" customHeight="1">
      <c r="A65" s="103">
        <f>Theory!A55</f>
        <v>50</v>
      </c>
      <c r="B65" s="103" t="str">
        <f>Theory!B55</f>
        <v>7376231EE151</v>
      </c>
      <c r="C65" s="105"/>
      <c r="D65" s="105"/>
      <c r="E65" s="120"/>
      <c r="F65" s="123">
        <v>8</v>
      </c>
      <c r="G65" s="124"/>
      <c r="H65" s="108"/>
      <c r="I65" s="108"/>
      <c r="J65" s="108"/>
      <c r="K65" s="108">
        <v>4</v>
      </c>
      <c r="L65" s="67"/>
      <c r="M65" s="125"/>
      <c r="N65" s="125" t="str">
        <f t="shared" ref="N65:Q65" si="52">IF(D65="","",I65*100/D65)</f>
        <v/>
      </c>
      <c r="O65" s="125" t="str">
        <f t="shared" si="52"/>
        <v/>
      </c>
      <c r="P65" s="125">
        <f t="shared" si="52"/>
        <v>50</v>
      </c>
      <c r="Q65" s="125" t="str">
        <f t="shared" si="52"/>
        <v/>
      </c>
      <c r="R65" s="115"/>
      <c r="S65" s="115"/>
      <c r="T65" s="115"/>
      <c r="U65" s="115"/>
      <c r="V65" s="115"/>
      <c r="W65" s="122">
        <f>IP!E55</f>
        <v>4</v>
      </c>
    </row>
    <row r="66" spans="1:23" ht="15.75" customHeight="1">
      <c r="A66" s="103">
        <f>Theory!A56</f>
        <v>51</v>
      </c>
      <c r="B66" s="103" t="str">
        <f>Theory!B56</f>
        <v>7376231EE152</v>
      </c>
      <c r="C66" s="105"/>
      <c r="D66" s="105"/>
      <c r="E66" s="120"/>
      <c r="F66" s="123">
        <v>8</v>
      </c>
      <c r="G66" s="124"/>
      <c r="H66" s="108"/>
      <c r="I66" s="108"/>
      <c r="J66" s="108"/>
      <c r="K66" s="108">
        <v>7</v>
      </c>
      <c r="L66" s="67"/>
      <c r="M66" s="125"/>
      <c r="N66" s="125" t="str">
        <f t="shared" ref="N66:Q66" si="53">IF(D66="","",I66*100/D66)</f>
        <v/>
      </c>
      <c r="O66" s="125" t="str">
        <f t="shared" si="53"/>
        <v/>
      </c>
      <c r="P66" s="125">
        <f t="shared" si="53"/>
        <v>87.5</v>
      </c>
      <c r="Q66" s="125" t="str">
        <f t="shared" si="53"/>
        <v/>
      </c>
      <c r="R66" s="115"/>
      <c r="S66" s="115"/>
      <c r="T66" s="115"/>
      <c r="U66" s="115"/>
      <c r="V66" s="115"/>
      <c r="W66" s="122">
        <f>IP!E56</f>
        <v>7</v>
      </c>
    </row>
    <row r="67" spans="1:23" ht="15.75" customHeight="1">
      <c r="A67" s="103">
        <f>Theory!A57</f>
        <v>52</v>
      </c>
      <c r="B67" s="103" t="str">
        <f>Theory!B57</f>
        <v>7376231EE153</v>
      </c>
      <c r="C67" s="105"/>
      <c r="D67" s="105"/>
      <c r="E67" s="120"/>
      <c r="F67" s="123">
        <v>8</v>
      </c>
      <c r="G67" s="124"/>
      <c r="H67" s="108"/>
      <c r="I67" s="108"/>
      <c r="J67" s="108"/>
      <c r="K67" s="108">
        <v>7</v>
      </c>
      <c r="L67" s="67"/>
      <c r="M67" s="125"/>
      <c r="N67" s="125" t="str">
        <f t="shared" ref="N67:Q67" si="54">IF(D67="","",I67*100/D67)</f>
        <v/>
      </c>
      <c r="O67" s="125" t="str">
        <f t="shared" si="54"/>
        <v/>
      </c>
      <c r="P67" s="125">
        <f t="shared" si="54"/>
        <v>87.5</v>
      </c>
      <c r="Q67" s="125" t="str">
        <f t="shared" si="54"/>
        <v/>
      </c>
      <c r="R67" s="115"/>
      <c r="S67" s="115"/>
      <c r="T67" s="115"/>
      <c r="U67" s="115"/>
      <c r="V67" s="115"/>
      <c r="W67" s="122">
        <f>IP!E57</f>
        <v>7</v>
      </c>
    </row>
    <row r="68" spans="1:23" ht="15.75" customHeight="1">
      <c r="A68" s="103">
        <f>Theory!A58</f>
        <v>53</v>
      </c>
      <c r="B68" s="103" t="str">
        <f>Theory!B58</f>
        <v>7376231EE154</v>
      </c>
      <c r="C68" s="105"/>
      <c r="D68" s="105"/>
      <c r="E68" s="120"/>
      <c r="F68" s="123">
        <v>8</v>
      </c>
      <c r="G68" s="124"/>
      <c r="H68" s="108"/>
      <c r="I68" s="108"/>
      <c r="J68" s="108"/>
      <c r="K68" s="108">
        <v>7</v>
      </c>
      <c r="L68" s="67"/>
      <c r="M68" s="125"/>
      <c r="N68" s="125" t="str">
        <f t="shared" ref="N68:Q68" si="55">IF(D68="","",I68*100/D68)</f>
        <v/>
      </c>
      <c r="O68" s="125" t="str">
        <f t="shared" si="55"/>
        <v/>
      </c>
      <c r="P68" s="125">
        <f t="shared" si="55"/>
        <v>87.5</v>
      </c>
      <c r="Q68" s="125" t="str">
        <f t="shared" si="55"/>
        <v/>
      </c>
      <c r="R68" s="115"/>
      <c r="S68" s="115"/>
      <c r="T68" s="115"/>
      <c r="U68" s="115"/>
      <c r="V68" s="115"/>
      <c r="W68" s="122">
        <f>IP!E58</f>
        <v>7</v>
      </c>
    </row>
    <row r="69" spans="1:23" ht="15.75" customHeight="1">
      <c r="A69" s="103">
        <f>Theory!A59</f>
        <v>54</v>
      </c>
      <c r="B69" s="103" t="str">
        <f>Theory!B59</f>
        <v>7376231EE155</v>
      </c>
      <c r="C69" s="105"/>
      <c r="D69" s="105"/>
      <c r="E69" s="120"/>
      <c r="F69" s="123">
        <v>8</v>
      </c>
      <c r="G69" s="124"/>
      <c r="H69" s="108"/>
      <c r="I69" s="108"/>
      <c r="J69" s="108"/>
      <c r="K69" s="108">
        <v>6</v>
      </c>
      <c r="L69" s="67"/>
      <c r="M69" s="125"/>
      <c r="N69" s="125" t="str">
        <f t="shared" ref="N69:Q69" si="56">IF(D69="","",I69*100/D69)</f>
        <v/>
      </c>
      <c r="O69" s="125" t="str">
        <f t="shared" si="56"/>
        <v/>
      </c>
      <c r="P69" s="125">
        <f t="shared" si="56"/>
        <v>75</v>
      </c>
      <c r="Q69" s="125" t="str">
        <f t="shared" si="56"/>
        <v/>
      </c>
      <c r="R69" s="115"/>
      <c r="S69" s="115"/>
      <c r="T69" s="115"/>
      <c r="U69" s="115"/>
      <c r="V69" s="115"/>
      <c r="W69" s="122">
        <f>IP!E59</f>
        <v>6</v>
      </c>
    </row>
    <row r="70" spans="1:23" ht="15.75" customHeight="1">
      <c r="A70" s="103">
        <f>Theory!A60</f>
        <v>55</v>
      </c>
      <c r="B70" s="103" t="str">
        <f>Theory!B60</f>
        <v>7376231EE156</v>
      </c>
      <c r="C70" s="105"/>
      <c r="D70" s="105"/>
      <c r="E70" s="120"/>
      <c r="F70" s="123">
        <v>8</v>
      </c>
      <c r="G70" s="124"/>
      <c r="H70" s="108"/>
      <c r="I70" s="108"/>
      <c r="J70" s="108"/>
      <c r="K70" s="108">
        <v>8</v>
      </c>
      <c r="L70" s="67"/>
      <c r="M70" s="125"/>
      <c r="N70" s="125" t="str">
        <f t="shared" ref="N70:Q70" si="57">IF(D70="","",I70*100/D70)</f>
        <v/>
      </c>
      <c r="O70" s="125" t="str">
        <f t="shared" si="57"/>
        <v/>
      </c>
      <c r="P70" s="125">
        <f t="shared" si="57"/>
        <v>100</v>
      </c>
      <c r="Q70" s="125" t="str">
        <f t="shared" si="57"/>
        <v/>
      </c>
      <c r="R70" s="115"/>
      <c r="S70" s="115"/>
      <c r="T70" s="115"/>
      <c r="U70" s="115"/>
      <c r="V70" s="115"/>
      <c r="W70" s="122">
        <f>IP!E60</f>
        <v>8</v>
      </c>
    </row>
    <row r="71" spans="1:23" ht="15.75" customHeight="1">
      <c r="A71" s="103">
        <f>Theory!A61</f>
        <v>56</v>
      </c>
      <c r="B71" s="103" t="str">
        <f>Theory!B61</f>
        <v>7376231EE157</v>
      </c>
      <c r="C71" s="105"/>
      <c r="D71" s="105"/>
      <c r="E71" s="120"/>
      <c r="F71" s="123">
        <v>8</v>
      </c>
      <c r="G71" s="124"/>
      <c r="H71" s="108"/>
      <c r="I71" s="108"/>
      <c r="J71" s="108"/>
      <c r="K71" s="108">
        <v>8</v>
      </c>
      <c r="L71" s="67"/>
      <c r="M71" s="125"/>
      <c r="N71" s="125" t="str">
        <f t="shared" ref="N71:Q71" si="58">IF(D71="","",I71*100/D71)</f>
        <v/>
      </c>
      <c r="O71" s="125" t="str">
        <f t="shared" si="58"/>
        <v/>
      </c>
      <c r="P71" s="125">
        <f t="shared" si="58"/>
        <v>100</v>
      </c>
      <c r="Q71" s="125" t="str">
        <f t="shared" si="58"/>
        <v/>
      </c>
      <c r="R71" s="115"/>
      <c r="S71" s="115"/>
      <c r="T71" s="115"/>
      <c r="U71" s="115"/>
      <c r="V71" s="115"/>
      <c r="W71" s="122">
        <f>IP!E61</f>
        <v>8</v>
      </c>
    </row>
    <row r="72" spans="1:23" ht="15.75" customHeight="1">
      <c r="A72" s="103">
        <f>Theory!A62</f>
        <v>57</v>
      </c>
      <c r="B72" s="103" t="str">
        <f>Theory!B62</f>
        <v>7376231EE158</v>
      </c>
      <c r="C72" s="105"/>
      <c r="D72" s="105"/>
      <c r="E72" s="120"/>
      <c r="F72" s="123">
        <v>8</v>
      </c>
      <c r="G72" s="124"/>
      <c r="H72" s="108"/>
      <c r="I72" s="108"/>
      <c r="J72" s="108"/>
      <c r="K72" s="108">
        <v>6</v>
      </c>
      <c r="L72" s="67"/>
      <c r="M72" s="125"/>
      <c r="N72" s="125" t="str">
        <f t="shared" ref="N72:Q72" si="59">IF(D72="","",I72*100/D72)</f>
        <v/>
      </c>
      <c r="O72" s="125" t="str">
        <f t="shared" si="59"/>
        <v/>
      </c>
      <c r="P72" s="125">
        <f t="shared" si="59"/>
        <v>75</v>
      </c>
      <c r="Q72" s="125" t="str">
        <f t="shared" si="59"/>
        <v/>
      </c>
      <c r="R72" s="115"/>
      <c r="S72" s="115"/>
      <c r="T72" s="115"/>
      <c r="U72" s="115"/>
      <c r="V72" s="115"/>
      <c r="W72" s="122">
        <f>IP!E62</f>
        <v>6</v>
      </c>
    </row>
    <row r="73" spans="1:23" ht="15.75" customHeight="1">
      <c r="A73" s="103">
        <f>Theory!A63</f>
        <v>58</v>
      </c>
      <c r="B73" s="103" t="str">
        <f>Theory!B63</f>
        <v>7376231EE159</v>
      </c>
      <c r="C73" s="105"/>
      <c r="D73" s="105"/>
      <c r="E73" s="120"/>
      <c r="F73" s="123">
        <v>8</v>
      </c>
      <c r="G73" s="124"/>
      <c r="H73" s="108"/>
      <c r="I73" s="108"/>
      <c r="J73" s="108"/>
      <c r="K73" s="108">
        <v>5</v>
      </c>
      <c r="L73" s="67"/>
      <c r="M73" s="125"/>
      <c r="N73" s="125" t="str">
        <f t="shared" ref="N73:Q73" si="60">IF(D73="","",I73*100/D73)</f>
        <v/>
      </c>
      <c r="O73" s="125" t="str">
        <f t="shared" si="60"/>
        <v/>
      </c>
      <c r="P73" s="125">
        <f t="shared" si="60"/>
        <v>62.5</v>
      </c>
      <c r="Q73" s="125" t="str">
        <f t="shared" si="60"/>
        <v/>
      </c>
      <c r="R73" s="115"/>
      <c r="S73" s="115"/>
      <c r="T73" s="115"/>
      <c r="U73" s="115"/>
      <c r="V73" s="115"/>
      <c r="W73" s="122">
        <f>IP!E63</f>
        <v>5</v>
      </c>
    </row>
    <row r="74" spans="1:23" ht="15.75" customHeight="1">
      <c r="A74" s="103">
        <f>Theory!A64</f>
        <v>59</v>
      </c>
      <c r="B74" s="103" t="str">
        <f>Theory!B64</f>
        <v>7376231EE160</v>
      </c>
      <c r="C74" s="105"/>
      <c r="D74" s="105"/>
      <c r="E74" s="120"/>
      <c r="F74" s="123">
        <v>8</v>
      </c>
      <c r="G74" s="124"/>
      <c r="H74" s="108"/>
      <c r="I74" s="108"/>
      <c r="J74" s="108"/>
      <c r="K74" s="108">
        <v>5</v>
      </c>
      <c r="L74" s="67"/>
      <c r="M74" s="125"/>
      <c r="N74" s="125" t="str">
        <f t="shared" ref="N74:Q74" si="61">IF(D74="","",I74*100/D74)</f>
        <v/>
      </c>
      <c r="O74" s="125" t="str">
        <f t="shared" si="61"/>
        <v/>
      </c>
      <c r="P74" s="125">
        <f t="shared" si="61"/>
        <v>62.5</v>
      </c>
      <c r="Q74" s="125" t="str">
        <f t="shared" si="61"/>
        <v/>
      </c>
      <c r="R74" s="115"/>
      <c r="S74" s="115"/>
      <c r="T74" s="115"/>
      <c r="U74" s="115"/>
      <c r="V74" s="115"/>
      <c r="W74" s="122">
        <f>IP!E64</f>
        <v>5</v>
      </c>
    </row>
    <row r="75" spans="1:23" ht="15.75" customHeight="1">
      <c r="A75" s="103">
        <f>Theory!A65</f>
        <v>60</v>
      </c>
      <c r="B75" s="103" t="str">
        <f>Theory!B65</f>
        <v>7376231EE161</v>
      </c>
      <c r="C75" s="105"/>
      <c r="D75" s="105"/>
      <c r="E75" s="120"/>
      <c r="F75" s="123">
        <v>8</v>
      </c>
      <c r="G75" s="124"/>
      <c r="H75" s="108"/>
      <c r="I75" s="108"/>
      <c r="J75" s="108"/>
      <c r="K75" s="108">
        <v>7</v>
      </c>
      <c r="L75" s="67"/>
      <c r="M75" s="125"/>
      <c r="N75" s="125" t="str">
        <f t="shared" ref="N75:Q75" si="62">IF(D75="","",I75*100/D75)</f>
        <v/>
      </c>
      <c r="O75" s="125" t="str">
        <f t="shared" si="62"/>
        <v/>
      </c>
      <c r="P75" s="125">
        <f t="shared" si="62"/>
        <v>87.5</v>
      </c>
      <c r="Q75" s="125" t="str">
        <f t="shared" si="62"/>
        <v/>
      </c>
      <c r="R75" s="115"/>
      <c r="S75" s="115"/>
      <c r="T75" s="115"/>
      <c r="U75" s="115"/>
      <c r="V75" s="115"/>
      <c r="W75" s="122">
        <f>IP!E65</f>
        <v>7</v>
      </c>
    </row>
    <row r="76" spans="1:23" ht="15.75" customHeight="1">
      <c r="A76" s="103">
        <f>Theory!A66</f>
        <v>61</v>
      </c>
      <c r="B76" s="103" t="str">
        <f>Theory!B66</f>
        <v>7376241EE501</v>
      </c>
      <c r="C76" s="105"/>
      <c r="D76" s="105"/>
      <c r="E76" s="120"/>
      <c r="F76" s="123">
        <v>8</v>
      </c>
      <c r="G76" s="124"/>
      <c r="H76" s="108"/>
      <c r="I76" s="108"/>
      <c r="J76" s="108"/>
      <c r="K76" s="108">
        <v>6</v>
      </c>
      <c r="L76" s="67"/>
      <c r="M76" s="125"/>
      <c r="N76" s="125" t="str">
        <f t="shared" ref="N76:Q76" si="63">IF(D76="","",I76*100/D76)</f>
        <v/>
      </c>
      <c r="O76" s="125" t="str">
        <f t="shared" si="63"/>
        <v/>
      </c>
      <c r="P76" s="125">
        <f t="shared" si="63"/>
        <v>75</v>
      </c>
      <c r="Q76" s="125" t="str">
        <f t="shared" si="63"/>
        <v/>
      </c>
      <c r="R76" s="115"/>
      <c r="S76" s="115"/>
      <c r="T76" s="115"/>
      <c r="U76" s="115"/>
      <c r="V76" s="115"/>
      <c r="W76" s="122">
        <f>IP!E66</f>
        <v>6</v>
      </c>
    </row>
    <row r="77" spans="1:23" ht="15.75" customHeight="1">
      <c r="A77" s="103">
        <f>Theory!A67</f>
        <v>62</v>
      </c>
      <c r="B77" s="103" t="str">
        <f>Theory!B67</f>
        <v>7376241EE502</v>
      </c>
      <c r="C77" s="105"/>
      <c r="D77" s="105"/>
      <c r="E77" s="120"/>
      <c r="F77" s="123">
        <v>8</v>
      </c>
      <c r="G77" s="124"/>
      <c r="H77" s="108"/>
      <c r="I77" s="108"/>
      <c r="J77" s="108"/>
      <c r="K77" s="108">
        <v>3</v>
      </c>
      <c r="L77" s="67"/>
      <c r="M77" s="125"/>
      <c r="N77" s="125" t="str">
        <f t="shared" ref="N77:Q77" si="64">IF(D77="","",I77*100/D77)</f>
        <v/>
      </c>
      <c r="O77" s="125" t="str">
        <f t="shared" si="64"/>
        <v/>
      </c>
      <c r="P77" s="125">
        <f t="shared" si="64"/>
        <v>37.5</v>
      </c>
      <c r="Q77" s="125" t="str">
        <f t="shared" si="64"/>
        <v/>
      </c>
      <c r="R77" s="115"/>
      <c r="S77" s="115"/>
      <c r="T77" s="115"/>
      <c r="U77" s="115"/>
      <c r="V77" s="115"/>
      <c r="W77" s="122">
        <f>IP!E67</f>
        <v>3</v>
      </c>
    </row>
    <row r="78" spans="1:23" ht="15.75" customHeight="1">
      <c r="A78" s="103">
        <f>Theory!A68</f>
        <v>63</v>
      </c>
      <c r="B78" s="103" t="str">
        <f>Theory!B68</f>
        <v>7376241EE503</v>
      </c>
      <c r="C78" s="105"/>
      <c r="D78" s="105"/>
      <c r="E78" s="120"/>
      <c r="F78" s="123">
        <v>8</v>
      </c>
      <c r="G78" s="124"/>
      <c r="H78" s="108"/>
      <c r="I78" s="108"/>
      <c r="J78" s="108"/>
      <c r="K78" s="108">
        <v>4</v>
      </c>
      <c r="L78" s="67"/>
      <c r="M78" s="125"/>
      <c r="N78" s="125" t="str">
        <f t="shared" ref="N78:Q78" si="65">IF(D78="","",I78*100/D78)</f>
        <v/>
      </c>
      <c r="O78" s="125" t="str">
        <f t="shared" si="65"/>
        <v/>
      </c>
      <c r="P78" s="125">
        <f t="shared" si="65"/>
        <v>50</v>
      </c>
      <c r="Q78" s="125" t="str">
        <f t="shared" si="65"/>
        <v/>
      </c>
      <c r="R78" s="115"/>
      <c r="S78" s="115"/>
      <c r="T78" s="115"/>
      <c r="U78" s="115"/>
      <c r="V78" s="115"/>
      <c r="W78" s="122">
        <f>IP!E68</f>
        <v>4</v>
      </c>
    </row>
    <row r="79" spans="1:23" ht="15.75" customHeight="1">
      <c r="A79" s="103">
        <f>Theory!A69</f>
        <v>64</v>
      </c>
      <c r="B79" s="103" t="str">
        <f>Theory!B69</f>
        <v>7376241EE504</v>
      </c>
      <c r="C79" s="105"/>
      <c r="D79" s="105"/>
      <c r="E79" s="120"/>
      <c r="F79" s="123">
        <v>8</v>
      </c>
      <c r="G79" s="124"/>
      <c r="H79" s="108"/>
      <c r="I79" s="108"/>
      <c r="J79" s="108"/>
      <c r="K79" s="108">
        <v>6</v>
      </c>
      <c r="L79" s="67"/>
      <c r="M79" s="125"/>
      <c r="N79" s="125" t="str">
        <f t="shared" ref="N79:Q79" si="66">IF(D79="","",I79*100/D79)</f>
        <v/>
      </c>
      <c r="O79" s="125" t="str">
        <f t="shared" si="66"/>
        <v/>
      </c>
      <c r="P79" s="125">
        <f t="shared" si="66"/>
        <v>75</v>
      </c>
      <c r="Q79" s="125" t="str">
        <f t="shared" si="66"/>
        <v/>
      </c>
      <c r="R79" s="115"/>
      <c r="S79" s="115"/>
      <c r="T79" s="115"/>
      <c r="U79" s="115"/>
      <c r="V79" s="115"/>
      <c r="W79" s="122">
        <f>IP!E69</f>
        <v>6</v>
      </c>
    </row>
    <row r="80" spans="1:23" ht="15.75" customHeight="1">
      <c r="A80" s="103">
        <f>Theory!A70</f>
        <v>65</v>
      </c>
      <c r="B80" s="103" t="str">
        <f>Theory!B70</f>
        <v>7376241EE505</v>
      </c>
      <c r="C80" s="105"/>
      <c r="D80" s="105"/>
      <c r="E80" s="120"/>
      <c r="F80" s="123">
        <v>8</v>
      </c>
      <c r="G80" s="124"/>
      <c r="H80" s="108"/>
      <c r="I80" s="108"/>
      <c r="J80" s="108"/>
      <c r="K80" s="108">
        <v>5</v>
      </c>
      <c r="L80" s="67"/>
      <c r="M80" s="125"/>
      <c r="N80" s="125" t="str">
        <f t="shared" ref="N80:Q80" si="67">IF(D80="","",I80*100/D80)</f>
        <v/>
      </c>
      <c r="O80" s="125" t="str">
        <f t="shared" si="67"/>
        <v/>
      </c>
      <c r="P80" s="125">
        <f t="shared" si="67"/>
        <v>62.5</v>
      </c>
      <c r="Q80" s="125" t="str">
        <f t="shared" si="67"/>
        <v/>
      </c>
      <c r="R80" s="115"/>
      <c r="S80" s="115"/>
      <c r="T80" s="115"/>
      <c r="U80" s="115"/>
      <c r="V80" s="115"/>
      <c r="W80" s="122">
        <f>IP!E70</f>
        <v>5</v>
      </c>
    </row>
    <row r="81" spans="1:23" ht="15.75" customHeight="1">
      <c r="A81" s="103">
        <f>Theory!A71</f>
        <v>66</v>
      </c>
      <c r="B81" s="103" t="str">
        <f>Theory!B71</f>
        <v>7376241EE506</v>
      </c>
      <c r="C81" s="105"/>
      <c r="D81" s="105"/>
      <c r="E81" s="120"/>
      <c r="F81" s="123">
        <v>8</v>
      </c>
      <c r="G81" s="124"/>
      <c r="H81" s="108"/>
      <c r="I81" s="108"/>
      <c r="J81" s="108"/>
      <c r="K81" s="108">
        <v>7</v>
      </c>
      <c r="L81" s="67"/>
      <c r="M81" s="125"/>
      <c r="N81" s="125" t="str">
        <f t="shared" ref="N81:Q81" si="68">IF(D81="","",I81*100/D81)</f>
        <v/>
      </c>
      <c r="O81" s="125" t="str">
        <f t="shared" si="68"/>
        <v/>
      </c>
      <c r="P81" s="125">
        <f t="shared" si="68"/>
        <v>87.5</v>
      </c>
      <c r="Q81" s="125" t="str">
        <f t="shared" si="68"/>
        <v/>
      </c>
      <c r="R81" s="115"/>
      <c r="S81" s="115"/>
      <c r="T81" s="115"/>
      <c r="U81" s="115"/>
      <c r="V81" s="115"/>
      <c r="W81" s="122">
        <f>IP!E71</f>
        <v>7</v>
      </c>
    </row>
    <row r="82" spans="1:23" ht="15.75" hidden="1" customHeight="1">
      <c r="A82" s="103"/>
      <c r="B82" s="103"/>
      <c r="C82" s="105"/>
      <c r="D82" s="105"/>
      <c r="E82" s="105"/>
      <c r="F82" s="124"/>
      <c r="G82" s="124"/>
      <c r="H82" s="108"/>
      <c r="I82" s="108"/>
      <c r="J82" s="108"/>
      <c r="K82" s="108"/>
      <c r="L82" s="67"/>
      <c r="M82" s="125"/>
      <c r="N82" s="125"/>
      <c r="O82" s="125"/>
      <c r="P82" s="125"/>
      <c r="Q82" s="125"/>
      <c r="R82" s="115"/>
      <c r="S82" s="115"/>
      <c r="T82" s="115"/>
      <c r="U82" s="115"/>
      <c r="V82" s="115"/>
      <c r="W82" s="122"/>
    </row>
    <row r="83" spans="1:23" ht="15.75" hidden="1" customHeight="1">
      <c r="A83" s="103"/>
      <c r="B83" s="103"/>
      <c r="C83" s="105"/>
      <c r="D83" s="105"/>
      <c r="E83" s="105"/>
      <c r="F83" s="124"/>
      <c r="G83" s="124"/>
      <c r="H83" s="108"/>
      <c r="I83" s="108"/>
      <c r="J83" s="108"/>
      <c r="K83" s="108"/>
      <c r="L83" s="67"/>
      <c r="M83" s="125"/>
      <c r="N83" s="125"/>
      <c r="O83" s="125"/>
      <c r="P83" s="125"/>
      <c r="Q83" s="125"/>
      <c r="R83" s="115"/>
      <c r="S83" s="115"/>
      <c r="T83" s="115"/>
      <c r="U83" s="115"/>
      <c r="V83" s="115"/>
      <c r="W83" s="122"/>
    </row>
    <row r="84" spans="1:23" ht="15.75" hidden="1" customHeight="1">
      <c r="A84" s="103"/>
      <c r="B84" s="103"/>
      <c r="C84" s="105"/>
      <c r="D84" s="105"/>
      <c r="E84" s="105"/>
      <c r="F84" s="124"/>
      <c r="G84" s="124"/>
      <c r="H84" s="108"/>
      <c r="I84" s="108"/>
      <c r="J84" s="108"/>
      <c r="K84" s="108"/>
      <c r="L84" s="67"/>
      <c r="M84" s="125"/>
      <c r="N84" s="125"/>
      <c r="O84" s="125"/>
      <c r="P84" s="125"/>
      <c r="Q84" s="125"/>
      <c r="R84" s="115"/>
      <c r="S84" s="115"/>
      <c r="T84" s="115"/>
      <c r="U84" s="115"/>
      <c r="V84" s="115"/>
      <c r="W84" s="122"/>
    </row>
    <row r="85" spans="1:23" ht="15.75" hidden="1" customHeight="1">
      <c r="A85" s="103"/>
      <c r="B85" s="103"/>
      <c r="C85" s="105"/>
      <c r="D85" s="105"/>
      <c r="E85" s="105"/>
      <c r="F85" s="124"/>
      <c r="G85" s="124"/>
      <c r="H85" s="108"/>
      <c r="I85" s="108"/>
      <c r="J85" s="108"/>
      <c r="K85" s="108"/>
      <c r="L85" s="67"/>
      <c r="M85" s="125"/>
      <c r="N85" s="125"/>
      <c r="O85" s="125"/>
      <c r="P85" s="125"/>
      <c r="Q85" s="125"/>
      <c r="R85" s="115"/>
      <c r="S85" s="115"/>
      <c r="T85" s="115"/>
      <c r="U85" s="115"/>
      <c r="V85" s="115"/>
      <c r="W85" s="122"/>
    </row>
    <row r="86" spans="1:23" ht="15.75" hidden="1" customHeight="1">
      <c r="A86" s="103"/>
      <c r="B86" s="103"/>
      <c r="C86" s="105"/>
      <c r="D86" s="105"/>
      <c r="E86" s="105"/>
      <c r="F86" s="124"/>
      <c r="G86" s="124"/>
      <c r="H86" s="108"/>
      <c r="I86" s="108"/>
      <c r="J86" s="108"/>
      <c r="K86" s="108"/>
      <c r="L86" s="67"/>
      <c r="M86" s="125"/>
      <c r="N86" s="125"/>
      <c r="O86" s="125"/>
      <c r="P86" s="125"/>
      <c r="Q86" s="125"/>
      <c r="R86" s="115"/>
      <c r="S86" s="115"/>
      <c r="T86" s="115"/>
      <c r="U86" s="115"/>
      <c r="V86" s="115"/>
      <c r="W86" s="122"/>
    </row>
    <row r="87" spans="1:23" ht="15.75" hidden="1" customHeight="1">
      <c r="A87" s="103"/>
      <c r="B87" s="103"/>
      <c r="C87" s="105"/>
      <c r="D87" s="105"/>
      <c r="E87" s="105"/>
      <c r="F87" s="124"/>
      <c r="G87" s="124"/>
      <c r="H87" s="108"/>
      <c r="I87" s="108"/>
      <c r="J87" s="108"/>
      <c r="K87" s="108"/>
      <c r="L87" s="67"/>
      <c r="M87" s="125"/>
      <c r="N87" s="125"/>
      <c r="O87" s="125"/>
      <c r="P87" s="125"/>
      <c r="Q87" s="125"/>
      <c r="R87" s="115"/>
      <c r="S87" s="115"/>
      <c r="T87" s="115"/>
      <c r="U87" s="115"/>
      <c r="V87" s="115"/>
      <c r="W87" s="122"/>
    </row>
    <row r="88" spans="1:23" ht="15.75" hidden="1" customHeight="1">
      <c r="A88" s="103"/>
      <c r="B88" s="103"/>
      <c r="C88" s="105"/>
      <c r="D88" s="105"/>
      <c r="E88" s="105"/>
      <c r="F88" s="124"/>
      <c r="G88" s="124"/>
      <c r="H88" s="108"/>
      <c r="I88" s="108"/>
      <c r="J88" s="108"/>
      <c r="K88" s="108"/>
      <c r="L88" s="67"/>
      <c r="M88" s="125"/>
      <c r="N88" s="125"/>
      <c r="O88" s="125"/>
      <c r="P88" s="125"/>
      <c r="Q88" s="125"/>
      <c r="R88" s="115"/>
      <c r="S88" s="115"/>
      <c r="T88" s="115"/>
      <c r="U88" s="115"/>
      <c r="V88" s="115"/>
      <c r="W88" s="122"/>
    </row>
    <row r="89" spans="1:23" ht="15.75" hidden="1" customHeight="1">
      <c r="A89" s="103"/>
      <c r="B89" s="103"/>
      <c r="C89" s="105"/>
      <c r="D89" s="105"/>
      <c r="E89" s="105"/>
      <c r="F89" s="124"/>
      <c r="G89" s="124"/>
      <c r="H89" s="108"/>
      <c r="I89" s="108"/>
      <c r="J89" s="108"/>
      <c r="K89" s="108"/>
      <c r="L89" s="67"/>
      <c r="M89" s="125"/>
      <c r="N89" s="125"/>
      <c r="O89" s="125"/>
      <c r="P89" s="125"/>
      <c r="Q89" s="125"/>
      <c r="R89" s="115"/>
      <c r="S89" s="115"/>
      <c r="T89" s="115"/>
      <c r="U89" s="115"/>
      <c r="V89" s="115"/>
      <c r="W89" s="122"/>
    </row>
    <row r="90" spans="1:23" ht="15.75" hidden="1" customHeight="1">
      <c r="A90" s="103"/>
      <c r="B90" s="103"/>
      <c r="C90" s="105"/>
      <c r="D90" s="105"/>
      <c r="E90" s="105"/>
      <c r="F90" s="124"/>
      <c r="G90" s="124"/>
      <c r="H90" s="108"/>
      <c r="I90" s="108"/>
      <c r="J90" s="108"/>
      <c r="K90" s="108"/>
      <c r="L90" s="67"/>
      <c r="M90" s="125"/>
      <c r="N90" s="125"/>
      <c r="O90" s="125"/>
      <c r="P90" s="125"/>
      <c r="Q90" s="125"/>
      <c r="R90" s="115"/>
      <c r="S90" s="115"/>
      <c r="T90" s="115"/>
      <c r="U90" s="115"/>
      <c r="V90" s="115"/>
      <c r="W90" s="122"/>
    </row>
    <row r="91" spans="1:23" ht="15.75" hidden="1" customHeight="1">
      <c r="A91" s="103"/>
      <c r="B91" s="103"/>
      <c r="C91" s="105"/>
      <c r="D91" s="105"/>
      <c r="E91" s="105"/>
      <c r="F91" s="124"/>
      <c r="G91" s="124"/>
      <c r="H91" s="108"/>
      <c r="I91" s="108"/>
      <c r="J91" s="108"/>
      <c r="K91" s="108"/>
      <c r="L91" s="67"/>
      <c r="M91" s="125"/>
      <c r="N91" s="125"/>
      <c r="O91" s="125"/>
      <c r="P91" s="125"/>
      <c r="Q91" s="125"/>
      <c r="R91" s="115"/>
      <c r="S91" s="115"/>
      <c r="T91" s="115"/>
      <c r="U91" s="115"/>
      <c r="V91" s="115"/>
      <c r="W91" s="122"/>
    </row>
    <row r="92" spans="1:23" ht="15.75" hidden="1" customHeight="1">
      <c r="A92" s="103"/>
      <c r="B92" s="103"/>
      <c r="C92" s="105"/>
      <c r="D92" s="105"/>
      <c r="E92" s="105"/>
      <c r="F92" s="124"/>
      <c r="G92" s="124"/>
      <c r="H92" s="108"/>
      <c r="I92" s="108"/>
      <c r="J92" s="108"/>
      <c r="K92" s="108"/>
      <c r="L92" s="67"/>
      <c r="M92" s="125"/>
      <c r="N92" s="125"/>
      <c r="O92" s="125"/>
      <c r="P92" s="125"/>
      <c r="Q92" s="125"/>
      <c r="R92" s="115"/>
      <c r="S92" s="115"/>
      <c r="T92" s="115"/>
      <c r="U92" s="115"/>
      <c r="V92" s="115"/>
      <c r="W92" s="122"/>
    </row>
    <row r="93" spans="1:23" ht="15.75" hidden="1" customHeight="1">
      <c r="A93" s="103"/>
      <c r="B93" s="103"/>
      <c r="C93" s="105"/>
      <c r="D93" s="105"/>
      <c r="E93" s="105"/>
      <c r="F93" s="124"/>
      <c r="G93" s="124"/>
      <c r="H93" s="108"/>
      <c r="I93" s="108"/>
      <c r="J93" s="108"/>
      <c r="K93" s="108"/>
      <c r="L93" s="67"/>
      <c r="M93" s="125"/>
      <c r="N93" s="125"/>
      <c r="O93" s="125"/>
      <c r="P93" s="125"/>
      <c r="Q93" s="125"/>
      <c r="R93" s="115"/>
      <c r="S93" s="115"/>
      <c r="T93" s="115"/>
      <c r="U93" s="115"/>
      <c r="V93" s="115"/>
      <c r="W93" s="122"/>
    </row>
    <row r="94" spans="1:23" ht="15.75" hidden="1" customHeight="1">
      <c r="A94" s="103"/>
      <c r="B94" s="103"/>
      <c r="C94" s="105"/>
      <c r="D94" s="105"/>
      <c r="E94" s="105"/>
      <c r="F94" s="124"/>
      <c r="G94" s="124"/>
      <c r="H94" s="108"/>
      <c r="I94" s="108"/>
      <c r="J94" s="108"/>
      <c r="K94" s="108"/>
      <c r="L94" s="67"/>
      <c r="M94" s="125"/>
      <c r="N94" s="125"/>
      <c r="O94" s="125"/>
      <c r="P94" s="125"/>
      <c r="Q94" s="125"/>
      <c r="R94" s="115"/>
      <c r="S94" s="115"/>
      <c r="T94" s="115"/>
      <c r="U94" s="115"/>
      <c r="V94" s="115"/>
      <c r="W94" s="122"/>
    </row>
    <row r="95" spans="1:23" ht="15.75" hidden="1" customHeight="1">
      <c r="A95" s="103"/>
      <c r="B95" s="103"/>
      <c r="C95" s="105"/>
      <c r="D95" s="105"/>
      <c r="E95" s="105"/>
      <c r="F95" s="124"/>
      <c r="G95" s="124"/>
      <c r="H95" s="108"/>
      <c r="I95" s="108"/>
      <c r="J95" s="108"/>
      <c r="K95" s="108"/>
      <c r="L95" s="67"/>
      <c r="M95" s="125"/>
      <c r="N95" s="125"/>
      <c r="O95" s="125"/>
      <c r="P95" s="125"/>
      <c r="Q95" s="125"/>
      <c r="R95" s="115"/>
      <c r="S95" s="115"/>
      <c r="T95" s="115"/>
      <c r="U95" s="115"/>
      <c r="V95" s="115"/>
      <c r="W95" s="122"/>
    </row>
    <row r="96" spans="1:23" ht="15.75" hidden="1" customHeight="1">
      <c r="A96" s="103"/>
      <c r="B96" s="103"/>
      <c r="C96" s="105"/>
      <c r="D96" s="105"/>
      <c r="E96" s="105"/>
      <c r="F96" s="124"/>
      <c r="G96" s="124"/>
      <c r="H96" s="108"/>
      <c r="I96" s="108"/>
      <c r="J96" s="108"/>
      <c r="K96" s="108"/>
      <c r="L96" s="67"/>
      <c r="M96" s="125"/>
      <c r="N96" s="125"/>
      <c r="O96" s="125"/>
      <c r="P96" s="125"/>
      <c r="Q96" s="125"/>
      <c r="R96" s="115"/>
      <c r="S96" s="115"/>
      <c r="T96" s="115"/>
      <c r="U96" s="115"/>
      <c r="V96" s="115"/>
      <c r="W96" s="122"/>
    </row>
    <row r="97" spans="1:23" ht="15.75" hidden="1" customHeight="1">
      <c r="A97" s="103"/>
      <c r="B97" s="103"/>
      <c r="C97" s="105"/>
      <c r="D97" s="105"/>
      <c r="E97" s="105"/>
      <c r="F97" s="124"/>
      <c r="G97" s="124"/>
      <c r="H97" s="108"/>
      <c r="I97" s="108"/>
      <c r="J97" s="108"/>
      <c r="K97" s="108"/>
      <c r="L97" s="67"/>
      <c r="M97" s="125"/>
      <c r="N97" s="125"/>
      <c r="O97" s="125"/>
      <c r="P97" s="125"/>
      <c r="Q97" s="125"/>
      <c r="R97" s="115"/>
      <c r="S97" s="115"/>
      <c r="T97" s="115"/>
      <c r="U97" s="115"/>
      <c r="V97" s="115"/>
      <c r="W97" s="122"/>
    </row>
    <row r="98" spans="1:23" ht="15.75" hidden="1" customHeight="1">
      <c r="A98" s="103"/>
      <c r="B98" s="103"/>
      <c r="C98" s="105"/>
      <c r="D98" s="105"/>
      <c r="E98" s="105"/>
      <c r="F98" s="124"/>
      <c r="G98" s="124"/>
      <c r="H98" s="108"/>
      <c r="I98" s="108"/>
      <c r="J98" s="108"/>
      <c r="K98" s="108"/>
      <c r="L98" s="67"/>
      <c r="M98" s="125"/>
      <c r="N98" s="125"/>
      <c r="O98" s="125"/>
      <c r="P98" s="125"/>
      <c r="Q98" s="125"/>
      <c r="R98" s="115"/>
      <c r="S98" s="115"/>
      <c r="T98" s="115"/>
      <c r="U98" s="115"/>
      <c r="V98" s="115"/>
      <c r="W98" s="122"/>
    </row>
    <row r="99" spans="1:23" ht="15.75" hidden="1" customHeight="1">
      <c r="A99" s="103"/>
      <c r="B99" s="103"/>
      <c r="C99" s="105"/>
      <c r="D99" s="105"/>
      <c r="E99" s="105"/>
      <c r="F99" s="124"/>
      <c r="G99" s="124"/>
      <c r="H99" s="108"/>
      <c r="I99" s="108"/>
      <c r="J99" s="108"/>
      <c r="K99" s="108"/>
      <c r="L99" s="67"/>
      <c r="M99" s="125"/>
      <c r="N99" s="125"/>
      <c r="O99" s="125"/>
      <c r="P99" s="125"/>
      <c r="Q99" s="125"/>
      <c r="R99" s="115"/>
      <c r="S99" s="115"/>
      <c r="T99" s="115"/>
      <c r="U99" s="115"/>
      <c r="V99" s="115"/>
      <c r="W99" s="122"/>
    </row>
    <row r="100" spans="1:23" ht="15.75" hidden="1" customHeight="1">
      <c r="A100" s="103"/>
      <c r="B100" s="103"/>
      <c r="C100" s="105"/>
      <c r="D100" s="105"/>
      <c r="E100" s="105"/>
      <c r="F100" s="124"/>
      <c r="G100" s="124"/>
      <c r="H100" s="108"/>
      <c r="I100" s="108"/>
      <c r="J100" s="108"/>
      <c r="K100" s="108"/>
      <c r="L100" s="67"/>
      <c r="M100" s="125"/>
      <c r="N100" s="125"/>
      <c r="O100" s="125"/>
      <c r="P100" s="125"/>
      <c r="Q100" s="125"/>
      <c r="R100" s="115"/>
      <c r="S100" s="115"/>
      <c r="T100" s="115"/>
      <c r="U100" s="115"/>
      <c r="V100" s="115"/>
      <c r="W100" s="122"/>
    </row>
    <row r="101" spans="1:23" ht="15.75" hidden="1" customHeight="1">
      <c r="A101" s="103"/>
      <c r="B101" s="103"/>
      <c r="C101" s="105"/>
      <c r="D101" s="105"/>
      <c r="E101" s="105"/>
      <c r="F101" s="124"/>
      <c r="G101" s="124"/>
      <c r="H101" s="108"/>
      <c r="I101" s="108"/>
      <c r="J101" s="108"/>
      <c r="K101" s="108"/>
      <c r="L101" s="67"/>
      <c r="M101" s="125"/>
      <c r="N101" s="125"/>
      <c r="O101" s="125"/>
      <c r="P101" s="125"/>
      <c r="Q101" s="125"/>
      <c r="R101" s="115"/>
      <c r="S101" s="115"/>
      <c r="T101" s="115"/>
      <c r="U101" s="115"/>
      <c r="V101" s="115"/>
      <c r="W101" s="122"/>
    </row>
    <row r="102" spans="1:23" ht="15.75" hidden="1" customHeight="1">
      <c r="A102" s="103"/>
      <c r="B102" s="103"/>
      <c r="C102" s="105"/>
      <c r="D102" s="105"/>
      <c r="E102" s="105"/>
      <c r="F102" s="124"/>
      <c r="G102" s="124"/>
      <c r="H102" s="108"/>
      <c r="I102" s="108"/>
      <c r="J102" s="108"/>
      <c r="K102" s="108"/>
      <c r="L102" s="67"/>
      <c r="M102" s="125"/>
      <c r="N102" s="125"/>
      <c r="O102" s="125"/>
      <c r="P102" s="125"/>
      <c r="Q102" s="125"/>
      <c r="R102" s="115"/>
      <c r="S102" s="115"/>
      <c r="T102" s="115"/>
      <c r="U102" s="115"/>
      <c r="V102" s="115"/>
      <c r="W102" s="122"/>
    </row>
    <row r="103" spans="1:23" ht="15.75" hidden="1" customHeight="1">
      <c r="A103" s="103"/>
      <c r="B103" s="103"/>
      <c r="C103" s="105"/>
      <c r="D103" s="105"/>
      <c r="E103" s="105"/>
      <c r="F103" s="124"/>
      <c r="G103" s="124"/>
      <c r="H103" s="108"/>
      <c r="I103" s="108"/>
      <c r="J103" s="108"/>
      <c r="K103" s="108"/>
      <c r="L103" s="67"/>
      <c r="M103" s="125"/>
      <c r="N103" s="125"/>
      <c r="O103" s="125"/>
      <c r="P103" s="125"/>
      <c r="Q103" s="125"/>
      <c r="R103" s="115"/>
      <c r="S103" s="115"/>
      <c r="T103" s="115"/>
      <c r="U103" s="115"/>
      <c r="V103" s="115"/>
      <c r="W103" s="122"/>
    </row>
    <row r="104" spans="1:23" ht="15.75" hidden="1" customHeight="1">
      <c r="A104" s="103"/>
      <c r="B104" s="103"/>
      <c r="C104" s="105"/>
      <c r="D104" s="105"/>
      <c r="E104" s="105"/>
      <c r="F104" s="124"/>
      <c r="G104" s="124"/>
      <c r="H104" s="108"/>
      <c r="I104" s="108"/>
      <c r="J104" s="108"/>
      <c r="K104" s="108"/>
      <c r="L104" s="67"/>
      <c r="M104" s="125"/>
      <c r="N104" s="125"/>
      <c r="O104" s="125"/>
      <c r="P104" s="125"/>
      <c r="Q104" s="125"/>
      <c r="R104" s="115"/>
      <c r="S104" s="115"/>
      <c r="T104" s="115"/>
      <c r="U104" s="115"/>
      <c r="V104" s="115"/>
      <c r="W104" s="122"/>
    </row>
    <row r="105" spans="1:23" ht="15.75" hidden="1" customHeight="1">
      <c r="A105" s="103"/>
      <c r="B105" s="103"/>
      <c r="C105" s="105"/>
      <c r="D105" s="105"/>
      <c r="E105" s="105"/>
      <c r="F105" s="124"/>
      <c r="G105" s="124"/>
      <c r="H105" s="108"/>
      <c r="I105" s="108"/>
      <c r="J105" s="108"/>
      <c r="K105" s="108"/>
      <c r="L105" s="67"/>
      <c r="M105" s="125"/>
      <c r="N105" s="125"/>
      <c r="O105" s="125"/>
      <c r="P105" s="125"/>
      <c r="Q105" s="125"/>
      <c r="R105" s="115"/>
      <c r="S105" s="115"/>
      <c r="T105" s="115"/>
      <c r="U105" s="115"/>
      <c r="V105" s="115"/>
      <c r="W105" s="122"/>
    </row>
    <row r="106" spans="1:23" ht="15.75" hidden="1" customHeight="1">
      <c r="A106" s="103"/>
      <c r="B106" s="103"/>
      <c r="C106" s="105"/>
      <c r="D106" s="105"/>
      <c r="E106" s="105"/>
      <c r="F106" s="124"/>
      <c r="G106" s="124"/>
      <c r="H106" s="108"/>
      <c r="I106" s="108"/>
      <c r="J106" s="108"/>
      <c r="K106" s="108"/>
      <c r="L106" s="67"/>
      <c r="M106" s="125"/>
      <c r="N106" s="125"/>
      <c r="O106" s="125"/>
      <c r="P106" s="125"/>
      <c r="Q106" s="125"/>
      <c r="R106" s="115"/>
      <c r="S106" s="115"/>
      <c r="T106" s="115"/>
      <c r="U106" s="115"/>
      <c r="V106" s="115"/>
      <c r="W106" s="122"/>
    </row>
    <row r="107" spans="1:23" ht="15.75" hidden="1" customHeight="1">
      <c r="A107" s="103"/>
      <c r="B107" s="103"/>
      <c r="C107" s="105"/>
      <c r="D107" s="105"/>
      <c r="E107" s="105"/>
      <c r="F107" s="124"/>
      <c r="G107" s="124"/>
      <c r="H107" s="108"/>
      <c r="I107" s="108"/>
      <c r="J107" s="108"/>
      <c r="K107" s="108"/>
      <c r="L107" s="67"/>
      <c r="M107" s="125"/>
      <c r="N107" s="125"/>
      <c r="O107" s="125"/>
      <c r="P107" s="125"/>
      <c r="Q107" s="125"/>
      <c r="R107" s="115"/>
      <c r="S107" s="115"/>
      <c r="T107" s="115"/>
      <c r="U107" s="115"/>
      <c r="V107" s="115"/>
      <c r="W107" s="122"/>
    </row>
    <row r="108" spans="1:23" ht="15.75" hidden="1" customHeight="1">
      <c r="A108" s="103"/>
      <c r="B108" s="103"/>
      <c r="C108" s="105"/>
      <c r="D108" s="105"/>
      <c r="E108" s="105"/>
      <c r="F108" s="124"/>
      <c r="G108" s="124"/>
      <c r="H108" s="108"/>
      <c r="I108" s="108"/>
      <c r="J108" s="108"/>
      <c r="K108" s="108"/>
      <c r="L108" s="67"/>
      <c r="M108" s="125"/>
      <c r="N108" s="125"/>
      <c r="O108" s="125"/>
      <c r="P108" s="125"/>
      <c r="Q108" s="125"/>
      <c r="R108" s="115"/>
      <c r="S108" s="115"/>
      <c r="T108" s="115"/>
      <c r="U108" s="115"/>
      <c r="V108" s="115"/>
      <c r="W108" s="122"/>
    </row>
    <row r="109" spans="1:23" ht="15.75" hidden="1" customHeight="1">
      <c r="A109" s="103"/>
      <c r="B109" s="103"/>
      <c r="C109" s="105"/>
      <c r="D109" s="105"/>
      <c r="E109" s="105"/>
      <c r="F109" s="124"/>
      <c r="G109" s="124"/>
      <c r="H109" s="108"/>
      <c r="I109" s="108"/>
      <c r="J109" s="108"/>
      <c r="K109" s="108"/>
      <c r="L109" s="67"/>
      <c r="M109" s="125"/>
      <c r="N109" s="125"/>
      <c r="O109" s="125"/>
      <c r="P109" s="125"/>
      <c r="Q109" s="125"/>
      <c r="R109" s="115"/>
      <c r="S109" s="115"/>
      <c r="T109" s="115"/>
      <c r="U109" s="115"/>
      <c r="V109" s="115"/>
      <c r="W109" s="122"/>
    </row>
    <row r="110" spans="1:23" ht="15.75" hidden="1" customHeight="1">
      <c r="A110" s="103"/>
      <c r="B110" s="103"/>
      <c r="C110" s="105"/>
      <c r="D110" s="105"/>
      <c r="E110" s="105"/>
      <c r="F110" s="124"/>
      <c r="G110" s="124"/>
      <c r="H110" s="108"/>
      <c r="I110" s="108"/>
      <c r="J110" s="108"/>
      <c r="K110" s="108"/>
      <c r="L110" s="67"/>
      <c r="M110" s="125"/>
      <c r="N110" s="125"/>
      <c r="O110" s="125"/>
      <c r="P110" s="125"/>
      <c r="Q110" s="125"/>
      <c r="R110" s="115"/>
      <c r="S110" s="115"/>
      <c r="T110" s="115"/>
      <c r="U110" s="115"/>
      <c r="V110" s="115"/>
      <c r="W110" s="122"/>
    </row>
    <row r="111" spans="1:23" ht="15.75" hidden="1" customHeight="1">
      <c r="A111" s="103"/>
      <c r="B111" s="103"/>
      <c r="C111" s="105"/>
      <c r="D111" s="105"/>
      <c r="E111" s="105"/>
      <c r="F111" s="124"/>
      <c r="G111" s="124"/>
      <c r="H111" s="108"/>
      <c r="I111" s="108"/>
      <c r="J111" s="108"/>
      <c r="K111" s="108"/>
      <c r="L111" s="67"/>
      <c r="M111" s="125"/>
      <c r="N111" s="125"/>
      <c r="O111" s="125"/>
      <c r="P111" s="125"/>
      <c r="Q111" s="125"/>
      <c r="R111" s="115"/>
      <c r="S111" s="115"/>
      <c r="T111" s="115"/>
      <c r="U111" s="115"/>
      <c r="V111" s="115"/>
      <c r="W111" s="122"/>
    </row>
    <row r="112" spans="1:23" ht="15.75" hidden="1" customHeight="1">
      <c r="A112" s="103"/>
      <c r="B112" s="103"/>
      <c r="C112" s="105"/>
      <c r="D112" s="105"/>
      <c r="E112" s="105"/>
      <c r="F112" s="124"/>
      <c r="G112" s="124"/>
      <c r="H112" s="108"/>
      <c r="I112" s="108"/>
      <c r="J112" s="108"/>
      <c r="K112" s="108"/>
      <c r="L112" s="67"/>
      <c r="M112" s="125"/>
      <c r="N112" s="125"/>
      <c r="O112" s="125"/>
      <c r="P112" s="125"/>
      <c r="Q112" s="125"/>
      <c r="R112" s="115"/>
      <c r="S112" s="115"/>
      <c r="T112" s="115"/>
      <c r="U112" s="115"/>
      <c r="V112" s="115"/>
      <c r="W112" s="122"/>
    </row>
    <row r="113" spans="1:23" ht="15.75" hidden="1" customHeight="1">
      <c r="A113" s="103"/>
      <c r="B113" s="103"/>
      <c r="C113" s="105"/>
      <c r="D113" s="105"/>
      <c r="E113" s="105"/>
      <c r="F113" s="124"/>
      <c r="G113" s="124"/>
      <c r="H113" s="108"/>
      <c r="I113" s="108"/>
      <c r="J113" s="108"/>
      <c r="K113" s="108"/>
      <c r="L113" s="67"/>
      <c r="M113" s="125"/>
      <c r="N113" s="125"/>
      <c r="O113" s="125"/>
      <c r="P113" s="125"/>
      <c r="Q113" s="125"/>
      <c r="R113" s="115"/>
      <c r="S113" s="115"/>
      <c r="T113" s="115"/>
      <c r="U113" s="115"/>
      <c r="V113" s="115"/>
      <c r="W113" s="122"/>
    </row>
    <row r="114" spans="1:23" ht="15.75" hidden="1" customHeight="1">
      <c r="A114" s="103"/>
      <c r="B114" s="103"/>
      <c r="C114" s="105"/>
      <c r="D114" s="105"/>
      <c r="E114" s="105"/>
      <c r="F114" s="124"/>
      <c r="G114" s="124"/>
      <c r="H114" s="108"/>
      <c r="I114" s="108"/>
      <c r="J114" s="108"/>
      <c r="K114" s="108"/>
      <c r="L114" s="67"/>
      <c r="M114" s="125"/>
      <c r="N114" s="125"/>
      <c r="O114" s="125"/>
      <c r="P114" s="125"/>
      <c r="Q114" s="125"/>
      <c r="R114" s="115"/>
      <c r="S114" s="115"/>
      <c r="T114" s="115"/>
      <c r="U114" s="115"/>
      <c r="V114" s="115"/>
      <c r="W114" s="122"/>
    </row>
    <row r="115" spans="1:23" ht="15.75" hidden="1" customHeight="1">
      <c r="A115" s="103"/>
      <c r="B115" s="103"/>
      <c r="C115" s="105"/>
      <c r="D115" s="105"/>
      <c r="E115" s="105"/>
      <c r="F115" s="124"/>
      <c r="G115" s="124"/>
      <c r="H115" s="108"/>
      <c r="I115" s="108"/>
      <c r="J115" s="108"/>
      <c r="K115" s="108"/>
      <c r="L115" s="67"/>
      <c r="M115" s="125"/>
      <c r="N115" s="125"/>
      <c r="O115" s="125"/>
      <c r="P115" s="125"/>
      <c r="Q115" s="125"/>
      <c r="R115" s="115"/>
      <c r="S115" s="115"/>
      <c r="T115" s="115"/>
      <c r="U115" s="115"/>
      <c r="V115" s="115"/>
      <c r="W115" s="122"/>
    </row>
    <row r="116" spans="1:23" ht="15.75" hidden="1" customHeight="1">
      <c r="A116" s="103"/>
      <c r="B116" s="103"/>
      <c r="C116" s="105"/>
      <c r="D116" s="105"/>
      <c r="E116" s="105"/>
      <c r="F116" s="124"/>
      <c r="G116" s="124"/>
      <c r="H116" s="108"/>
      <c r="I116" s="108"/>
      <c r="J116" s="108"/>
      <c r="K116" s="108"/>
      <c r="L116" s="67"/>
      <c r="M116" s="125"/>
      <c r="N116" s="125"/>
      <c r="O116" s="125"/>
      <c r="P116" s="125"/>
      <c r="Q116" s="125"/>
      <c r="R116" s="115"/>
      <c r="S116" s="115"/>
      <c r="T116" s="115"/>
      <c r="U116" s="115"/>
      <c r="V116" s="115"/>
      <c r="W116" s="122"/>
    </row>
    <row r="117" spans="1:23" ht="15.75" hidden="1" customHeight="1">
      <c r="A117" s="103"/>
      <c r="B117" s="103"/>
      <c r="C117" s="105"/>
      <c r="D117" s="105"/>
      <c r="E117" s="105"/>
      <c r="F117" s="124"/>
      <c r="G117" s="124"/>
      <c r="H117" s="108"/>
      <c r="I117" s="108"/>
      <c r="J117" s="108"/>
      <c r="K117" s="108"/>
      <c r="L117" s="67"/>
      <c r="M117" s="125"/>
      <c r="N117" s="125"/>
      <c r="O117" s="125"/>
      <c r="P117" s="125"/>
      <c r="Q117" s="125"/>
      <c r="R117" s="115"/>
      <c r="S117" s="115"/>
      <c r="T117" s="115"/>
      <c r="U117" s="115"/>
      <c r="V117" s="115"/>
      <c r="W117" s="122"/>
    </row>
    <row r="118" spans="1:23" ht="15.75" hidden="1" customHeight="1">
      <c r="A118" s="103"/>
      <c r="B118" s="103"/>
      <c r="C118" s="105"/>
      <c r="D118" s="105"/>
      <c r="E118" s="105"/>
      <c r="F118" s="124"/>
      <c r="G118" s="124"/>
      <c r="H118" s="108"/>
      <c r="I118" s="108"/>
      <c r="J118" s="108"/>
      <c r="K118" s="108"/>
      <c r="L118" s="67"/>
      <c r="M118" s="125"/>
      <c r="N118" s="125"/>
      <c r="O118" s="125"/>
      <c r="P118" s="125"/>
      <c r="Q118" s="125"/>
      <c r="R118" s="115"/>
      <c r="S118" s="115"/>
      <c r="T118" s="115"/>
      <c r="U118" s="115"/>
      <c r="V118" s="115"/>
      <c r="W118" s="122"/>
    </row>
    <row r="119" spans="1:23" ht="15.75" hidden="1" customHeight="1">
      <c r="A119" s="103"/>
      <c r="B119" s="103"/>
      <c r="C119" s="105"/>
      <c r="D119" s="105"/>
      <c r="E119" s="105"/>
      <c r="F119" s="124"/>
      <c r="G119" s="124"/>
      <c r="H119" s="108"/>
      <c r="I119" s="108"/>
      <c r="J119" s="108"/>
      <c r="K119" s="108"/>
      <c r="L119" s="67"/>
      <c r="M119" s="125"/>
      <c r="N119" s="125"/>
      <c r="O119" s="125"/>
      <c r="P119" s="125"/>
      <c r="Q119" s="125"/>
      <c r="R119" s="115"/>
      <c r="S119" s="115"/>
      <c r="T119" s="115"/>
      <c r="U119" s="115"/>
      <c r="V119" s="115"/>
      <c r="W119" s="122"/>
    </row>
    <row r="120" spans="1:23" ht="15.75" hidden="1" customHeight="1">
      <c r="A120" s="103"/>
      <c r="B120" s="103"/>
      <c r="C120" s="105"/>
      <c r="D120" s="105"/>
      <c r="E120" s="105"/>
      <c r="F120" s="124"/>
      <c r="G120" s="124"/>
      <c r="H120" s="108"/>
      <c r="I120" s="108"/>
      <c r="J120" s="108"/>
      <c r="K120" s="108"/>
      <c r="L120" s="67"/>
      <c r="M120" s="125"/>
      <c r="N120" s="125"/>
      <c r="O120" s="125"/>
      <c r="P120" s="125"/>
      <c r="Q120" s="125"/>
      <c r="R120" s="115"/>
      <c r="S120" s="115"/>
      <c r="T120" s="115"/>
      <c r="U120" s="115"/>
      <c r="V120" s="115"/>
      <c r="W120" s="122"/>
    </row>
    <row r="121" spans="1:23" ht="15.75" hidden="1" customHeight="1">
      <c r="A121" s="103"/>
      <c r="B121" s="103"/>
      <c r="C121" s="105"/>
      <c r="D121" s="105"/>
      <c r="E121" s="105"/>
      <c r="F121" s="124"/>
      <c r="G121" s="124"/>
      <c r="H121" s="108"/>
      <c r="I121" s="108"/>
      <c r="J121" s="108"/>
      <c r="K121" s="108"/>
      <c r="L121" s="67"/>
      <c r="M121" s="125"/>
      <c r="N121" s="125"/>
      <c r="O121" s="125"/>
      <c r="P121" s="125"/>
      <c r="Q121" s="125"/>
      <c r="R121" s="115"/>
      <c r="S121" s="115"/>
      <c r="T121" s="115"/>
      <c r="U121" s="115"/>
      <c r="V121" s="115"/>
      <c r="W121" s="122"/>
    </row>
    <row r="122" spans="1:23" ht="15.75" hidden="1" customHeight="1">
      <c r="A122" s="103"/>
      <c r="B122" s="103"/>
      <c r="C122" s="105"/>
      <c r="D122" s="105"/>
      <c r="E122" s="105"/>
      <c r="F122" s="124"/>
      <c r="G122" s="124"/>
      <c r="H122" s="108"/>
      <c r="I122" s="108"/>
      <c r="J122" s="108"/>
      <c r="K122" s="108"/>
      <c r="L122" s="67"/>
      <c r="M122" s="125"/>
      <c r="N122" s="125"/>
      <c r="O122" s="125"/>
      <c r="P122" s="125"/>
      <c r="Q122" s="125"/>
      <c r="R122" s="115"/>
      <c r="S122" s="115"/>
      <c r="T122" s="115"/>
      <c r="U122" s="115"/>
      <c r="V122" s="115"/>
      <c r="W122" s="122"/>
    </row>
    <row r="123" spans="1:23" ht="15.75" hidden="1" customHeight="1">
      <c r="A123" s="103"/>
      <c r="B123" s="103"/>
      <c r="C123" s="105"/>
      <c r="D123" s="105"/>
      <c r="E123" s="105"/>
      <c r="F123" s="124"/>
      <c r="G123" s="124"/>
      <c r="H123" s="108"/>
      <c r="I123" s="108"/>
      <c r="J123" s="108"/>
      <c r="K123" s="108"/>
      <c r="L123" s="67"/>
      <c r="M123" s="125"/>
      <c r="N123" s="125"/>
      <c r="O123" s="125"/>
      <c r="P123" s="125"/>
      <c r="Q123" s="125"/>
      <c r="R123" s="115"/>
      <c r="S123" s="115"/>
      <c r="T123" s="115"/>
      <c r="U123" s="115"/>
      <c r="V123" s="115"/>
      <c r="W123" s="122"/>
    </row>
    <row r="124" spans="1:23" ht="15.75" hidden="1" customHeight="1">
      <c r="A124" s="103"/>
      <c r="B124" s="103"/>
      <c r="C124" s="105"/>
      <c r="D124" s="105"/>
      <c r="E124" s="105"/>
      <c r="F124" s="124"/>
      <c r="G124" s="124"/>
      <c r="H124" s="108"/>
      <c r="I124" s="108"/>
      <c r="J124" s="108"/>
      <c r="K124" s="108"/>
      <c r="L124" s="67"/>
      <c r="M124" s="125"/>
      <c r="N124" s="125"/>
      <c r="O124" s="125"/>
      <c r="P124" s="125"/>
      <c r="Q124" s="125"/>
      <c r="R124" s="115"/>
      <c r="S124" s="115"/>
      <c r="T124" s="115"/>
      <c r="U124" s="115"/>
      <c r="V124" s="115"/>
      <c r="W124" s="122"/>
    </row>
    <row r="125" spans="1:23" ht="15.75" hidden="1" customHeight="1">
      <c r="A125" s="103"/>
      <c r="B125" s="103"/>
      <c r="C125" s="105"/>
      <c r="D125" s="105"/>
      <c r="E125" s="105"/>
      <c r="F125" s="124"/>
      <c r="G125" s="124"/>
      <c r="H125" s="108"/>
      <c r="I125" s="108"/>
      <c r="J125" s="108"/>
      <c r="K125" s="108"/>
      <c r="L125" s="67"/>
      <c r="M125" s="125"/>
      <c r="N125" s="125"/>
      <c r="O125" s="125"/>
      <c r="P125" s="125"/>
      <c r="Q125" s="125"/>
      <c r="R125" s="115"/>
      <c r="S125" s="115"/>
      <c r="T125" s="115"/>
      <c r="U125" s="115"/>
      <c r="V125" s="115"/>
      <c r="W125" s="122"/>
    </row>
    <row r="126" spans="1:23" ht="15.75" hidden="1" customHeight="1">
      <c r="A126" s="103"/>
      <c r="B126" s="103"/>
      <c r="C126" s="105"/>
      <c r="D126" s="105"/>
      <c r="E126" s="105"/>
      <c r="F126" s="124"/>
      <c r="G126" s="124"/>
      <c r="H126" s="108"/>
      <c r="I126" s="108"/>
      <c r="J126" s="108"/>
      <c r="K126" s="108"/>
      <c r="L126" s="67"/>
      <c r="M126" s="125"/>
      <c r="N126" s="125"/>
      <c r="O126" s="125"/>
      <c r="P126" s="125"/>
      <c r="Q126" s="125"/>
      <c r="R126" s="115"/>
      <c r="S126" s="115"/>
      <c r="T126" s="115"/>
      <c r="U126" s="115"/>
      <c r="V126" s="115"/>
      <c r="W126" s="122"/>
    </row>
    <row r="127" spans="1:23" ht="15.75" hidden="1" customHeight="1">
      <c r="A127" s="103"/>
      <c r="B127" s="103"/>
      <c r="C127" s="105"/>
      <c r="D127" s="105"/>
      <c r="E127" s="105"/>
      <c r="F127" s="124"/>
      <c r="G127" s="124"/>
      <c r="H127" s="108"/>
      <c r="I127" s="108"/>
      <c r="J127" s="108"/>
      <c r="K127" s="108"/>
      <c r="L127" s="67"/>
      <c r="M127" s="125"/>
      <c r="N127" s="125"/>
      <c r="O127" s="125"/>
      <c r="P127" s="125"/>
      <c r="Q127" s="125"/>
      <c r="R127" s="115"/>
      <c r="S127" s="115"/>
      <c r="T127" s="115"/>
      <c r="U127" s="115"/>
      <c r="V127" s="115"/>
      <c r="W127" s="122"/>
    </row>
    <row r="128" spans="1:23" ht="15.75" hidden="1" customHeight="1">
      <c r="A128" s="103"/>
      <c r="B128" s="103"/>
      <c r="C128" s="105"/>
      <c r="D128" s="105"/>
      <c r="E128" s="105"/>
      <c r="F128" s="124"/>
      <c r="G128" s="124"/>
      <c r="H128" s="108"/>
      <c r="I128" s="108"/>
      <c r="J128" s="108"/>
      <c r="K128" s="108"/>
      <c r="L128" s="67"/>
      <c r="M128" s="125"/>
      <c r="N128" s="125"/>
      <c r="O128" s="125"/>
      <c r="P128" s="125"/>
      <c r="Q128" s="125"/>
      <c r="R128" s="115"/>
      <c r="S128" s="115"/>
      <c r="T128" s="115"/>
      <c r="U128" s="115"/>
      <c r="V128" s="115"/>
      <c r="W128" s="122"/>
    </row>
    <row r="129" spans="1:23" ht="15.75" hidden="1" customHeight="1">
      <c r="A129" s="103"/>
      <c r="B129" s="103"/>
      <c r="C129" s="105"/>
      <c r="D129" s="105"/>
      <c r="E129" s="105"/>
      <c r="F129" s="124"/>
      <c r="G129" s="124"/>
      <c r="H129" s="108"/>
      <c r="I129" s="108"/>
      <c r="J129" s="108"/>
      <c r="K129" s="108"/>
      <c r="L129" s="67"/>
      <c r="M129" s="125"/>
      <c r="N129" s="125"/>
      <c r="O129" s="125"/>
      <c r="P129" s="125"/>
      <c r="Q129" s="125"/>
      <c r="R129" s="115"/>
      <c r="S129" s="115"/>
      <c r="T129" s="115"/>
      <c r="U129" s="115"/>
      <c r="V129" s="115"/>
      <c r="W129" s="122"/>
    </row>
    <row r="130" spans="1:23" ht="15.75" hidden="1" customHeight="1">
      <c r="A130" s="103"/>
      <c r="B130" s="103"/>
      <c r="C130" s="105"/>
      <c r="D130" s="105"/>
      <c r="E130" s="105"/>
      <c r="F130" s="124"/>
      <c r="G130" s="124"/>
      <c r="H130" s="108"/>
      <c r="I130" s="108"/>
      <c r="J130" s="108"/>
      <c r="K130" s="108"/>
      <c r="L130" s="67"/>
      <c r="M130" s="125"/>
      <c r="N130" s="125"/>
      <c r="O130" s="125"/>
      <c r="P130" s="125"/>
      <c r="Q130" s="125"/>
      <c r="R130" s="115"/>
      <c r="S130" s="115"/>
      <c r="T130" s="115"/>
      <c r="U130" s="115"/>
      <c r="V130" s="115"/>
      <c r="W130" s="122"/>
    </row>
    <row r="131" spans="1:23" ht="15.75" hidden="1" customHeight="1">
      <c r="A131" s="103"/>
      <c r="B131" s="103"/>
      <c r="C131" s="105"/>
      <c r="D131" s="105"/>
      <c r="E131" s="105"/>
      <c r="F131" s="124"/>
      <c r="G131" s="124"/>
      <c r="H131" s="108"/>
      <c r="I131" s="108"/>
      <c r="J131" s="108"/>
      <c r="K131" s="108"/>
      <c r="L131" s="67"/>
      <c r="M131" s="125"/>
      <c r="N131" s="125"/>
      <c r="O131" s="125"/>
      <c r="P131" s="125"/>
      <c r="Q131" s="125"/>
      <c r="R131" s="115"/>
      <c r="S131" s="115"/>
      <c r="T131" s="115"/>
      <c r="U131" s="115"/>
      <c r="V131" s="115"/>
      <c r="W131" s="122"/>
    </row>
    <row r="132" spans="1:23" ht="15.75" hidden="1" customHeight="1">
      <c r="A132" s="103"/>
      <c r="B132" s="103"/>
      <c r="C132" s="105"/>
      <c r="D132" s="105"/>
      <c r="E132" s="105"/>
      <c r="F132" s="124"/>
      <c r="G132" s="124"/>
      <c r="H132" s="108"/>
      <c r="I132" s="108"/>
      <c r="J132" s="108"/>
      <c r="K132" s="108"/>
      <c r="L132" s="67"/>
      <c r="M132" s="125"/>
      <c r="N132" s="125"/>
      <c r="O132" s="125"/>
      <c r="P132" s="125"/>
      <c r="Q132" s="125"/>
      <c r="R132" s="115"/>
      <c r="S132" s="115"/>
      <c r="T132" s="115"/>
      <c r="U132" s="115"/>
      <c r="V132" s="115"/>
      <c r="W132" s="122"/>
    </row>
    <row r="133" spans="1:23" ht="15.75" hidden="1" customHeight="1">
      <c r="A133" s="103"/>
      <c r="B133" s="103"/>
      <c r="C133" s="105"/>
      <c r="D133" s="105"/>
      <c r="E133" s="105"/>
      <c r="F133" s="124"/>
      <c r="G133" s="124"/>
      <c r="H133" s="108"/>
      <c r="I133" s="108"/>
      <c r="J133" s="108"/>
      <c r="K133" s="108"/>
      <c r="L133" s="67"/>
      <c r="M133" s="125"/>
      <c r="N133" s="125"/>
      <c r="O133" s="125"/>
      <c r="P133" s="125"/>
      <c r="Q133" s="125"/>
      <c r="R133" s="115"/>
      <c r="S133" s="115"/>
      <c r="T133" s="115"/>
      <c r="U133" s="115"/>
      <c r="V133" s="115"/>
      <c r="W133" s="122"/>
    </row>
    <row r="134" spans="1:23" ht="15.75" hidden="1" customHeight="1">
      <c r="A134" s="103"/>
      <c r="B134" s="103"/>
      <c r="C134" s="105"/>
      <c r="D134" s="105"/>
      <c r="E134" s="105"/>
      <c r="F134" s="124"/>
      <c r="G134" s="124"/>
      <c r="H134" s="108"/>
      <c r="I134" s="108"/>
      <c r="J134" s="108"/>
      <c r="K134" s="108"/>
      <c r="L134" s="67"/>
      <c r="M134" s="125"/>
      <c r="N134" s="125"/>
      <c r="O134" s="125"/>
      <c r="P134" s="125"/>
      <c r="Q134" s="125"/>
      <c r="R134" s="115"/>
      <c r="S134" s="115"/>
      <c r="T134" s="115"/>
      <c r="U134" s="115"/>
      <c r="V134" s="115"/>
      <c r="W134" s="122"/>
    </row>
    <row r="135" spans="1:23" ht="15.75" hidden="1" customHeight="1">
      <c r="A135" s="103"/>
      <c r="B135" s="103"/>
      <c r="C135" s="105"/>
      <c r="D135" s="105"/>
      <c r="E135" s="105"/>
      <c r="F135" s="124"/>
      <c r="G135" s="124"/>
      <c r="H135" s="108"/>
      <c r="I135" s="108"/>
      <c r="J135" s="108"/>
      <c r="K135" s="108"/>
      <c r="L135" s="67"/>
      <c r="M135" s="125"/>
      <c r="N135" s="125"/>
      <c r="O135" s="125"/>
      <c r="P135" s="125"/>
      <c r="Q135" s="125"/>
      <c r="R135" s="115"/>
      <c r="S135" s="115"/>
      <c r="T135" s="115"/>
      <c r="U135" s="115"/>
      <c r="V135" s="115"/>
      <c r="W135" s="122"/>
    </row>
    <row r="136" spans="1:23" ht="15.75" hidden="1" customHeight="1">
      <c r="A136" s="103"/>
      <c r="B136" s="103"/>
      <c r="C136" s="105"/>
      <c r="D136" s="105"/>
      <c r="E136" s="105"/>
      <c r="F136" s="124"/>
      <c r="G136" s="124"/>
      <c r="H136" s="108"/>
      <c r="I136" s="108"/>
      <c r="J136" s="108"/>
      <c r="K136" s="108"/>
      <c r="L136" s="67"/>
      <c r="M136" s="125"/>
      <c r="N136" s="125"/>
      <c r="O136" s="125"/>
      <c r="P136" s="125"/>
      <c r="Q136" s="125"/>
      <c r="R136" s="115"/>
      <c r="S136" s="115"/>
      <c r="T136" s="115"/>
      <c r="U136" s="115"/>
      <c r="V136" s="115"/>
      <c r="W136" s="122"/>
    </row>
    <row r="137" spans="1:23" ht="15.75" hidden="1" customHeight="1">
      <c r="A137" s="103"/>
      <c r="B137" s="103"/>
      <c r="C137" s="105"/>
      <c r="D137" s="105"/>
      <c r="E137" s="105"/>
      <c r="F137" s="124"/>
      <c r="G137" s="124"/>
      <c r="H137" s="108"/>
      <c r="I137" s="108"/>
      <c r="J137" s="108"/>
      <c r="K137" s="108"/>
      <c r="L137" s="67"/>
      <c r="M137" s="125"/>
      <c r="N137" s="125"/>
      <c r="O137" s="125"/>
      <c r="P137" s="125"/>
      <c r="Q137" s="125"/>
      <c r="R137" s="115"/>
      <c r="S137" s="115"/>
      <c r="T137" s="115"/>
      <c r="U137" s="115"/>
      <c r="V137" s="115"/>
      <c r="W137" s="122"/>
    </row>
    <row r="138" spans="1:23" ht="15.75" hidden="1" customHeight="1">
      <c r="A138" s="103"/>
      <c r="B138" s="103"/>
      <c r="C138" s="105"/>
      <c r="D138" s="105"/>
      <c r="E138" s="105"/>
      <c r="F138" s="124"/>
      <c r="G138" s="124"/>
      <c r="H138" s="108"/>
      <c r="I138" s="108"/>
      <c r="J138" s="108"/>
      <c r="K138" s="108"/>
      <c r="L138" s="67"/>
      <c r="M138" s="125"/>
      <c r="N138" s="125"/>
      <c r="O138" s="125"/>
      <c r="P138" s="125"/>
      <c r="Q138" s="125"/>
      <c r="R138" s="115"/>
      <c r="S138" s="115"/>
      <c r="T138" s="115"/>
      <c r="U138" s="115"/>
      <c r="V138" s="115"/>
      <c r="W138" s="122"/>
    </row>
    <row r="139" spans="1:23" ht="15.75" hidden="1" customHeight="1">
      <c r="A139" s="103"/>
      <c r="B139" s="103"/>
      <c r="C139" s="105"/>
      <c r="D139" s="105"/>
      <c r="E139" s="105"/>
      <c r="F139" s="124"/>
      <c r="G139" s="124"/>
      <c r="H139" s="108"/>
      <c r="I139" s="108"/>
      <c r="J139" s="108"/>
      <c r="K139" s="108"/>
      <c r="L139" s="67"/>
      <c r="M139" s="125"/>
      <c r="N139" s="125"/>
      <c r="O139" s="125"/>
      <c r="P139" s="125"/>
      <c r="Q139" s="125"/>
      <c r="R139" s="115"/>
      <c r="S139" s="115"/>
      <c r="T139" s="115"/>
      <c r="U139" s="115"/>
      <c r="V139" s="115"/>
      <c r="W139" s="122"/>
    </row>
    <row r="140" spans="1:23" ht="15.75" hidden="1" customHeight="1">
      <c r="A140" s="103"/>
      <c r="B140" s="103"/>
      <c r="C140" s="105"/>
      <c r="D140" s="105"/>
      <c r="E140" s="105"/>
      <c r="F140" s="124"/>
      <c r="G140" s="124"/>
      <c r="H140" s="108"/>
      <c r="I140" s="108"/>
      <c r="J140" s="108"/>
      <c r="K140" s="108"/>
      <c r="L140" s="67"/>
      <c r="M140" s="125"/>
      <c r="N140" s="125"/>
      <c r="O140" s="125"/>
      <c r="P140" s="125"/>
      <c r="Q140" s="125"/>
      <c r="R140" s="115"/>
      <c r="S140" s="115"/>
      <c r="T140" s="115"/>
      <c r="U140" s="115"/>
      <c r="V140" s="115"/>
      <c r="W140" s="122"/>
    </row>
    <row r="141" spans="1:23" ht="15.75" hidden="1" customHeight="1">
      <c r="A141" s="103"/>
      <c r="B141" s="103"/>
      <c r="C141" s="105"/>
      <c r="D141" s="105"/>
      <c r="E141" s="105"/>
      <c r="F141" s="124"/>
      <c r="G141" s="124"/>
      <c r="H141" s="108"/>
      <c r="I141" s="108"/>
      <c r="J141" s="108"/>
      <c r="K141" s="108"/>
      <c r="L141" s="67"/>
      <c r="M141" s="125"/>
      <c r="N141" s="125"/>
      <c r="O141" s="125"/>
      <c r="P141" s="125"/>
      <c r="Q141" s="125"/>
      <c r="R141" s="115"/>
      <c r="S141" s="115"/>
      <c r="T141" s="115"/>
      <c r="U141" s="115"/>
      <c r="V141" s="115"/>
      <c r="W141" s="122"/>
    </row>
    <row r="142" spans="1:23" ht="15.75" hidden="1" customHeight="1">
      <c r="A142" s="103"/>
      <c r="B142" s="103"/>
      <c r="C142" s="105"/>
      <c r="D142" s="105"/>
      <c r="E142" s="105"/>
      <c r="F142" s="124"/>
      <c r="G142" s="124"/>
      <c r="H142" s="108"/>
      <c r="I142" s="108"/>
      <c r="J142" s="108"/>
      <c r="K142" s="108"/>
      <c r="L142" s="67"/>
      <c r="M142" s="125"/>
      <c r="N142" s="125"/>
      <c r="O142" s="125"/>
      <c r="P142" s="125"/>
      <c r="Q142" s="125"/>
      <c r="R142" s="115"/>
      <c r="S142" s="115"/>
      <c r="T142" s="115"/>
      <c r="U142" s="115"/>
      <c r="V142" s="115"/>
      <c r="W142" s="122"/>
    </row>
    <row r="143" spans="1:23" ht="15.75" hidden="1" customHeight="1">
      <c r="A143" s="103"/>
      <c r="B143" s="103"/>
      <c r="C143" s="105"/>
      <c r="D143" s="105"/>
      <c r="E143" s="105"/>
      <c r="F143" s="124"/>
      <c r="G143" s="124"/>
      <c r="H143" s="108"/>
      <c r="I143" s="108"/>
      <c r="J143" s="108"/>
      <c r="K143" s="108"/>
      <c r="L143" s="67"/>
      <c r="M143" s="125"/>
      <c r="N143" s="125"/>
      <c r="O143" s="125"/>
      <c r="P143" s="125"/>
      <c r="Q143" s="125"/>
      <c r="R143" s="115"/>
      <c r="S143" s="115"/>
      <c r="T143" s="115"/>
      <c r="U143" s="115"/>
      <c r="V143" s="115"/>
      <c r="W143" s="122"/>
    </row>
    <row r="144" spans="1:23" ht="15.75" hidden="1" customHeight="1">
      <c r="A144" s="103"/>
      <c r="B144" s="103"/>
      <c r="C144" s="105"/>
      <c r="D144" s="105"/>
      <c r="E144" s="105"/>
      <c r="F144" s="124"/>
      <c r="G144" s="124"/>
      <c r="H144" s="108"/>
      <c r="I144" s="108"/>
      <c r="J144" s="108"/>
      <c r="K144" s="108"/>
      <c r="L144" s="67"/>
      <c r="M144" s="125"/>
      <c r="N144" s="125"/>
      <c r="O144" s="125"/>
      <c r="P144" s="125"/>
      <c r="Q144" s="125"/>
      <c r="R144" s="115"/>
      <c r="S144" s="115"/>
      <c r="T144" s="115"/>
      <c r="U144" s="115"/>
      <c r="V144" s="115"/>
      <c r="W144" s="122"/>
    </row>
    <row r="145" spans="1:23" ht="15.75" hidden="1" customHeight="1">
      <c r="A145" s="103"/>
      <c r="B145" s="103"/>
      <c r="C145" s="105"/>
      <c r="D145" s="105"/>
      <c r="E145" s="105"/>
      <c r="F145" s="124"/>
      <c r="G145" s="124"/>
      <c r="H145" s="108"/>
      <c r="I145" s="108"/>
      <c r="J145" s="108"/>
      <c r="K145" s="108"/>
      <c r="L145" s="67"/>
      <c r="M145" s="125"/>
      <c r="N145" s="125"/>
      <c r="O145" s="125"/>
      <c r="P145" s="125"/>
      <c r="Q145" s="125"/>
      <c r="R145" s="115"/>
      <c r="S145" s="115"/>
      <c r="T145" s="115"/>
      <c r="U145" s="115"/>
      <c r="V145" s="115"/>
      <c r="W145" s="122"/>
    </row>
    <row r="146" spans="1:23" ht="15.75" hidden="1" customHeight="1">
      <c r="A146" s="103"/>
      <c r="B146" s="103"/>
      <c r="C146" s="105"/>
      <c r="D146" s="105"/>
      <c r="E146" s="105"/>
      <c r="F146" s="124"/>
      <c r="G146" s="124"/>
      <c r="H146" s="108"/>
      <c r="I146" s="108"/>
      <c r="J146" s="108"/>
      <c r="K146" s="108"/>
      <c r="L146" s="67"/>
      <c r="M146" s="125"/>
      <c r="N146" s="125"/>
      <c r="O146" s="125"/>
      <c r="P146" s="125"/>
      <c r="Q146" s="125"/>
      <c r="R146" s="115"/>
      <c r="S146" s="115"/>
      <c r="T146" s="115"/>
      <c r="U146" s="115"/>
      <c r="V146" s="115"/>
      <c r="W146" s="122"/>
    </row>
    <row r="147" spans="1:23" ht="15.75" hidden="1" customHeight="1">
      <c r="A147" s="103"/>
      <c r="B147" s="103"/>
      <c r="C147" s="105"/>
      <c r="D147" s="105"/>
      <c r="E147" s="105"/>
      <c r="F147" s="124"/>
      <c r="G147" s="124"/>
      <c r="H147" s="108"/>
      <c r="I147" s="108"/>
      <c r="J147" s="108"/>
      <c r="K147" s="108"/>
      <c r="L147" s="67"/>
      <c r="M147" s="125"/>
      <c r="N147" s="125"/>
      <c r="O147" s="125"/>
      <c r="P147" s="125"/>
      <c r="Q147" s="125"/>
      <c r="R147" s="115"/>
      <c r="S147" s="115"/>
      <c r="T147" s="115"/>
      <c r="U147" s="115"/>
      <c r="V147" s="115"/>
      <c r="W147" s="122"/>
    </row>
    <row r="148" spans="1:23" ht="15.75" hidden="1" customHeight="1">
      <c r="A148" s="103"/>
      <c r="B148" s="103"/>
      <c r="C148" s="105"/>
      <c r="D148" s="105"/>
      <c r="E148" s="105"/>
      <c r="F148" s="124"/>
      <c r="G148" s="124"/>
      <c r="H148" s="108"/>
      <c r="I148" s="108"/>
      <c r="J148" s="108"/>
      <c r="K148" s="108"/>
      <c r="L148" s="67"/>
      <c r="M148" s="125"/>
      <c r="N148" s="125"/>
      <c r="O148" s="125"/>
      <c r="P148" s="125"/>
      <c r="Q148" s="125"/>
      <c r="R148" s="115"/>
      <c r="S148" s="115"/>
      <c r="T148" s="115"/>
      <c r="U148" s="115"/>
      <c r="V148" s="115"/>
      <c r="W148" s="122"/>
    </row>
    <row r="149" spans="1:23" ht="15.75" hidden="1" customHeight="1">
      <c r="A149" s="103"/>
      <c r="B149" s="103"/>
      <c r="C149" s="105"/>
      <c r="D149" s="105"/>
      <c r="E149" s="105"/>
      <c r="F149" s="124"/>
      <c r="G149" s="124"/>
      <c r="H149" s="108"/>
      <c r="I149" s="108"/>
      <c r="J149" s="108"/>
      <c r="K149" s="108"/>
      <c r="L149" s="67"/>
      <c r="M149" s="125"/>
      <c r="N149" s="125"/>
      <c r="O149" s="125"/>
      <c r="P149" s="125"/>
      <c r="Q149" s="125"/>
      <c r="R149" s="115"/>
      <c r="S149" s="115"/>
      <c r="T149" s="115"/>
      <c r="U149" s="115"/>
      <c r="V149" s="115"/>
      <c r="W149" s="122"/>
    </row>
    <row r="150" spans="1:23" ht="15.75" hidden="1" customHeight="1">
      <c r="A150" s="103"/>
      <c r="B150" s="103"/>
      <c r="C150" s="105"/>
      <c r="D150" s="105"/>
      <c r="E150" s="105"/>
      <c r="F150" s="124"/>
      <c r="G150" s="124"/>
      <c r="H150" s="108"/>
      <c r="I150" s="108"/>
      <c r="J150" s="108"/>
      <c r="K150" s="108"/>
      <c r="L150" s="67"/>
      <c r="M150" s="125"/>
      <c r="N150" s="125"/>
      <c r="O150" s="125"/>
      <c r="P150" s="125"/>
      <c r="Q150" s="125"/>
      <c r="R150" s="115"/>
      <c r="S150" s="115"/>
      <c r="T150" s="115"/>
      <c r="U150" s="115"/>
      <c r="V150" s="115"/>
      <c r="W150" s="122"/>
    </row>
    <row r="151" spans="1:23" ht="15.75" hidden="1" customHeight="1">
      <c r="A151" s="103"/>
      <c r="B151" s="103"/>
      <c r="C151" s="105"/>
      <c r="D151" s="105"/>
      <c r="E151" s="105"/>
      <c r="F151" s="124"/>
      <c r="G151" s="124"/>
      <c r="H151" s="108"/>
      <c r="I151" s="108"/>
      <c r="J151" s="108"/>
      <c r="K151" s="108"/>
      <c r="L151" s="67"/>
      <c r="M151" s="125"/>
      <c r="N151" s="125"/>
      <c r="O151" s="125"/>
      <c r="P151" s="125"/>
      <c r="Q151" s="125"/>
      <c r="R151" s="115"/>
      <c r="S151" s="115"/>
      <c r="T151" s="115"/>
      <c r="U151" s="115"/>
      <c r="V151" s="115"/>
      <c r="W151" s="122"/>
    </row>
    <row r="152" spans="1:23" ht="15.75" hidden="1" customHeight="1">
      <c r="A152" s="103"/>
      <c r="B152" s="103"/>
      <c r="C152" s="105"/>
      <c r="D152" s="105"/>
      <c r="E152" s="105"/>
      <c r="F152" s="124"/>
      <c r="G152" s="124"/>
      <c r="H152" s="108"/>
      <c r="I152" s="108"/>
      <c r="J152" s="108"/>
      <c r="K152" s="108"/>
      <c r="L152" s="67"/>
      <c r="M152" s="125"/>
      <c r="N152" s="125"/>
      <c r="O152" s="125"/>
      <c r="P152" s="125"/>
      <c r="Q152" s="125"/>
      <c r="R152" s="115"/>
      <c r="S152" s="115"/>
      <c r="T152" s="115"/>
      <c r="U152" s="115"/>
      <c r="V152" s="115"/>
      <c r="W152" s="122"/>
    </row>
    <row r="153" spans="1:23" ht="15.75" hidden="1" customHeight="1">
      <c r="A153" s="103"/>
      <c r="B153" s="103"/>
      <c r="C153" s="105"/>
      <c r="D153" s="105"/>
      <c r="E153" s="105"/>
      <c r="F153" s="124"/>
      <c r="G153" s="124"/>
      <c r="H153" s="108"/>
      <c r="I153" s="108"/>
      <c r="J153" s="108"/>
      <c r="K153" s="108"/>
      <c r="L153" s="67"/>
      <c r="M153" s="125"/>
      <c r="N153" s="125"/>
      <c r="O153" s="125"/>
      <c r="P153" s="125"/>
      <c r="Q153" s="125"/>
      <c r="R153" s="115"/>
      <c r="S153" s="115"/>
      <c r="T153" s="115"/>
      <c r="U153" s="115"/>
      <c r="V153" s="115"/>
      <c r="W153" s="122"/>
    </row>
    <row r="154" spans="1:23" ht="15.75" hidden="1" customHeight="1">
      <c r="A154" s="103"/>
      <c r="B154" s="103"/>
      <c r="C154" s="105"/>
      <c r="D154" s="105"/>
      <c r="E154" s="105"/>
      <c r="F154" s="124"/>
      <c r="G154" s="124"/>
      <c r="H154" s="108"/>
      <c r="I154" s="108"/>
      <c r="J154" s="108"/>
      <c r="K154" s="108"/>
      <c r="L154" s="67"/>
      <c r="M154" s="125"/>
      <c r="N154" s="125"/>
      <c r="O154" s="125"/>
      <c r="P154" s="125"/>
      <c r="Q154" s="125"/>
      <c r="R154" s="115"/>
      <c r="S154" s="115"/>
      <c r="T154" s="115"/>
      <c r="U154" s="115"/>
      <c r="V154" s="115"/>
      <c r="W154" s="122"/>
    </row>
    <row r="155" spans="1:23" ht="15.75" hidden="1" customHeight="1">
      <c r="A155" s="103"/>
      <c r="B155" s="103"/>
      <c r="C155" s="105"/>
      <c r="D155" s="105"/>
      <c r="E155" s="105"/>
      <c r="F155" s="124"/>
      <c r="G155" s="124"/>
      <c r="H155" s="108"/>
      <c r="I155" s="108"/>
      <c r="J155" s="108"/>
      <c r="K155" s="108"/>
      <c r="L155" s="67"/>
      <c r="M155" s="125"/>
      <c r="N155" s="125"/>
      <c r="O155" s="125"/>
      <c r="P155" s="125"/>
      <c r="Q155" s="125"/>
      <c r="R155" s="115"/>
      <c r="S155" s="115"/>
      <c r="T155" s="115"/>
      <c r="U155" s="115"/>
      <c r="V155" s="115"/>
      <c r="W155" s="122"/>
    </row>
    <row r="156" spans="1:23" ht="15.75" hidden="1" customHeight="1">
      <c r="A156" s="103"/>
      <c r="B156" s="103"/>
      <c r="C156" s="105"/>
      <c r="D156" s="105"/>
      <c r="E156" s="105"/>
      <c r="F156" s="124"/>
      <c r="G156" s="124"/>
      <c r="H156" s="108"/>
      <c r="I156" s="108"/>
      <c r="J156" s="108"/>
      <c r="K156" s="108"/>
      <c r="L156" s="67"/>
      <c r="M156" s="125"/>
      <c r="N156" s="125"/>
      <c r="O156" s="125"/>
      <c r="P156" s="125"/>
      <c r="Q156" s="125"/>
      <c r="R156" s="115"/>
      <c r="S156" s="115"/>
      <c r="T156" s="115"/>
      <c r="U156" s="115"/>
      <c r="V156" s="115"/>
      <c r="W156" s="122"/>
    </row>
    <row r="157" spans="1:23" ht="15.75" hidden="1" customHeight="1">
      <c r="A157" s="103"/>
      <c r="B157" s="103"/>
      <c r="C157" s="105"/>
      <c r="D157" s="105"/>
      <c r="E157" s="105"/>
      <c r="F157" s="124"/>
      <c r="G157" s="124"/>
      <c r="H157" s="108"/>
      <c r="I157" s="108"/>
      <c r="J157" s="108"/>
      <c r="K157" s="108"/>
      <c r="L157" s="67"/>
      <c r="M157" s="125"/>
      <c r="N157" s="125"/>
      <c r="O157" s="125"/>
      <c r="P157" s="125"/>
      <c r="Q157" s="125"/>
      <c r="R157" s="115"/>
      <c r="S157" s="115"/>
      <c r="T157" s="115"/>
      <c r="U157" s="115"/>
      <c r="V157" s="115"/>
      <c r="W157" s="122"/>
    </row>
    <row r="158" spans="1:23" ht="15.75" hidden="1" customHeight="1">
      <c r="A158" s="103"/>
      <c r="B158" s="103"/>
      <c r="C158" s="105"/>
      <c r="D158" s="105"/>
      <c r="E158" s="105"/>
      <c r="F158" s="124"/>
      <c r="G158" s="124"/>
      <c r="H158" s="108"/>
      <c r="I158" s="108"/>
      <c r="J158" s="108"/>
      <c r="K158" s="108"/>
      <c r="L158" s="67"/>
      <c r="M158" s="125"/>
      <c r="N158" s="125"/>
      <c r="O158" s="125"/>
      <c r="P158" s="125"/>
      <c r="Q158" s="125"/>
      <c r="R158" s="115"/>
      <c r="S158" s="115"/>
      <c r="T158" s="115"/>
      <c r="U158" s="115"/>
      <c r="V158" s="115"/>
      <c r="W158" s="122"/>
    </row>
    <row r="159" spans="1:23" ht="15.75" hidden="1" customHeight="1">
      <c r="A159" s="103"/>
      <c r="B159" s="103"/>
      <c r="C159" s="105"/>
      <c r="D159" s="105"/>
      <c r="E159" s="105"/>
      <c r="F159" s="124"/>
      <c r="G159" s="124"/>
      <c r="H159" s="108"/>
      <c r="I159" s="108"/>
      <c r="J159" s="108"/>
      <c r="K159" s="108"/>
      <c r="L159" s="67"/>
      <c r="M159" s="125"/>
      <c r="N159" s="125"/>
      <c r="O159" s="125"/>
      <c r="P159" s="125"/>
      <c r="Q159" s="125"/>
      <c r="R159" s="115"/>
      <c r="S159" s="115"/>
      <c r="T159" s="115"/>
      <c r="U159" s="115"/>
      <c r="V159" s="115"/>
      <c r="W159" s="122"/>
    </row>
    <row r="160" spans="1:23" ht="15.75" hidden="1" customHeight="1">
      <c r="A160" s="103"/>
      <c r="B160" s="103"/>
      <c r="C160" s="105"/>
      <c r="D160" s="105"/>
      <c r="E160" s="105"/>
      <c r="F160" s="124"/>
      <c r="G160" s="124"/>
      <c r="H160" s="108"/>
      <c r="I160" s="108"/>
      <c r="J160" s="108"/>
      <c r="K160" s="108"/>
      <c r="L160" s="67"/>
      <c r="M160" s="125"/>
      <c r="N160" s="125"/>
      <c r="O160" s="125"/>
      <c r="P160" s="125"/>
      <c r="Q160" s="125"/>
      <c r="R160" s="115"/>
      <c r="S160" s="115"/>
      <c r="T160" s="115"/>
      <c r="U160" s="115"/>
      <c r="V160" s="115"/>
      <c r="W160" s="122"/>
    </row>
    <row r="161" spans="1:23" ht="15.75" hidden="1" customHeight="1">
      <c r="A161" s="103"/>
      <c r="B161" s="103"/>
      <c r="C161" s="105"/>
      <c r="D161" s="105"/>
      <c r="E161" s="105"/>
      <c r="F161" s="124"/>
      <c r="G161" s="124"/>
      <c r="H161" s="108"/>
      <c r="I161" s="108"/>
      <c r="J161" s="108"/>
      <c r="K161" s="108"/>
      <c r="L161" s="67"/>
      <c r="M161" s="125"/>
      <c r="N161" s="125"/>
      <c r="O161" s="125"/>
      <c r="P161" s="125"/>
      <c r="Q161" s="125"/>
      <c r="R161" s="115"/>
      <c r="S161" s="115"/>
      <c r="T161" s="115"/>
      <c r="U161" s="115"/>
      <c r="V161" s="115"/>
      <c r="W161" s="122"/>
    </row>
    <row r="162" spans="1:23" ht="15.75" hidden="1" customHeight="1">
      <c r="A162" s="103"/>
      <c r="B162" s="103"/>
      <c r="C162" s="105"/>
      <c r="D162" s="105"/>
      <c r="E162" s="105"/>
      <c r="F162" s="124"/>
      <c r="G162" s="124"/>
      <c r="H162" s="108"/>
      <c r="I162" s="108"/>
      <c r="J162" s="108"/>
      <c r="K162" s="108"/>
      <c r="L162" s="67"/>
      <c r="M162" s="125"/>
      <c r="N162" s="125"/>
      <c r="O162" s="125"/>
      <c r="P162" s="125"/>
      <c r="Q162" s="125"/>
      <c r="R162" s="115"/>
      <c r="S162" s="115"/>
      <c r="T162" s="115"/>
      <c r="U162" s="115"/>
      <c r="V162" s="115"/>
      <c r="W162" s="122"/>
    </row>
    <row r="163" spans="1:23" ht="15.75" hidden="1" customHeight="1">
      <c r="A163" s="103"/>
      <c r="B163" s="103"/>
      <c r="C163" s="105"/>
      <c r="D163" s="105"/>
      <c r="E163" s="105"/>
      <c r="F163" s="124"/>
      <c r="G163" s="124"/>
      <c r="H163" s="108"/>
      <c r="I163" s="108"/>
      <c r="J163" s="108"/>
      <c r="K163" s="108"/>
      <c r="L163" s="67"/>
      <c r="M163" s="125"/>
      <c r="N163" s="125"/>
      <c r="O163" s="125"/>
      <c r="P163" s="125"/>
      <c r="Q163" s="125"/>
      <c r="R163" s="115"/>
      <c r="S163" s="115"/>
      <c r="T163" s="115"/>
      <c r="U163" s="115"/>
      <c r="V163" s="115"/>
      <c r="W163" s="122"/>
    </row>
    <row r="164" spans="1:23" ht="15.75" hidden="1" customHeight="1">
      <c r="A164" s="103"/>
      <c r="B164" s="103"/>
      <c r="C164" s="105"/>
      <c r="D164" s="105"/>
      <c r="E164" s="105"/>
      <c r="F164" s="124"/>
      <c r="G164" s="124"/>
      <c r="H164" s="108"/>
      <c r="I164" s="108"/>
      <c r="J164" s="108"/>
      <c r="K164" s="108"/>
      <c r="L164" s="67"/>
      <c r="M164" s="125"/>
      <c r="N164" s="125"/>
      <c r="O164" s="125"/>
      <c r="P164" s="125"/>
      <c r="Q164" s="125"/>
      <c r="R164" s="115"/>
      <c r="S164" s="115"/>
      <c r="T164" s="115"/>
      <c r="U164" s="115"/>
      <c r="V164" s="115"/>
      <c r="W164" s="122"/>
    </row>
    <row r="165" spans="1:23" ht="15.75" hidden="1" customHeight="1">
      <c r="A165" s="103"/>
      <c r="B165" s="103"/>
      <c r="C165" s="105"/>
      <c r="D165" s="105"/>
      <c r="E165" s="105"/>
      <c r="F165" s="124"/>
      <c r="G165" s="124"/>
      <c r="H165" s="108"/>
      <c r="I165" s="108"/>
      <c r="J165" s="108"/>
      <c r="K165" s="108"/>
      <c r="L165" s="67"/>
      <c r="M165" s="125"/>
      <c r="N165" s="125"/>
      <c r="O165" s="125"/>
      <c r="P165" s="125"/>
      <c r="Q165" s="125"/>
      <c r="R165" s="115"/>
      <c r="S165" s="115"/>
      <c r="T165" s="115"/>
      <c r="U165" s="115"/>
      <c r="V165" s="115"/>
      <c r="W165" s="122"/>
    </row>
    <row r="166" spans="1:23" ht="15.75" hidden="1" customHeight="1">
      <c r="A166" s="103"/>
      <c r="B166" s="103"/>
      <c r="C166" s="105"/>
      <c r="D166" s="105"/>
      <c r="E166" s="105"/>
      <c r="F166" s="124"/>
      <c r="G166" s="124"/>
      <c r="H166" s="108"/>
      <c r="I166" s="108"/>
      <c r="J166" s="108"/>
      <c r="K166" s="108"/>
      <c r="L166" s="67"/>
      <c r="M166" s="125"/>
      <c r="N166" s="125"/>
      <c r="O166" s="125"/>
      <c r="P166" s="125"/>
      <c r="Q166" s="125"/>
      <c r="R166" s="115"/>
      <c r="S166" s="115"/>
      <c r="T166" s="115"/>
      <c r="U166" s="115"/>
      <c r="V166" s="115"/>
      <c r="W166" s="122"/>
    </row>
    <row r="167" spans="1:23" ht="15.75" hidden="1" customHeight="1">
      <c r="A167" s="103"/>
      <c r="B167" s="103"/>
      <c r="C167" s="105"/>
      <c r="D167" s="105"/>
      <c r="E167" s="105"/>
      <c r="F167" s="124"/>
      <c r="G167" s="124"/>
      <c r="H167" s="108"/>
      <c r="I167" s="108"/>
      <c r="J167" s="108"/>
      <c r="K167" s="108"/>
      <c r="L167" s="67"/>
      <c r="M167" s="125"/>
      <c r="N167" s="125"/>
      <c r="O167" s="125"/>
      <c r="P167" s="125"/>
      <c r="Q167" s="125"/>
      <c r="R167" s="115"/>
      <c r="S167" s="115"/>
      <c r="T167" s="115"/>
      <c r="U167" s="115"/>
      <c r="V167" s="115"/>
      <c r="W167" s="122"/>
    </row>
    <row r="168" spans="1:23" ht="15.75" hidden="1" customHeight="1">
      <c r="A168" s="103"/>
      <c r="B168" s="103"/>
      <c r="C168" s="105"/>
      <c r="D168" s="105"/>
      <c r="E168" s="105"/>
      <c r="F168" s="124"/>
      <c r="G168" s="124"/>
      <c r="H168" s="108"/>
      <c r="I168" s="108"/>
      <c r="J168" s="108"/>
      <c r="K168" s="108"/>
      <c r="L168" s="67"/>
      <c r="M168" s="125"/>
      <c r="N168" s="125"/>
      <c r="O168" s="125"/>
      <c r="P168" s="125"/>
      <c r="Q168" s="125"/>
      <c r="R168" s="115"/>
      <c r="S168" s="115"/>
      <c r="T168" s="115"/>
      <c r="U168" s="115"/>
      <c r="V168" s="115"/>
      <c r="W168" s="122"/>
    </row>
    <row r="169" spans="1:23" ht="15.75" hidden="1" customHeight="1">
      <c r="A169" s="103"/>
      <c r="B169" s="103"/>
      <c r="C169" s="105"/>
      <c r="D169" s="105"/>
      <c r="E169" s="105"/>
      <c r="F169" s="124"/>
      <c r="G169" s="124"/>
      <c r="H169" s="108"/>
      <c r="I169" s="108"/>
      <c r="J169" s="108"/>
      <c r="K169" s="108"/>
      <c r="L169" s="67"/>
      <c r="M169" s="125"/>
      <c r="N169" s="125"/>
      <c r="O169" s="125"/>
      <c r="P169" s="125"/>
      <c r="Q169" s="125"/>
      <c r="R169" s="115"/>
      <c r="S169" s="115"/>
      <c r="T169" s="115"/>
      <c r="U169" s="115"/>
      <c r="V169" s="115"/>
      <c r="W169" s="122"/>
    </row>
    <row r="170" spans="1:23" ht="15.75" hidden="1" customHeight="1">
      <c r="A170" s="103"/>
      <c r="B170" s="103"/>
      <c r="C170" s="105"/>
      <c r="D170" s="105"/>
      <c r="E170" s="105"/>
      <c r="F170" s="124"/>
      <c r="G170" s="124"/>
      <c r="H170" s="108"/>
      <c r="I170" s="108"/>
      <c r="J170" s="108"/>
      <c r="K170" s="108"/>
      <c r="L170" s="67"/>
      <c r="M170" s="125"/>
      <c r="N170" s="125"/>
      <c r="O170" s="125"/>
      <c r="P170" s="125"/>
      <c r="Q170" s="125"/>
      <c r="R170" s="115"/>
      <c r="S170" s="115"/>
      <c r="T170" s="115"/>
      <c r="U170" s="115"/>
      <c r="V170" s="115"/>
      <c r="W170" s="122"/>
    </row>
    <row r="171" spans="1:23" ht="15.75" hidden="1" customHeight="1">
      <c r="A171" s="103"/>
      <c r="B171" s="103"/>
      <c r="C171" s="105"/>
      <c r="D171" s="105"/>
      <c r="E171" s="105"/>
      <c r="F171" s="124"/>
      <c r="G171" s="124"/>
      <c r="H171" s="108"/>
      <c r="I171" s="108"/>
      <c r="J171" s="108"/>
      <c r="K171" s="108"/>
      <c r="L171" s="67"/>
      <c r="M171" s="125"/>
      <c r="N171" s="125"/>
      <c r="O171" s="125"/>
      <c r="P171" s="125"/>
      <c r="Q171" s="125"/>
      <c r="R171" s="115"/>
      <c r="S171" s="115"/>
      <c r="T171" s="115"/>
      <c r="U171" s="115"/>
      <c r="V171" s="115"/>
      <c r="W171" s="122"/>
    </row>
    <row r="172" spans="1:23" ht="15.75" hidden="1" customHeight="1">
      <c r="A172" s="103"/>
      <c r="B172" s="103"/>
      <c r="C172" s="105"/>
      <c r="D172" s="105"/>
      <c r="E172" s="105"/>
      <c r="F172" s="124"/>
      <c r="G172" s="124"/>
      <c r="H172" s="108"/>
      <c r="I172" s="108"/>
      <c r="J172" s="108"/>
      <c r="K172" s="108"/>
      <c r="L172" s="67"/>
      <c r="M172" s="125"/>
      <c r="N172" s="125"/>
      <c r="O172" s="125"/>
      <c r="P172" s="125"/>
      <c r="Q172" s="125"/>
      <c r="R172" s="115"/>
      <c r="S172" s="115"/>
      <c r="T172" s="115"/>
      <c r="U172" s="115"/>
      <c r="V172" s="115"/>
      <c r="W172" s="122"/>
    </row>
    <row r="173" spans="1:23" ht="15.75" hidden="1" customHeight="1">
      <c r="A173" s="103"/>
      <c r="B173" s="103"/>
      <c r="C173" s="105"/>
      <c r="D173" s="105"/>
      <c r="E173" s="105"/>
      <c r="F173" s="124"/>
      <c r="G173" s="124"/>
      <c r="H173" s="108"/>
      <c r="I173" s="108"/>
      <c r="J173" s="108"/>
      <c r="K173" s="108"/>
      <c r="L173" s="67"/>
      <c r="M173" s="125"/>
      <c r="N173" s="125"/>
      <c r="O173" s="125"/>
      <c r="P173" s="125"/>
      <c r="Q173" s="125"/>
      <c r="R173" s="115"/>
      <c r="S173" s="115"/>
      <c r="T173" s="115"/>
      <c r="U173" s="115"/>
      <c r="V173" s="115"/>
      <c r="W173" s="122"/>
    </row>
    <row r="174" spans="1:23" ht="15.75" hidden="1" customHeight="1">
      <c r="A174" s="103"/>
      <c r="B174" s="103"/>
      <c r="C174" s="105"/>
      <c r="D174" s="105"/>
      <c r="E174" s="105"/>
      <c r="F174" s="124"/>
      <c r="G174" s="124"/>
      <c r="H174" s="108"/>
      <c r="I174" s="108"/>
      <c r="J174" s="108"/>
      <c r="K174" s="108"/>
      <c r="L174" s="67"/>
      <c r="M174" s="125"/>
      <c r="N174" s="125"/>
      <c r="O174" s="125"/>
      <c r="P174" s="125"/>
      <c r="Q174" s="125"/>
      <c r="R174" s="115"/>
      <c r="S174" s="115"/>
      <c r="T174" s="115"/>
      <c r="U174" s="115"/>
      <c r="V174" s="115"/>
      <c r="W174" s="122"/>
    </row>
    <row r="175" spans="1:23" ht="15.75" hidden="1" customHeight="1">
      <c r="A175" s="103"/>
      <c r="B175" s="103"/>
      <c r="C175" s="105"/>
      <c r="D175" s="105"/>
      <c r="E175" s="105"/>
      <c r="F175" s="124"/>
      <c r="G175" s="124"/>
      <c r="H175" s="108"/>
      <c r="I175" s="108"/>
      <c r="J175" s="108"/>
      <c r="K175" s="108"/>
      <c r="L175" s="67"/>
      <c r="M175" s="125"/>
      <c r="N175" s="125"/>
      <c r="O175" s="125"/>
      <c r="P175" s="125"/>
      <c r="Q175" s="125"/>
      <c r="R175" s="115"/>
      <c r="S175" s="115"/>
      <c r="T175" s="115"/>
      <c r="U175" s="115"/>
      <c r="V175" s="115"/>
      <c r="W175" s="122"/>
    </row>
    <row r="176" spans="1:23" ht="15.75" hidden="1" customHeight="1">
      <c r="A176" s="103"/>
      <c r="B176" s="103"/>
      <c r="C176" s="105"/>
      <c r="D176" s="105"/>
      <c r="E176" s="105"/>
      <c r="F176" s="124"/>
      <c r="G176" s="124"/>
      <c r="H176" s="108"/>
      <c r="I176" s="108"/>
      <c r="J176" s="108"/>
      <c r="K176" s="108"/>
      <c r="L176" s="67"/>
      <c r="M176" s="125"/>
      <c r="N176" s="125"/>
      <c r="O176" s="125"/>
      <c r="P176" s="125"/>
      <c r="Q176" s="125"/>
      <c r="R176" s="115"/>
      <c r="S176" s="115"/>
      <c r="T176" s="115"/>
      <c r="U176" s="115"/>
      <c r="V176" s="115"/>
      <c r="W176" s="122"/>
    </row>
    <row r="177" spans="1:23" ht="15.75" hidden="1" customHeight="1">
      <c r="A177" s="103"/>
      <c r="B177" s="103"/>
      <c r="C177" s="105"/>
      <c r="D177" s="105"/>
      <c r="E177" s="105"/>
      <c r="F177" s="124"/>
      <c r="G177" s="124"/>
      <c r="H177" s="108"/>
      <c r="I177" s="108"/>
      <c r="J177" s="108"/>
      <c r="K177" s="108"/>
      <c r="L177" s="67"/>
      <c r="M177" s="125"/>
      <c r="N177" s="125"/>
      <c r="O177" s="125"/>
      <c r="P177" s="125"/>
      <c r="Q177" s="125"/>
      <c r="R177" s="115"/>
      <c r="S177" s="115"/>
      <c r="T177" s="115"/>
      <c r="U177" s="115"/>
      <c r="V177" s="115"/>
      <c r="W177" s="122"/>
    </row>
    <row r="178" spans="1:23" ht="15.75" hidden="1" customHeight="1">
      <c r="A178" s="103"/>
      <c r="B178" s="103"/>
      <c r="C178" s="105"/>
      <c r="D178" s="105"/>
      <c r="E178" s="105"/>
      <c r="F178" s="124"/>
      <c r="G178" s="124"/>
      <c r="H178" s="108"/>
      <c r="I178" s="108"/>
      <c r="J178" s="108"/>
      <c r="K178" s="108"/>
      <c r="L178" s="67"/>
      <c r="M178" s="125"/>
      <c r="N178" s="125"/>
      <c r="O178" s="125"/>
      <c r="P178" s="125"/>
      <c r="Q178" s="125"/>
      <c r="R178" s="115"/>
      <c r="S178" s="115"/>
      <c r="T178" s="115"/>
      <c r="U178" s="115"/>
      <c r="V178" s="115"/>
      <c r="W178" s="122"/>
    </row>
    <row r="179" spans="1:23" ht="15.75" hidden="1" customHeight="1">
      <c r="A179" s="103"/>
      <c r="B179" s="103"/>
      <c r="C179" s="105"/>
      <c r="D179" s="105"/>
      <c r="E179" s="105"/>
      <c r="F179" s="124"/>
      <c r="G179" s="124"/>
      <c r="H179" s="108"/>
      <c r="I179" s="108"/>
      <c r="J179" s="108"/>
      <c r="K179" s="108"/>
      <c r="L179" s="67"/>
      <c r="M179" s="125"/>
      <c r="N179" s="125"/>
      <c r="O179" s="125"/>
      <c r="P179" s="125"/>
      <c r="Q179" s="125"/>
      <c r="R179" s="115"/>
      <c r="S179" s="115"/>
      <c r="T179" s="115"/>
      <c r="U179" s="115"/>
      <c r="V179" s="115"/>
      <c r="W179" s="122"/>
    </row>
    <row r="180" spans="1:23" ht="15.75" hidden="1" customHeight="1">
      <c r="A180" s="103"/>
      <c r="B180" s="103"/>
      <c r="C180" s="105"/>
      <c r="D180" s="105"/>
      <c r="E180" s="105"/>
      <c r="F180" s="124"/>
      <c r="G180" s="124"/>
      <c r="H180" s="108"/>
      <c r="I180" s="108"/>
      <c r="J180" s="108"/>
      <c r="K180" s="108"/>
      <c r="L180" s="67"/>
      <c r="M180" s="125"/>
      <c r="N180" s="125"/>
      <c r="O180" s="125"/>
      <c r="P180" s="125"/>
      <c r="Q180" s="125"/>
      <c r="R180" s="115"/>
      <c r="S180" s="115"/>
      <c r="T180" s="115"/>
      <c r="U180" s="115"/>
      <c r="V180" s="115"/>
      <c r="W180" s="122"/>
    </row>
    <row r="181" spans="1:23" ht="15.75" hidden="1" customHeight="1">
      <c r="A181" s="103"/>
      <c r="B181" s="103"/>
      <c r="C181" s="105"/>
      <c r="D181" s="105"/>
      <c r="E181" s="105"/>
      <c r="F181" s="124"/>
      <c r="G181" s="124"/>
      <c r="H181" s="108"/>
      <c r="I181" s="108"/>
      <c r="J181" s="108"/>
      <c r="K181" s="108"/>
      <c r="L181" s="67"/>
      <c r="M181" s="125"/>
      <c r="N181" s="125"/>
      <c r="O181" s="125"/>
      <c r="P181" s="125"/>
      <c r="Q181" s="125"/>
      <c r="R181" s="115"/>
      <c r="S181" s="115"/>
      <c r="T181" s="115"/>
      <c r="U181" s="115"/>
      <c r="V181" s="115"/>
      <c r="W181" s="122"/>
    </row>
    <row r="182" spans="1:23" ht="15.75" hidden="1" customHeight="1">
      <c r="A182" s="103"/>
      <c r="B182" s="103"/>
      <c r="C182" s="105"/>
      <c r="D182" s="105"/>
      <c r="E182" s="105"/>
      <c r="F182" s="124"/>
      <c r="G182" s="124"/>
      <c r="H182" s="108"/>
      <c r="I182" s="108"/>
      <c r="J182" s="108"/>
      <c r="K182" s="108"/>
      <c r="L182" s="67"/>
      <c r="M182" s="125"/>
      <c r="N182" s="125"/>
      <c r="O182" s="125"/>
      <c r="P182" s="125"/>
      <c r="Q182" s="125"/>
      <c r="R182" s="115"/>
      <c r="S182" s="115"/>
      <c r="T182" s="115"/>
      <c r="U182" s="115"/>
      <c r="V182" s="115"/>
      <c r="W182" s="122"/>
    </row>
    <row r="183" spans="1:23" ht="15.75" hidden="1" customHeight="1">
      <c r="A183" s="103"/>
      <c r="B183" s="103"/>
      <c r="C183" s="105"/>
      <c r="D183" s="105"/>
      <c r="E183" s="105"/>
      <c r="F183" s="124"/>
      <c r="G183" s="124"/>
      <c r="H183" s="108"/>
      <c r="I183" s="108"/>
      <c r="J183" s="108"/>
      <c r="K183" s="108"/>
      <c r="L183" s="67"/>
      <c r="M183" s="125"/>
      <c r="N183" s="125"/>
      <c r="O183" s="125"/>
      <c r="P183" s="125"/>
      <c r="Q183" s="125"/>
      <c r="R183" s="115"/>
      <c r="S183" s="115"/>
      <c r="T183" s="115"/>
      <c r="U183" s="115"/>
      <c r="V183" s="115"/>
      <c r="W183" s="122"/>
    </row>
    <row r="184" spans="1:23" ht="15.75" hidden="1" customHeight="1">
      <c r="A184" s="103"/>
      <c r="B184" s="103"/>
      <c r="C184" s="105"/>
      <c r="D184" s="105"/>
      <c r="E184" s="105"/>
      <c r="F184" s="124"/>
      <c r="G184" s="124"/>
      <c r="H184" s="108"/>
      <c r="I184" s="108"/>
      <c r="J184" s="108"/>
      <c r="K184" s="108"/>
      <c r="L184" s="67"/>
      <c r="M184" s="125"/>
      <c r="N184" s="125"/>
      <c r="O184" s="125"/>
      <c r="P184" s="125"/>
      <c r="Q184" s="125"/>
      <c r="R184" s="115"/>
      <c r="S184" s="115"/>
      <c r="T184" s="115"/>
      <c r="U184" s="115"/>
      <c r="V184" s="115"/>
      <c r="W184" s="122"/>
    </row>
    <row r="185" spans="1:23" ht="15.75" hidden="1" customHeight="1">
      <c r="A185" s="103"/>
      <c r="B185" s="103"/>
      <c r="C185" s="105"/>
      <c r="D185" s="105"/>
      <c r="E185" s="105"/>
      <c r="F185" s="124"/>
      <c r="G185" s="124"/>
      <c r="H185" s="108"/>
      <c r="I185" s="108"/>
      <c r="J185" s="108"/>
      <c r="K185" s="108"/>
      <c r="L185" s="67"/>
      <c r="M185" s="125"/>
      <c r="N185" s="125"/>
      <c r="O185" s="125"/>
      <c r="P185" s="125"/>
      <c r="Q185" s="125"/>
      <c r="R185" s="115"/>
      <c r="S185" s="115"/>
      <c r="T185" s="115"/>
      <c r="U185" s="115"/>
      <c r="V185" s="115"/>
      <c r="W185" s="122"/>
    </row>
    <row r="186" spans="1:23" ht="15.75" hidden="1" customHeight="1">
      <c r="A186" s="103"/>
      <c r="B186" s="103"/>
      <c r="C186" s="105"/>
      <c r="D186" s="105"/>
      <c r="E186" s="105"/>
      <c r="F186" s="124"/>
      <c r="G186" s="124"/>
      <c r="H186" s="108"/>
      <c r="I186" s="108"/>
      <c r="J186" s="108"/>
      <c r="K186" s="108"/>
      <c r="L186" s="67"/>
      <c r="M186" s="125"/>
      <c r="N186" s="125"/>
      <c r="O186" s="125"/>
      <c r="P186" s="125"/>
      <c r="Q186" s="125"/>
      <c r="R186" s="115"/>
      <c r="S186" s="115"/>
      <c r="T186" s="115"/>
      <c r="U186" s="115"/>
      <c r="V186" s="115"/>
      <c r="W186" s="122"/>
    </row>
    <row r="187" spans="1:23" ht="15.75" hidden="1" customHeight="1">
      <c r="A187" s="103"/>
      <c r="B187" s="103"/>
      <c r="C187" s="105"/>
      <c r="D187" s="105"/>
      <c r="E187" s="105"/>
      <c r="F187" s="124"/>
      <c r="G187" s="124"/>
      <c r="H187" s="108"/>
      <c r="I187" s="108"/>
      <c r="J187" s="108"/>
      <c r="K187" s="108"/>
      <c r="L187" s="67"/>
      <c r="M187" s="125"/>
      <c r="N187" s="125"/>
      <c r="O187" s="125"/>
      <c r="P187" s="125"/>
      <c r="Q187" s="125"/>
      <c r="R187" s="115"/>
      <c r="S187" s="115"/>
      <c r="T187" s="115"/>
      <c r="U187" s="115"/>
      <c r="V187" s="115"/>
      <c r="W187" s="122"/>
    </row>
    <row r="188" spans="1:23" ht="15.75" hidden="1" customHeight="1">
      <c r="A188" s="103"/>
      <c r="B188" s="103"/>
      <c r="C188" s="105"/>
      <c r="D188" s="105"/>
      <c r="E188" s="105"/>
      <c r="F188" s="124"/>
      <c r="G188" s="124"/>
      <c r="H188" s="108"/>
      <c r="I188" s="108"/>
      <c r="J188" s="108"/>
      <c r="K188" s="108"/>
      <c r="L188" s="67"/>
      <c r="M188" s="125"/>
      <c r="N188" s="125"/>
      <c r="O188" s="125"/>
      <c r="P188" s="125"/>
      <c r="Q188" s="125"/>
      <c r="R188" s="115"/>
      <c r="S188" s="115"/>
      <c r="T188" s="115"/>
      <c r="U188" s="115"/>
      <c r="V188" s="115"/>
      <c r="W188" s="122"/>
    </row>
    <row r="189" spans="1:23" ht="15.75" hidden="1" customHeight="1">
      <c r="A189" s="103"/>
      <c r="B189" s="103"/>
      <c r="C189" s="105"/>
      <c r="D189" s="105"/>
      <c r="E189" s="105"/>
      <c r="F189" s="124"/>
      <c r="G189" s="124"/>
      <c r="H189" s="108"/>
      <c r="I189" s="108"/>
      <c r="J189" s="108"/>
      <c r="K189" s="108"/>
      <c r="L189" s="67"/>
      <c r="M189" s="125"/>
      <c r="N189" s="125"/>
      <c r="O189" s="125"/>
      <c r="P189" s="125"/>
      <c r="Q189" s="125"/>
      <c r="R189" s="115"/>
      <c r="S189" s="115"/>
      <c r="T189" s="115"/>
      <c r="U189" s="115"/>
      <c r="V189" s="115"/>
      <c r="W189" s="122"/>
    </row>
    <row r="190" spans="1:23" ht="15.75" hidden="1" customHeight="1">
      <c r="A190" s="103"/>
      <c r="B190" s="103"/>
      <c r="C190" s="105"/>
      <c r="D190" s="105"/>
      <c r="E190" s="105"/>
      <c r="F190" s="124"/>
      <c r="G190" s="124"/>
      <c r="H190" s="108"/>
      <c r="I190" s="108"/>
      <c r="J190" s="108"/>
      <c r="K190" s="108"/>
      <c r="L190" s="67"/>
      <c r="M190" s="125"/>
      <c r="N190" s="125"/>
      <c r="O190" s="125"/>
      <c r="P190" s="125"/>
      <c r="Q190" s="125"/>
      <c r="R190" s="115"/>
      <c r="S190" s="115"/>
      <c r="T190" s="115"/>
      <c r="U190" s="115"/>
      <c r="V190" s="115"/>
      <c r="W190" s="122"/>
    </row>
    <row r="191" spans="1:23" ht="15.75" hidden="1" customHeight="1">
      <c r="A191" s="103"/>
      <c r="B191" s="103"/>
      <c r="C191" s="105"/>
      <c r="D191" s="105"/>
      <c r="E191" s="105"/>
      <c r="F191" s="124"/>
      <c r="G191" s="124"/>
      <c r="H191" s="108"/>
      <c r="I191" s="108"/>
      <c r="J191" s="108"/>
      <c r="K191" s="108"/>
      <c r="L191" s="67"/>
      <c r="M191" s="125"/>
      <c r="N191" s="125"/>
      <c r="O191" s="125"/>
      <c r="P191" s="125"/>
      <c r="Q191" s="125"/>
      <c r="R191" s="115"/>
      <c r="S191" s="115"/>
      <c r="T191" s="115"/>
      <c r="U191" s="115"/>
      <c r="V191" s="115"/>
      <c r="W191" s="122"/>
    </row>
    <row r="192" spans="1:23" ht="15.75" hidden="1" customHeight="1">
      <c r="A192" s="103"/>
      <c r="B192" s="103"/>
      <c r="C192" s="105"/>
      <c r="D192" s="105"/>
      <c r="E192" s="105"/>
      <c r="F192" s="124"/>
      <c r="G192" s="124"/>
      <c r="H192" s="108"/>
      <c r="I192" s="108"/>
      <c r="J192" s="108"/>
      <c r="K192" s="108"/>
      <c r="L192" s="67"/>
      <c r="M192" s="125"/>
      <c r="N192" s="125"/>
      <c r="O192" s="125"/>
      <c r="P192" s="125"/>
      <c r="Q192" s="125"/>
      <c r="R192" s="115"/>
      <c r="S192" s="115"/>
      <c r="T192" s="115"/>
      <c r="U192" s="115"/>
      <c r="V192" s="115"/>
      <c r="W192" s="122"/>
    </row>
    <row r="193" spans="1:23" ht="15.75" hidden="1" customHeight="1">
      <c r="A193" s="103"/>
      <c r="B193" s="103"/>
      <c r="C193" s="105"/>
      <c r="D193" s="105"/>
      <c r="E193" s="105"/>
      <c r="F193" s="124"/>
      <c r="G193" s="124"/>
      <c r="H193" s="108"/>
      <c r="I193" s="108"/>
      <c r="J193" s="108"/>
      <c r="K193" s="108"/>
      <c r="L193" s="67"/>
      <c r="M193" s="125"/>
      <c r="N193" s="125"/>
      <c r="O193" s="125"/>
      <c r="P193" s="125"/>
      <c r="Q193" s="125"/>
      <c r="R193" s="115"/>
      <c r="S193" s="115"/>
      <c r="T193" s="115"/>
      <c r="U193" s="115"/>
      <c r="V193" s="115"/>
      <c r="W193" s="122"/>
    </row>
    <row r="194" spans="1:23" ht="15.75" hidden="1" customHeight="1">
      <c r="A194" s="103"/>
      <c r="B194" s="103"/>
      <c r="C194" s="105"/>
      <c r="D194" s="105"/>
      <c r="E194" s="105"/>
      <c r="F194" s="124"/>
      <c r="G194" s="124"/>
      <c r="H194" s="108"/>
      <c r="I194" s="108"/>
      <c r="J194" s="108"/>
      <c r="K194" s="108"/>
      <c r="L194" s="67"/>
      <c r="M194" s="125"/>
      <c r="N194" s="125"/>
      <c r="O194" s="125"/>
      <c r="P194" s="125"/>
      <c r="Q194" s="125"/>
      <c r="R194" s="115"/>
      <c r="S194" s="115"/>
      <c r="T194" s="115"/>
      <c r="U194" s="115"/>
      <c r="V194" s="115"/>
      <c r="W194" s="122"/>
    </row>
    <row r="195" spans="1:23" ht="15.75" hidden="1" customHeight="1">
      <c r="A195" s="103"/>
      <c r="B195" s="103"/>
      <c r="C195" s="105"/>
      <c r="D195" s="105"/>
      <c r="E195" s="105"/>
      <c r="F195" s="124"/>
      <c r="G195" s="124"/>
      <c r="H195" s="108"/>
      <c r="I195" s="108"/>
      <c r="J195" s="108"/>
      <c r="K195" s="108"/>
      <c r="L195" s="67"/>
      <c r="M195" s="125"/>
      <c r="N195" s="125"/>
      <c r="O195" s="125"/>
      <c r="P195" s="125"/>
      <c r="Q195" s="125"/>
      <c r="R195" s="115"/>
      <c r="S195" s="115"/>
      <c r="T195" s="115"/>
      <c r="U195" s="115"/>
      <c r="V195" s="115"/>
      <c r="W195" s="122"/>
    </row>
    <row r="196" spans="1:23" ht="15.75" hidden="1" customHeight="1">
      <c r="A196" s="103"/>
      <c r="B196" s="103"/>
      <c r="C196" s="105"/>
      <c r="D196" s="105"/>
      <c r="E196" s="105"/>
      <c r="F196" s="124"/>
      <c r="G196" s="124"/>
      <c r="H196" s="108"/>
      <c r="I196" s="108"/>
      <c r="J196" s="108"/>
      <c r="K196" s="108"/>
      <c r="L196" s="67"/>
      <c r="M196" s="125"/>
      <c r="N196" s="125"/>
      <c r="O196" s="125"/>
      <c r="P196" s="125"/>
      <c r="Q196" s="125"/>
      <c r="R196" s="115"/>
      <c r="S196" s="115"/>
      <c r="T196" s="115"/>
      <c r="U196" s="115"/>
      <c r="V196" s="115"/>
      <c r="W196" s="122"/>
    </row>
    <row r="197" spans="1:23" ht="15.75" hidden="1" customHeight="1">
      <c r="A197" s="103"/>
      <c r="B197" s="103"/>
      <c r="C197" s="105"/>
      <c r="D197" s="105"/>
      <c r="E197" s="105"/>
      <c r="F197" s="124"/>
      <c r="G197" s="124"/>
      <c r="H197" s="108"/>
      <c r="I197" s="108"/>
      <c r="J197" s="108"/>
      <c r="K197" s="108"/>
      <c r="L197" s="67"/>
      <c r="M197" s="125"/>
      <c r="N197" s="125"/>
      <c r="O197" s="125"/>
      <c r="P197" s="125"/>
      <c r="Q197" s="125"/>
      <c r="R197" s="115"/>
      <c r="S197" s="115"/>
      <c r="T197" s="115"/>
      <c r="U197" s="115"/>
      <c r="V197" s="115"/>
      <c r="W197" s="122"/>
    </row>
    <row r="198" spans="1:23" ht="15.75" hidden="1" customHeight="1">
      <c r="A198" s="103"/>
      <c r="B198" s="103"/>
      <c r="C198" s="105"/>
      <c r="D198" s="105"/>
      <c r="E198" s="105"/>
      <c r="F198" s="124"/>
      <c r="G198" s="124"/>
      <c r="H198" s="108"/>
      <c r="I198" s="108"/>
      <c r="J198" s="108"/>
      <c r="K198" s="108"/>
      <c r="L198" s="67"/>
      <c r="M198" s="125"/>
      <c r="N198" s="125"/>
      <c r="O198" s="125"/>
      <c r="P198" s="125"/>
      <c r="Q198" s="125"/>
      <c r="R198" s="115"/>
      <c r="S198" s="115"/>
      <c r="T198" s="115"/>
      <c r="U198" s="115"/>
      <c r="V198" s="115"/>
      <c r="W198" s="122"/>
    </row>
    <row r="199" spans="1:23" ht="15.75" hidden="1" customHeight="1">
      <c r="A199" s="103"/>
      <c r="B199" s="103"/>
      <c r="C199" s="105"/>
      <c r="D199" s="105"/>
      <c r="E199" s="105"/>
      <c r="F199" s="124"/>
      <c r="G199" s="124"/>
      <c r="H199" s="108"/>
      <c r="I199" s="108"/>
      <c r="J199" s="108"/>
      <c r="K199" s="108"/>
      <c r="L199" s="67"/>
      <c r="M199" s="125"/>
      <c r="N199" s="125"/>
      <c r="O199" s="125"/>
      <c r="P199" s="125"/>
      <c r="Q199" s="125"/>
      <c r="R199" s="115"/>
      <c r="S199" s="115"/>
      <c r="T199" s="115"/>
      <c r="U199" s="115"/>
      <c r="V199" s="115"/>
      <c r="W199" s="122"/>
    </row>
    <row r="200" spans="1:23" ht="15.75" hidden="1" customHeight="1">
      <c r="A200" s="103"/>
      <c r="B200" s="103"/>
      <c r="C200" s="105"/>
      <c r="D200" s="105"/>
      <c r="E200" s="105"/>
      <c r="F200" s="124"/>
      <c r="G200" s="124"/>
      <c r="H200" s="108"/>
      <c r="I200" s="108"/>
      <c r="J200" s="108"/>
      <c r="K200" s="108"/>
      <c r="L200" s="67"/>
      <c r="M200" s="125"/>
      <c r="N200" s="125"/>
      <c r="O200" s="125"/>
      <c r="P200" s="125"/>
      <c r="Q200" s="125"/>
      <c r="R200" s="115"/>
      <c r="S200" s="115"/>
      <c r="T200" s="115"/>
      <c r="U200" s="115"/>
      <c r="V200" s="115"/>
      <c r="W200" s="122"/>
    </row>
    <row r="201" spans="1:23" ht="15.75" hidden="1" customHeight="1">
      <c r="A201" s="103"/>
      <c r="B201" s="103"/>
      <c r="C201" s="105"/>
      <c r="D201" s="105"/>
      <c r="E201" s="105"/>
      <c r="F201" s="124"/>
      <c r="G201" s="124"/>
      <c r="H201" s="108"/>
      <c r="I201" s="108"/>
      <c r="J201" s="108"/>
      <c r="K201" s="108"/>
      <c r="L201" s="67"/>
      <c r="M201" s="125"/>
      <c r="N201" s="125"/>
      <c r="O201" s="125"/>
      <c r="P201" s="125"/>
      <c r="Q201" s="125"/>
      <c r="R201" s="115"/>
      <c r="S201" s="115"/>
      <c r="T201" s="115"/>
      <c r="U201" s="115"/>
      <c r="V201" s="115"/>
      <c r="W201" s="122"/>
    </row>
    <row r="202" spans="1:23" ht="15.75" hidden="1" customHeight="1">
      <c r="A202" s="103"/>
      <c r="B202" s="103"/>
      <c r="C202" s="105"/>
      <c r="D202" s="105"/>
      <c r="E202" s="105"/>
      <c r="F202" s="124"/>
      <c r="G202" s="124"/>
      <c r="H202" s="108"/>
      <c r="I202" s="108"/>
      <c r="J202" s="108"/>
      <c r="K202" s="108"/>
      <c r="L202" s="67"/>
      <c r="M202" s="125"/>
      <c r="N202" s="125"/>
      <c r="O202" s="125"/>
      <c r="P202" s="125"/>
      <c r="Q202" s="125"/>
      <c r="R202" s="115"/>
      <c r="S202" s="115"/>
      <c r="T202" s="115"/>
      <c r="U202" s="115"/>
      <c r="V202" s="115"/>
      <c r="W202" s="122"/>
    </row>
    <row r="203" spans="1:23" ht="15.75" hidden="1" customHeight="1">
      <c r="A203" s="103"/>
      <c r="B203" s="103"/>
      <c r="C203" s="105"/>
      <c r="D203" s="105"/>
      <c r="E203" s="105"/>
      <c r="F203" s="124"/>
      <c r="G203" s="124"/>
      <c r="H203" s="108"/>
      <c r="I203" s="108"/>
      <c r="J203" s="108"/>
      <c r="K203" s="108"/>
      <c r="L203" s="67"/>
      <c r="M203" s="125"/>
      <c r="N203" s="125"/>
      <c r="O203" s="125"/>
      <c r="P203" s="125"/>
      <c r="Q203" s="125"/>
      <c r="R203" s="115"/>
      <c r="S203" s="115"/>
      <c r="T203" s="115"/>
      <c r="U203" s="115"/>
      <c r="V203" s="115"/>
      <c r="W203" s="122"/>
    </row>
    <row r="204" spans="1:23" ht="15.75" hidden="1" customHeight="1">
      <c r="A204" s="103"/>
      <c r="B204" s="103"/>
      <c r="C204" s="105"/>
      <c r="D204" s="105"/>
      <c r="E204" s="105"/>
      <c r="F204" s="124"/>
      <c r="G204" s="124"/>
      <c r="H204" s="108"/>
      <c r="I204" s="108"/>
      <c r="J204" s="108"/>
      <c r="K204" s="108"/>
      <c r="L204" s="67"/>
      <c r="M204" s="125"/>
      <c r="N204" s="125"/>
      <c r="O204" s="125"/>
      <c r="P204" s="125"/>
      <c r="Q204" s="125"/>
      <c r="R204" s="115"/>
      <c r="S204" s="115"/>
      <c r="T204" s="115"/>
      <c r="U204" s="115"/>
      <c r="V204" s="115"/>
      <c r="W204" s="122"/>
    </row>
    <row r="205" spans="1:23" ht="15.75" hidden="1" customHeight="1">
      <c r="A205" s="103"/>
      <c r="B205" s="103"/>
      <c r="C205" s="105"/>
      <c r="D205" s="105"/>
      <c r="E205" s="105"/>
      <c r="F205" s="124"/>
      <c r="G205" s="124"/>
      <c r="H205" s="108"/>
      <c r="I205" s="108"/>
      <c r="J205" s="108"/>
      <c r="K205" s="108"/>
      <c r="L205" s="67"/>
      <c r="M205" s="125"/>
      <c r="N205" s="125"/>
      <c r="O205" s="125"/>
      <c r="P205" s="125"/>
      <c r="Q205" s="125"/>
      <c r="R205" s="115"/>
      <c r="S205" s="115"/>
      <c r="T205" s="115"/>
      <c r="U205" s="115"/>
      <c r="V205" s="115"/>
      <c r="W205" s="122"/>
    </row>
    <row r="206" spans="1:23" ht="15.75" hidden="1" customHeight="1">
      <c r="A206" s="103"/>
      <c r="B206" s="103"/>
      <c r="C206" s="105"/>
      <c r="D206" s="105"/>
      <c r="E206" s="105"/>
      <c r="F206" s="124"/>
      <c r="G206" s="124"/>
      <c r="H206" s="108"/>
      <c r="I206" s="108"/>
      <c r="J206" s="108"/>
      <c r="K206" s="108"/>
      <c r="L206" s="67"/>
      <c r="M206" s="125"/>
      <c r="N206" s="125"/>
      <c r="O206" s="125"/>
      <c r="P206" s="125"/>
      <c r="Q206" s="125"/>
      <c r="R206" s="115"/>
      <c r="S206" s="115"/>
      <c r="T206" s="115"/>
      <c r="U206" s="115"/>
      <c r="V206" s="115"/>
      <c r="W206" s="122"/>
    </row>
    <row r="207" spans="1:23" ht="15.75" hidden="1" customHeight="1">
      <c r="A207" s="103"/>
      <c r="B207" s="103"/>
      <c r="C207" s="105"/>
      <c r="D207" s="105"/>
      <c r="E207" s="105"/>
      <c r="F207" s="124"/>
      <c r="G207" s="124"/>
      <c r="H207" s="108"/>
      <c r="I207" s="108"/>
      <c r="J207" s="108"/>
      <c r="K207" s="108"/>
      <c r="L207" s="67"/>
      <c r="M207" s="125"/>
      <c r="N207" s="125"/>
      <c r="O207" s="125"/>
      <c r="P207" s="125"/>
      <c r="Q207" s="125"/>
      <c r="R207" s="115"/>
      <c r="S207" s="115"/>
      <c r="T207" s="115"/>
      <c r="U207" s="115"/>
      <c r="V207" s="115"/>
      <c r="W207" s="122"/>
    </row>
    <row r="208" spans="1:23" ht="15.75" hidden="1" customHeight="1">
      <c r="A208" s="103"/>
      <c r="B208" s="103"/>
      <c r="C208" s="105"/>
      <c r="D208" s="105"/>
      <c r="E208" s="105"/>
      <c r="F208" s="124"/>
      <c r="G208" s="124"/>
      <c r="H208" s="108"/>
      <c r="I208" s="108"/>
      <c r="J208" s="108"/>
      <c r="K208" s="108"/>
      <c r="L208" s="67"/>
      <c r="M208" s="125"/>
      <c r="N208" s="125"/>
      <c r="O208" s="125"/>
      <c r="P208" s="125"/>
      <c r="Q208" s="125"/>
      <c r="R208" s="115"/>
      <c r="S208" s="115"/>
      <c r="T208" s="115"/>
      <c r="U208" s="115"/>
      <c r="V208" s="115"/>
      <c r="W208" s="122"/>
    </row>
    <row r="209" spans="1:23" ht="15.75" hidden="1" customHeight="1">
      <c r="A209" s="103"/>
      <c r="B209" s="103"/>
      <c r="C209" s="105"/>
      <c r="D209" s="105"/>
      <c r="E209" s="105"/>
      <c r="F209" s="124"/>
      <c r="G209" s="124"/>
      <c r="H209" s="108"/>
      <c r="I209" s="108"/>
      <c r="J209" s="108"/>
      <c r="K209" s="108"/>
      <c r="L209" s="67"/>
      <c r="M209" s="125"/>
      <c r="N209" s="125"/>
      <c r="O209" s="125"/>
      <c r="P209" s="125"/>
      <c r="Q209" s="125"/>
      <c r="R209" s="115"/>
      <c r="S209" s="115"/>
      <c r="T209" s="115"/>
      <c r="U209" s="115"/>
      <c r="V209" s="115"/>
      <c r="W209" s="122"/>
    </row>
    <row r="210" spans="1:23" ht="15.75" hidden="1" customHeight="1">
      <c r="A210" s="103"/>
      <c r="B210" s="103"/>
      <c r="C210" s="105"/>
      <c r="D210" s="105"/>
      <c r="E210" s="105"/>
      <c r="F210" s="124"/>
      <c r="G210" s="124"/>
      <c r="H210" s="108"/>
      <c r="I210" s="108"/>
      <c r="J210" s="108"/>
      <c r="K210" s="108"/>
      <c r="L210" s="67"/>
      <c r="M210" s="125"/>
      <c r="N210" s="125"/>
      <c r="O210" s="125"/>
      <c r="P210" s="125"/>
      <c r="Q210" s="125"/>
      <c r="R210" s="115"/>
      <c r="S210" s="115"/>
      <c r="T210" s="115"/>
      <c r="U210" s="115"/>
      <c r="V210" s="115"/>
      <c r="W210" s="122"/>
    </row>
    <row r="211" spans="1:23" ht="15.75" hidden="1" customHeight="1">
      <c r="A211" s="103"/>
      <c r="B211" s="103"/>
      <c r="C211" s="105"/>
      <c r="D211" s="105"/>
      <c r="E211" s="105"/>
      <c r="F211" s="124"/>
      <c r="G211" s="124"/>
      <c r="H211" s="108"/>
      <c r="I211" s="108"/>
      <c r="J211" s="108"/>
      <c r="K211" s="108"/>
      <c r="L211" s="67"/>
      <c r="M211" s="125"/>
      <c r="N211" s="125"/>
      <c r="O211" s="125"/>
      <c r="P211" s="125"/>
      <c r="Q211" s="125"/>
      <c r="R211" s="115"/>
      <c r="S211" s="115"/>
      <c r="T211" s="115"/>
      <c r="U211" s="115"/>
      <c r="V211" s="115"/>
      <c r="W211" s="122"/>
    </row>
    <row r="212" spans="1:23" ht="15.75" hidden="1" customHeight="1">
      <c r="A212" s="103"/>
      <c r="B212" s="103"/>
      <c r="C212" s="105"/>
      <c r="D212" s="105"/>
      <c r="E212" s="105"/>
      <c r="F212" s="124"/>
      <c r="G212" s="124"/>
      <c r="H212" s="108"/>
      <c r="I212" s="108"/>
      <c r="J212" s="108"/>
      <c r="K212" s="108"/>
      <c r="L212" s="67"/>
      <c r="M212" s="125"/>
      <c r="N212" s="125"/>
      <c r="O212" s="125"/>
      <c r="P212" s="125"/>
      <c r="Q212" s="125"/>
      <c r="R212" s="115"/>
      <c r="S212" s="115"/>
      <c r="T212" s="115"/>
      <c r="U212" s="115"/>
      <c r="V212" s="115"/>
      <c r="W212" s="122"/>
    </row>
    <row r="213" spans="1:23" ht="15.75" hidden="1" customHeight="1">
      <c r="A213" s="103"/>
      <c r="B213" s="103"/>
      <c r="C213" s="105"/>
      <c r="D213" s="105"/>
      <c r="E213" s="105"/>
      <c r="F213" s="124"/>
      <c r="G213" s="124"/>
      <c r="H213" s="108"/>
      <c r="I213" s="108"/>
      <c r="J213" s="108"/>
      <c r="K213" s="108"/>
      <c r="L213" s="67"/>
      <c r="M213" s="125"/>
      <c r="N213" s="125"/>
      <c r="O213" s="125"/>
      <c r="P213" s="125"/>
      <c r="Q213" s="125"/>
      <c r="R213" s="115"/>
      <c r="S213" s="115"/>
      <c r="T213" s="115"/>
      <c r="U213" s="115"/>
      <c r="V213" s="115"/>
      <c r="W213" s="122"/>
    </row>
    <row r="214" spans="1:23" ht="15.75" hidden="1" customHeight="1">
      <c r="A214" s="103"/>
      <c r="B214" s="103"/>
      <c r="C214" s="105"/>
      <c r="D214" s="105"/>
      <c r="E214" s="105"/>
      <c r="F214" s="124"/>
      <c r="G214" s="124"/>
      <c r="H214" s="108"/>
      <c r="I214" s="108"/>
      <c r="J214" s="108"/>
      <c r="K214" s="108"/>
      <c r="L214" s="67"/>
      <c r="M214" s="125"/>
      <c r="N214" s="125"/>
      <c r="O214" s="125"/>
      <c r="P214" s="125"/>
      <c r="Q214" s="125"/>
      <c r="R214" s="115"/>
      <c r="S214" s="115"/>
      <c r="T214" s="115"/>
      <c r="U214" s="115"/>
      <c r="V214" s="115"/>
      <c r="W214" s="122"/>
    </row>
    <row r="215" spans="1:23" ht="15.75" hidden="1" customHeight="1">
      <c r="A215" s="103"/>
      <c r="B215" s="103"/>
      <c r="C215" s="105"/>
      <c r="D215" s="105"/>
      <c r="E215" s="105"/>
      <c r="F215" s="124"/>
      <c r="G215" s="124"/>
      <c r="H215" s="108"/>
      <c r="I215" s="108"/>
      <c r="J215" s="108"/>
      <c r="K215" s="108"/>
      <c r="L215" s="67"/>
      <c r="M215" s="125"/>
      <c r="N215" s="125"/>
      <c r="O215" s="125"/>
      <c r="P215" s="125"/>
      <c r="Q215" s="125"/>
      <c r="R215" s="115"/>
      <c r="S215" s="115"/>
      <c r="T215" s="115"/>
      <c r="U215" s="115"/>
      <c r="V215" s="115"/>
      <c r="W215" s="122"/>
    </row>
    <row r="216" spans="1:23" ht="15.75" hidden="1" customHeight="1">
      <c r="A216" s="103"/>
      <c r="B216" s="103"/>
      <c r="C216" s="105"/>
      <c r="D216" s="105"/>
      <c r="E216" s="105"/>
      <c r="F216" s="124"/>
      <c r="G216" s="124"/>
      <c r="H216" s="108"/>
      <c r="I216" s="108"/>
      <c r="J216" s="108"/>
      <c r="K216" s="108"/>
      <c r="L216" s="67"/>
      <c r="M216" s="125"/>
      <c r="N216" s="125"/>
      <c r="O216" s="125"/>
      <c r="P216" s="125"/>
      <c r="Q216" s="125"/>
      <c r="R216" s="115"/>
      <c r="S216" s="115"/>
      <c r="T216" s="115"/>
      <c r="U216" s="115"/>
      <c r="V216" s="115"/>
      <c r="W216" s="122"/>
    </row>
    <row r="217" spans="1:23" ht="15.75" hidden="1" customHeight="1">
      <c r="A217" s="103"/>
      <c r="B217" s="103"/>
      <c r="C217" s="105"/>
      <c r="D217" s="105"/>
      <c r="E217" s="105"/>
      <c r="F217" s="124"/>
      <c r="G217" s="124"/>
      <c r="H217" s="108"/>
      <c r="I217" s="108"/>
      <c r="J217" s="108"/>
      <c r="K217" s="108"/>
      <c r="L217" s="67"/>
      <c r="M217" s="125"/>
      <c r="N217" s="125"/>
      <c r="O217" s="125"/>
      <c r="P217" s="125"/>
      <c r="Q217" s="125"/>
      <c r="R217" s="115"/>
      <c r="S217" s="115"/>
      <c r="T217" s="115"/>
      <c r="U217" s="115"/>
      <c r="V217" s="115"/>
      <c r="W217" s="122"/>
    </row>
    <row r="218" spans="1:23" ht="15.75" hidden="1" customHeight="1">
      <c r="A218" s="103"/>
      <c r="B218" s="103"/>
      <c r="C218" s="105"/>
      <c r="D218" s="105"/>
      <c r="E218" s="105"/>
      <c r="F218" s="124"/>
      <c r="G218" s="124"/>
      <c r="H218" s="108"/>
      <c r="I218" s="108"/>
      <c r="J218" s="108"/>
      <c r="K218" s="108"/>
      <c r="L218" s="67"/>
      <c r="M218" s="125"/>
      <c r="N218" s="125"/>
      <c r="O218" s="125"/>
      <c r="P218" s="125"/>
      <c r="Q218" s="125"/>
      <c r="R218" s="115"/>
      <c r="S218" s="115"/>
      <c r="T218" s="115"/>
      <c r="U218" s="115"/>
      <c r="V218" s="115"/>
      <c r="W218" s="122"/>
    </row>
    <row r="219" spans="1:23" ht="15.75" hidden="1" customHeight="1">
      <c r="A219" s="103"/>
      <c r="B219" s="103"/>
      <c r="C219" s="105"/>
      <c r="D219" s="105"/>
      <c r="E219" s="105"/>
      <c r="F219" s="124"/>
      <c r="G219" s="124"/>
      <c r="H219" s="108"/>
      <c r="I219" s="108"/>
      <c r="J219" s="108"/>
      <c r="K219" s="108"/>
      <c r="L219" s="67"/>
      <c r="M219" s="125"/>
      <c r="N219" s="125"/>
      <c r="O219" s="125"/>
      <c r="P219" s="125"/>
      <c r="Q219" s="125"/>
      <c r="R219" s="115"/>
      <c r="S219" s="115"/>
      <c r="T219" s="115"/>
      <c r="U219" s="115"/>
      <c r="V219" s="115"/>
      <c r="W219" s="122"/>
    </row>
    <row r="220" spans="1:23" ht="15.75" hidden="1" customHeight="1">
      <c r="A220" s="103"/>
      <c r="B220" s="103"/>
      <c r="C220" s="105"/>
      <c r="D220" s="105"/>
      <c r="E220" s="105"/>
      <c r="F220" s="124"/>
      <c r="G220" s="124"/>
      <c r="H220" s="108"/>
      <c r="I220" s="108"/>
      <c r="J220" s="108"/>
      <c r="K220" s="108"/>
      <c r="L220" s="67"/>
      <c r="M220" s="125"/>
      <c r="N220" s="125"/>
      <c r="O220" s="125"/>
      <c r="P220" s="125"/>
      <c r="Q220" s="125"/>
      <c r="R220" s="115"/>
      <c r="S220" s="115"/>
      <c r="T220" s="115"/>
      <c r="U220" s="115"/>
      <c r="V220" s="115"/>
      <c r="W220" s="122"/>
    </row>
    <row r="221" spans="1:23" ht="15.75" hidden="1" customHeight="1">
      <c r="A221" s="103"/>
      <c r="B221" s="103"/>
      <c r="C221" s="105"/>
      <c r="D221" s="105"/>
      <c r="E221" s="105"/>
      <c r="F221" s="124"/>
      <c r="G221" s="124"/>
      <c r="H221" s="108"/>
      <c r="I221" s="108"/>
      <c r="J221" s="108"/>
      <c r="K221" s="108"/>
      <c r="L221" s="67"/>
      <c r="M221" s="125"/>
      <c r="N221" s="125"/>
      <c r="O221" s="125"/>
      <c r="P221" s="125"/>
      <c r="Q221" s="125"/>
      <c r="R221" s="115"/>
      <c r="S221" s="115"/>
      <c r="T221" s="115"/>
      <c r="U221" s="115"/>
      <c r="V221" s="115"/>
      <c r="W221" s="122"/>
    </row>
    <row r="222" spans="1:23" ht="15.75" hidden="1" customHeight="1">
      <c r="A222" s="103"/>
      <c r="B222" s="103"/>
      <c r="C222" s="105"/>
      <c r="D222" s="105"/>
      <c r="E222" s="105"/>
      <c r="F222" s="124"/>
      <c r="G222" s="124"/>
      <c r="H222" s="108"/>
      <c r="I222" s="108"/>
      <c r="J222" s="108"/>
      <c r="K222" s="108"/>
      <c r="L222" s="67"/>
      <c r="M222" s="125"/>
      <c r="N222" s="125"/>
      <c r="O222" s="125"/>
      <c r="P222" s="125"/>
      <c r="Q222" s="125"/>
      <c r="R222" s="115"/>
      <c r="S222" s="115"/>
      <c r="T222" s="115"/>
      <c r="U222" s="115"/>
      <c r="V222" s="115"/>
      <c r="W222" s="122"/>
    </row>
    <row r="223" spans="1:23" ht="15.75" hidden="1" customHeight="1">
      <c r="A223" s="103"/>
      <c r="B223" s="103"/>
      <c r="C223" s="105"/>
      <c r="D223" s="105"/>
      <c r="E223" s="105"/>
      <c r="F223" s="124"/>
      <c r="G223" s="124"/>
      <c r="H223" s="108"/>
      <c r="I223" s="108"/>
      <c r="J223" s="108"/>
      <c r="K223" s="108"/>
      <c r="L223" s="67"/>
      <c r="M223" s="125"/>
      <c r="N223" s="125"/>
      <c r="O223" s="125"/>
      <c r="P223" s="125"/>
      <c r="Q223" s="125"/>
      <c r="R223" s="115"/>
      <c r="S223" s="115"/>
      <c r="T223" s="115"/>
      <c r="U223" s="115"/>
      <c r="V223" s="115"/>
      <c r="W223" s="122"/>
    </row>
    <row r="224" spans="1:23" ht="15.75" hidden="1" customHeight="1">
      <c r="A224" s="103"/>
      <c r="B224" s="103"/>
      <c r="C224" s="105"/>
      <c r="D224" s="105"/>
      <c r="E224" s="105"/>
      <c r="F224" s="124"/>
      <c r="G224" s="124"/>
      <c r="H224" s="108"/>
      <c r="I224" s="108"/>
      <c r="J224" s="108"/>
      <c r="K224" s="108"/>
      <c r="L224" s="67"/>
      <c r="M224" s="125"/>
      <c r="N224" s="125"/>
      <c r="O224" s="125"/>
      <c r="P224" s="125"/>
      <c r="Q224" s="125"/>
      <c r="R224" s="115"/>
      <c r="S224" s="115"/>
      <c r="T224" s="115"/>
      <c r="U224" s="115"/>
      <c r="V224" s="115"/>
      <c r="W224" s="122"/>
    </row>
    <row r="225" spans="1:23" ht="15.75" hidden="1" customHeight="1">
      <c r="A225" s="103"/>
      <c r="B225" s="103"/>
      <c r="C225" s="105"/>
      <c r="D225" s="105"/>
      <c r="E225" s="105"/>
      <c r="F225" s="124"/>
      <c r="G225" s="124"/>
      <c r="H225" s="108"/>
      <c r="I225" s="108"/>
      <c r="J225" s="108"/>
      <c r="K225" s="108"/>
      <c r="L225" s="67"/>
      <c r="M225" s="125"/>
      <c r="N225" s="125"/>
      <c r="O225" s="125"/>
      <c r="P225" s="125"/>
      <c r="Q225" s="125"/>
      <c r="R225" s="115"/>
      <c r="S225" s="115"/>
      <c r="T225" s="115"/>
      <c r="U225" s="115"/>
      <c r="V225" s="115"/>
      <c r="W225" s="122"/>
    </row>
    <row r="226" spans="1:23" ht="15.75" hidden="1" customHeight="1">
      <c r="A226" s="103"/>
      <c r="B226" s="103"/>
      <c r="C226" s="105"/>
      <c r="D226" s="105"/>
      <c r="E226" s="105"/>
      <c r="F226" s="124"/>
      <c r="G226" s="124"/>
      <c r="H226" s="108"/>
      <c r="I226" s="108"/>
      <c r="J226" s="108"/>
      <c r="K226" s="108"/>
      <c r="L226" s="67"/>
      <c r="M226" s="125"/>
      <c r="N226" s="125"/>
      <c r="O226" s="125"/>
      <c r="P226" s="125"/>
      <c r="Q226" s="125"/>
      <c r="R226" s="115"/>
      <c r="S226" s="115"/>
      <c r="T226" s="115"/>
      <c r="U226" s="115"/>
      <c r="V226" s="115"/>
      <c r="W226" s="122"/>
    </row>
    <row r="227" spans="1:23" ht="15.75" hidden="1" customHeight="1">
      <c r="A227" s="103"/>
      <c r="B227" s="103"/>
      <c r="C227" s="105"/>
      <c r="D227" s="105"/>
      <c r="E227" s="105"/>
      <c r="F227" s="124"/>
      <c r="G227" s="124"/>
      <c r="H227" s="108"/>
      <c r="I227" s="108"/>
      <c r="J227" s="108"/>
      <c r="K227" s="108"/>
      <c r="L227" s="67"/>
      <c r="M227" s="125"/>
      <c r="N227" s="125"/>
      <c r="O227" s="125"/>
      <c r="P227" s="125"/>
      <c r="Q227" s="125"/>
      <c r="R227" s="115"/>
      <c r="S227" s="115"/>
      <c r="T227" s="115"/>
      <c r="U227" s="115"/>
      <c r="V227" s="115"/>
      <c r="W227" s="122"/>
    </row>
    <row r="228" spans="1:23" ht="15.75" hidden="1" customHeight="1">
      <c r="A228" s="103"/>
      <c r="B228" s="103"/>
      <c r="C228" s="105"/>
      <c r="D228" s="105"/>
      <c r="E228" s="105"/>
      <c r="F228" s="124"/>
      <c r="G228" s="124"/>
      <c r="H228" s="108"/>
      <c r="I228" s="108"/>
      <c r="J228" s="108"/>
      <c r="K228" s="108"/>
      <c r="L228" s="67"/>
      <c r="M228" s="125"/>
      <c r="N228" s="125"/>
      <c r="O228" s="125"/>
      <c r="P228" s="125"/>
      <c r="Q228" s="125"/>
      <c r="R228" s="115"/>
      <c r="S228" s="115"/>
      <c r="T228" s="115"/>
      <c r="U228" s="115"/>
      <c r="V228" s="115"/>
      <c r="W228" s="122"/>
    </row>
    <row r="229" spans="1:23" ht="15.75" hidden="1" customHeight="1">
      <c r="A229" s="103"/>
      <c r="B229" s="103"/>
      <c r="C229" s="105"/>
      <c r="D229" s="105"/>
      <c r="E229" s="105"/>
      <c r="F229" s="124"/>
      <c r="G229" s="124"/>
      <c r="H229" s="108"/>
      <c r="I229" s="108"/>
      <c r="J229" s="108"/>
      <c r="K229" s="108"/>
      <c r="L229" s="67"/>
      <c r="M229" s="125"/>
      <c r="N229" s="125"/>
      <c r="O229" s="125"/>
      <c r="P229" s="125"/>
      <c r="Q229" s="125"/>
      <c r="R229" s="115"/>
      <c r="S229" s="115"/>
      <c r="T229" s="115"/>
      <c r="U229" s="115"/>
      <c r="V229" s="115"/>
      <c r="W229" s="122"/>
    </row>
    <row r="230" spans="1:23" ht="15.75" hidden="1" customHeight="1">
      <c r="A230" s="103"/>
      <c r="B230" s="103"/>
      <c r="C230" s="105"/>
      <c r="D230" s="105"/>
      <c r="E230" s="105"/>
      <c r="F230" s="124"/>
      <c r="G230" s="124"/>
      <c r="H230" s="108"/>
      <c r="I230" s="108"/>
      <c r="J230" s="108"/>
      <c r="K230" s="108"/>
      <c r="L230" s="67"/>
      <c r="M230" s="125"/>
      <c r="N230" s="125"/>
      <c r="O230" s="125"/>
      <c r="P230" s="125"/>
      <c r="Q230" s="125"/>
      <c r="R230" s="115"/>
      <c r="S230" s="115"/>
      <c r="T230" s="115"/>
      <c r="U230" s="115"/>
      <c r="V230" s="115"/>
      <c r="W230" s="122"/>
    </row>
    <row r="231" spans="1:23" ht="15.75" hidden="1" customHeight="1">
      <c r="A231" s="103"/>
      <c r="B231" s="103"/>
      <c r="C231" s="105"/>
      <c r="D231" s="105"/>
      <c r="E231" s="105"/>
      <c r="F231" s="124"/>
      <c r="G231" s="124"/>
      <c r="H231" s="108"/>
      <c r="I231" s="108"/>
      <c r="J231" s="108"/>
      <c r="K231" s="108"/>
      <c r="L231" s="67"/>
      <c r="M231" s="125"/>
      <c r="N231" s="125"/>
      <c r="O231" s="125"/>
      <c r="P231" s="125"/>
      <c r="Q231" s="125"/>
      <c r="R231" s="115"/>
      <c r="S231" s="115"/>
      <c r="T231" s="115"/>
      <c r="U231" s="115"/>
      <c r="V231" s="115"/>
      <c r="W231" s="122"/>
    </row>
    <row r="232" spans="1:23" ht="15.75" hidden="1" customHeight="1">
      <c r="A232" s="103"/>
      <c r="B232" s="103"/>
      <c r="C232" s="105"/>
      <c r="D232" s="105"/>
      <c r="E232" s="105"/>
      <c r="F232" s="124"/>
      <c r="G232" s="124"/>
      <c r="H232" s="108"/>
      <c r="I232" s="108"/>
      <c r="J232" s="108"/>
      <c r="K232" s="108"/>
      <c r="L232" s="67"/>
      <c r="M232" s="125"/>
      <c r="N232" s="125"/>
      <c r="O232" s="125"/>
      <c r="P232" s="125"/>
      <c r="Q232" s="125"/>
      <c r="R232" s="115"/>
      <c r="S232" s="115"/>
      <c r="T232" s="115"/>
      <c r="U232" s="115"/>
      <c r="V232" s="115"/>
      <c r="W232" s="122"/>
    </row>
    <row r="233" spans="1:23" ht="15.75" hidden="1" customHeight="1">
      <c r="A233" s="103"/>
      <c r="B233" s="103"/>
      <c r="C233" s="105"/>
      <c r="D233" s="105"/>
      <c r="E233" s="105"/>
      <c r="F233" s="124"/>
      <c r="G233" s="124"/>
      <c r="H233" s="108"/>
      <c r="I233" s="108"/>
      <c r="J233" s="108"/>
      <c r="K233" s="108"/>
      <c r="L233" s="67"/>
      <c r="M233" s="125"/>
      <c r="N233" s="125"/>
      <c r="O233" s="125"/>
      <c r="P233" s="125"/>
      <c r="Q233" s="125"/>
      <c r="R233" s="115"/>
      <c r="S233" s="115"/>
      <c r="T233" s="115"/>
      <c r="U233" s="115"/>
      <c r="V233" s="115"/>
      <c r="W233" s="122"/>
    </row>
    <row r="234" spans="1:23" ht="15.75" hidden="1" customHeight="1">
      <c r="A234" s="103"/>
      <c r="B234" s="103"/>
      <c r="C234" s="105"/>
      <c r="D234" s="105"/>
      <c r="E234" s="105"/>
      <c r="F234" s="124"/>
      <c r="G234" s="124"/>
      <c r="H234" s="108"/>
      <c r="I234" s="108"/>
      <c r="J234" s="108"/>
      <c r="K234" s="108"/>
      <c r="L234" s="67"/>
      <c r="M234" s="125"/>
      <c r="N234" s="125"/>
      <c r="O234" s="125"/>
      <c r="P234" s="125"/>
      <c r="Q234" s="125"/>
      <c r="R234" s="115"/>
      <c r="S234" s="115"/>
      <c r="T234" s="115"/>
      <c r="U234" s="115"/>
      <c r="V234" s="115"/>
      <c r="W234" s="122"/>
    </row>
    <row r="235" spans="1:23" ht="15.75" hidden="1" customHeight="1">
      <c r="A235" s="103"/>
      <c r="B235" s="103"/>
      <c r="C235" s="105"/>
      <c r="D235" s="105"/>
      <c r="E235" s="105"/>
      <c r="F235" s="124"/>
      <c r="G235" s="124"/>
      <c r="H235" s="108"/>
      <c r="I235" s="108"/>
      <c r="J235" s="108"/>
      <c r="K235" s="108"/>
      <c r="L235" s="67"/>
      <c r="M235" s="125"/>
      <c r="N235" s="125"/>
      <c r="O235" s="125"/>
      <c r="P235" s="125"/>
      <c r="Q235" s="125"/>
      <c r="R235" s="115"/>
      <c r="S235" s="115"/>
      <c r="T235" s="115"/>
      <c r="U235" s="115"/>
      <c r="V235" s="115"/>
      <c r="W235" s="122"/>
    </row>
    <row r="236" spans="1:23" ht="15.75" hidden="1" customHeight="1">
      <c r="A236" s="103"/>
      <c r="B236" s="103"/>
      <c r="C236" s="105"/>
      <c r="D236" s="105"/>
      <c r="E236" s="105"/>
      <c r="F236" s="124"/>
      <c r="G236" s="124"/>
      <c r="H236" s="108"/>
      <c r="I236" s="108"/>
      <c r="J236" s="108"/>
      <c r="K236" s="108"/>
      <c r="L236" s="67"/>
      <c r="M236" s="125"/>
      <c r="N236" s="125"/>
      <c r="O236" s="125"/>
      <c r="P236" s="125"/>
      <c r="Q236" s="125"/>
      <c r="R236" s="115"/>
      <c r="S236" s="115"/>
      <c r="T236" s="115"/>
      <c r="U236" s="115"/>
      <c r="V236" s="115"/>
      <c r="W236" s="122"/>
    </row>
    <row r="237" spans="1:23" ht="15.75" hidden="1" customHeight="1">
      <c r="A237" s="103"/>
      <c r="B237" s="103"/>
      <c r="C237" s="105"/>
      <c r="D237" s="105"/>
      <c r="E237" s="105"/>
      <c r="F237" s="124"/>
      <c r="G237" s="124"/>
      <c r="H237" s="108"/>
      <c r="I237" s="108"/>
      <c r="J237" s="108"/>
      <c r="K237" s="108"/>
      <c r="L237" s="67"/>
      <c r="M237" s="125"/>
      <c r="N237" s="125"/>
      <c r="O237" s="125"/>
      <c r="P237" s="125"/>
      <c r="Q237" s="125"/>
      <c r="R237" s="115"/>
      <c r="S237" s="115"/>
      <c r="T237" s="115"/>
      <c r="U237" s="115"/>
      <c r="V237" s="115"/>
      <c r="W237" s="122"/>
    </row>
    <row r="238" spans="1:23" ht="15.75" hidden="1" customHeight="1">
      <c r="A238" s="103"/>
      <c r="B238" s="103"/>
      <c r="C238" s="105"/>
      <c r="D238" s="105"/>
      <c r="E238" s="105"/>
      <c r="F238" s="124"/>
      <c r="G238" s="124"/>
      <c r="H238" s="108"/>
      <c r="I238" s="108"/>
      <c r="J238" s="108"/>
      <c r="K238" s="108"/>
      <c r="L238" s="67"/>
      <c r="M238" s="125"/>
      <c r="N238" s="125"/>
      <c r="O238" s="125"/>
      <c r="P238" s="125"/>
      <c r="Q238" s="125"/>
      <c r="R238" s="115"/>
      <c r="S238" s="115"/>
      <c r="T238" s="115"/>
      <c r="U238" s="115"/>
      <c r="V238" s="115"/>
      <c r="W238" s="122"/>
    </row>
    <row r="239" spans="1:23" ht="15.75" hidden="1" customHeight="1">
      <c r="A239" s="103"/>
      <c r="B239" s="103"/>
      <c r="C239" s="105"/>
      <c r="D239" s="105"/>
      <c r="E239" s="105"/>
      <c r="F239" s="124"/>
      <c r="G239" s="124"/>
      <c r="H239" s="108"/>
      <c r="I239" s="108"/>
      <c r="J239" s="108"/>
      <c r="K239" s="108"/>
      <c r="L239" s="67"/>
      <c r="M239" s="125"/>
      <c r="N239" s="125"/>
      <c r="O239" s="125"/>
      <c r="P239" s="125"/>
      <c r="Q239" s="125"/>
      <c r="R239" s="115"/>
      <c r="S239" s="115"/>
      <c r="T239" s="115"/>
      <c r="U239" s="115"/>
      <c r="V239" s="115"/>
      <c r="W239" s="122"/>
    </row>
    <row r="240" spans="1:23" ht="15.75" hidden="1" customHeight="1">
      <c r="A240" s="103"/>
      <c r="B240" s="103"/>
      <c r="C240" s="105"/>
      <c r="D240" s="105"/>
      <c r="E240" s="105"/>
      <c r="F240" s="124"/>
      <c r="G240" s="124"/>
      <c r="H240" s="108"/>
      <c r="I240" s="108"/>
      <c r="J240" s="108"/>
      <c r="K240" s="108"/>
      <c r="L240" s="67"/>
      <c r="M240" s="125"/>
      <c r="N240" s="125"/>
      <c r="O240" s="125"/>
      <c r="P240" s="125"/>
      <c r="Q240" s="125"/>
      <c r="R240" s="115"/>
      <c r="S240" s="115"/>
      <c r="T240" s="115"/>
      <c r="U240" s="115"/>
      <c r="V240" s="115"/>
      <c r="W240" s="122"/>
    </row>
    <row r="241" spans="1:23" ht="15.75" hidden="1" customHeight="1">
      <c r="A241" s="103"/>
      <c r="B241" s="103"/>
      <c r="C241" s="105"/>
      <c r="D241" s="105"/>
      <c r="E241" s="105"/>
      <c r="F241" s="124"/>
      <c r="G241" s="124"/>
      <c r="H241" s="108"/>
      <c r="I241" s="108"/>
      <c r="J241" s="108"/>
      <c r="K241" s="108"/>
      <c r="L241" s="67"/>
      <c r="M241" s="125"/>
      <c r="N241" s="125"/>
      <c r="O241" s="125"/>
      <c r="P241" s="125"/>
      <c r="Q241" s="125"/>
      <c r="R241" s="115"/>
      <c r="S241" s="115"/>
      <c r="T241" s="115"/>
      <c r="U241" s="115"/>
      <c r="V241" s="115"/>
      <c r="W241" s="122"/>
    </row>
    <row r="242" spans="1:23" ht="15.75" hidden="1" customHeight="1">
      <c r="A242" s="103"/>
      <c r="B242" s="103"/>
      <c r="C242" s="105"/>
      <c r="D242" s="105"/>
      <c r="E242" s="105"/>
      <c r="F242" s="124"/>
      <c r="G242" s="124"/>
      <c r="H242" s="108"/>
      <c r="I242" s="108"/>
      <c r="J242" s="108"/>
      <c r="K242" s="108"/>
      <c r="L242" s="67"/>
      <c r="M242" s="125"/>
      <c r="N242" s="125"/>
      <c r="O242" s="125"/>
      <c r="P242" s="125"/>
      <c r="Q242" s="125"/>
      <c r="R242" s="115"/>
      <c r="S242" s="115"/>
      <c r="T242" s="115"/>
      <c r="U242" s="115"/>
      <c r="V242" s="115"/>
      <c r="W242" s="122"/>
    </row>
    <row r="243" spans="1:23" ht="15.75" hidden="1" customHeight="1">
      <c r="A243" s="103"/>
      <c r="B243" s="103"/>
      <c r="C243" s="105"/>
      <c r="D243" s="105"/>
      <c r="E243" s="105"/>
      <c r="F243" s="124"/>
      <c r="G243" s="124"/>
      <c r="H243" s="108"/>
      <c r="I243" s="108"/>
      <c r="J243" s="108"/>
      <c r="K243" s="108"/>
      <c r="L243" s="67"/>
      <c r="M243" s="125"/>
      <c r="N243" s="125"/>
      <c r="O243" s="125"/>
      <c r="P243" s="125"/>
      <c r="Q243" s="125"/>
      <c r="R243" s="115"/>
      <c r="S243" s="115"/>
      <c r="T243" s="115"/>
      <c r="U243" s="115"/>
      <c r="V243" s="115"/>
      <c r="W243" s="122"/>
    </row>
    <row r="244" spans="1:23" ht="15.75" hidden="1" customHeight="1">
      <c r="A244" s="103"/>
      <c r="B244" s="103"/>
      <c r="C244" s="105"/>
      <c r="D244" s="105"/>
      <c r="E244" s="105"/>
      <c r="F244" s="124"/>
      <c r="G244" s="124"/>
      <c r="H244" s="108"/>
      <c r="I244" s="108"/>
      <c r="J244" s="108"/>
      <c r="K244" s="108"/>
      <c r="L244" s="67"/>
      <c r="M244" s="125"/>
      <c r="N244" s="125"/>
      <c r="O244" s="125"/>
      <c r="P244" s="125"/>
      <c r="Q244" s="125"/>
      <c r="R244" s="115"/>
      <c r="S244" s="115"/>
      <c r="T244" s="115"/>
      <c r="U244" s="115"/>
      <c r="V244" s="115"/>
      <c r="W244" s="122"/>
    </row>
    <row r="245" spans="1:23" ht="15.75" hidden="1" customHeight="1">
      <c r="A245" s="103"/>
      <c r="B245" s="103"/>
      <c r="C245" s="105"/>
      <c r="D245" s="105"/>
      <c r="E245" s="105"/>
      <c r="F245" s="124"/>
      <c r="G245" s="124"/>
      <c r="H245" s="108"/>
      <c r="I245" s="108"/>
      <c r="J245" s="108"/>
      <c r="K245" s="108"/>
      <c r="L245" s="67"/>
      <c r="M245" s="125"/>
      <c r="N245" s="125"/>
      <c r="O245" s="125"/>
      <c r="P245" s="125"/>
      <c r="Q245" s="125"/>
      <c r="R245" s="115"/>
      <c r="S245" s="115"/>
      <c r="T245" s="115"/>
      <c r="U245" s="115"/>
      <c r="V245" s="115"/>
      <c r="W245" s="122"/>
    </row>
    <row r="246" spans="1:23" ht="15.75" hidden="1" customHeight="1">
      <c r="A246" s="103"/>
      <c r="B246" s="103"/>
      <c r="C246" s="105"/>
      <c r="D246" s="105"/>
      <c r="E246" s="105"/>
      <c r="F246" s="124"/>
      <c r="G246" s="124"/>
      <c r="H246" s="108"/>
      <c r="I246" s="108"/>
      <c r="J246" s="108"/>
      <c r="K246" s="108"/>
      <c r="L246" s="67"/>
      <c r="M246" s="125"/>
      <c r="N246" s="125"/>
      <c r="O246" s="125"/>
      <c r="P246" s="125"/>
      <c r="Q246" s="125"/>
      <c r="R246" s="115"/>
      <c r="S246" s="115"/>
      <c r="T246" s="115"/>
      <c r="U246" s="115"/>
      <c r="V246" s="115"/>
      <c r="W246" s="122"/>
    </row>
    <row r="247" spans="1:23" ht="15.75" hidden="1" customHeight="1">
      <c r="A247" s="103"/>
      <c r="B247" s="103"/>
      <c r="C247" s="105"/>
      <c r="D247" s="105"/>
      <c r="E247" s="105"/>
      <c r="F247" s="124"/>
      <c r="G247" s="124"/>
      <c r="H247" s="108"/>
      <c r="I247" s="108"/>
      <c r="J247" s="108"/>
      <c r="K247" s="108"/>
      <c r="L247" s="67"/>
      <c r="M247" s="125"/>
      <c r="N247" s="125"/>
      <c r="O247" s="125"/>
      <c r="P247" s="125"/>
      <c r="Q247" s="125"/>
      <c r="R247" s="115"/>
      <c r="S247" s="115"/>
      <c r="T247" s="115"/>
      <c r="U247" s="115"/>
      <c r="V247" s="115"/>
      <c r="W247" s="122"/>
    </row>
    <row r="248" spans="1:23" ht="15.75" hidden="1" customHeight="1">
      <c r="A248" s="103"/>
      <c r="B248" s="103"/>
      <c r="C248" s="105"/>
      <c r="D248" s="105"/>
      <c r="E248" s="105"/>
      <c r="F248" s="124"/>
      <c r="G248" s="124"/>
      <c r="H248" s="108"/>
      <c r="I248" s="108"/>
      <c r="J248" s="108"/>
      <c r="K248" s="108"/>
      <c r="L248" s="67"/>
      <c r="M248" s="125"/>
      <c r="N248" s="125"/>
      <c r="O248" s="125"/>
      <c r="P248" s="125"/>
      <c r="Q248" s="125"/>
      <c r="R248" s="115"/>
      <c r="S248" s="115"/>
      <c r="T248" s="115"/>
      <c r="U248" s="115"/>
      <c r="V248" s="115"/>
      <c r="W248" s="122"/>
    </row>
    <row r="249" spans="1:23" ht="15.75" hidden="1" customHeight="1">
      <c r="A249" s="103"/>
      <c r="B249" s="103"/>
      <c r="C249" s="105"/>
      <c r="D249" s="105"/>
      <c r="E249" s="105"/>
      <c r="F249" s="124"/>
      <c r="G249" s="124"/>
      <c r="H249" s="108"/>
      <c r="I249" s="108"/>
      <c r="J249" s="108"/>
      <c r="K249" s="108"/>
      <c r="L249" s="67"/>
      <c r="M249" s="125"/>
      <c r="N249" s="125"/>
      <c r="O249" s="125"/>
      <c r="P249" s="125"/>
      <c r="Q249" s="125"/>
      <c r="R249" s="115"/>
      <c r="S249" s="115"/>
      <c r="T249" s="115"/>
      <c r="U249" s="115"/>
      <c r="V249" s="115"/>
      <c r="W249" s="122"/>
    </row>
    <row r="250" spans="1:23" ht="15.75" hidden="1" customHeight="1">
      <c r="A250" s="103"/>
      <c r="B250" s="103"/>
      <c r="C250" s="105"/>
      <c r="D250" s="105"/>
      <c r="E250" s="105"/>
      <c r="F250" s="124"/>
      <c r="G250" s="124"/>
      <c r="H250" s="108"/>
      <c r="I250" s="108"/>
      <c r="J250" s="108"/>
      <c r="K250" s="108"/>
      <c r="L250" s="67"/>
      <c r="M250" s="125"/>
      <c r="N250" s="125"/>
      <c r="O250" s="125"/>
      <c r="P250" s="125"/>
      <c r="Q250" s="125"/>
      <c r="R250" s="115"/>
      <c r="S250" s="115"/>
      <c r="T250" s="115"/>
      <c r="U250" s="115"/>
      <c r="V250" s="115"/>
      <c r="W250" s="122"/>
    </row>
    <row r="251" spans="1:23" ht="15.75" hidden="1" customHeight="1">
      <c r="A251" s="103"/>
      <c r="B251" s="103"/>
      <c r="C251" s="105"/>
      <c r="D251" s="105"/>
      <c r="E251" s="105"/>
      <c r="F251" s="124"/>
      <c r="G251" s="124"/>
      <c r="H251" s="108"/>
      <c r="I251" s="108"/>
      <c r="J251" s="108"/>
      <c r="K251" s="108"/>
      <c r="L251" s="67"/>
      <c r="M251" s="125"/>
      <c r="N251" s="125"/>
      <c r="O251" s="125"/>
      <c r="P251" s="125"/>
      <c r="Q251" s="125"/>
      <c r="R251" s="115"/>
      <c r="S251" s="115"/>
      <c r="T251" s="115"/>
      <c r="U251" s="115"/>
      <c r="V251" s="115"/>
      <c r="W251" s="122"/>
    </row>
    <row r="252" spans="1:23" ht="15.75" hidden="1" customHeight="1">
      <c r="A252" s="103"/>
      <c r="B252" s="103"/>
      <c r="C252" s="105"/>
      <c r="D252" s="105"/>
      <c r="E252" s="105"/>
      <c r="F252" s="124"/>
      <c r="G252" s="124"/>
      <c r="H252" s="108"/>
      <c r="I252" s="108"/>
      <c r="J252" s="108"/>
      <c r="K252" s="108"/>
      <c r="L252" s="67"/>
      <c r="M252" s="125"/>
      <c r="N252" s="125"/>
      <c r="O252" s="125"/>
      <c r="P252" s="125"/>
      <c r="Q252" s="125"/>
      <c r="R252" s="115"/>
      <c r="S252" s="115"/>
      <c r="T252" s="115"/>
      <c r="U252" s="115"/>
      <c r="V252" s="115"/>
      <c r="W252" s="122"/>
    </row>
    <row r="253" spans="1:23" ht="15.75" hidden="1" customHeight="1">
      <c r="A253" s="103"/>
      <c r="B253" s="103"/>
      <c r="C253" s="105"/>
      <c r="D253" s="105"/>
      <c r="E253" s="105"/>
      <c r="F253" s="124"/>
      <c r="G253" s="124"/>
      <c r="H253" s="108"/>
      <c r="I253" s="108"/>
      <c r="J253" s="108"/>
      <c r="K253" s="108"/>
      <c r="L253" s="67"/>
      <c r="M253" s="125"/>
      <c r="N253" s="125"/>
      <c r="O253" s="125"/>
      <c r="P253" s="125"/>
      <c r="Q253" s="125"/>
      <c r="R253" s="115"/>
      <c r="S253" s="115"/>
      <c r="T253" s="115"/>
      <c r="U253" s="115"/>
      <c r="V253" s="115"/>
      <c r="W253" s="122"/>
    </row>
    <row r="254" spans="1:23" ht="15.75" hidden="1" customHeight="1">
      <c r="A254" s="103"/>
      <c r="B254" s="103"/>
      <c r="C254" s="105"/>
      <c r="D254" s="105"/>
      <c r="E254" s="105"/>
      <c r="F254" s="124"/>
      <c r="G254" s="124"/>
      <c r="H254" s="108"/>
      <c r="I254" s="108"/>
      <c r="J254" s="108"/>
      <c r="K254" s="108"/>
      <c r="L254" s="67"/>
      <c r="M254" s="125"/>
      <c r="N254" s="125"/>
      <c r="O254" s="125"/>
      <c r="P254" s="125"/>
      <c r="Q254" s="125"/>
      <c r="R254" s="115"/>
      <c r="S254" s="115"/>
      <c r="T254" s="115"/>
      <c r="U254" s="115"/>
      <c r="V254" s="115"/>
      <c r="W254" s="122"/>
    </row>
    <row r="255" spans="1:23" ht="15.75" hidden="1" customHeight="1">
      <c r="A255" s="103"/>
      <c r="B255" s="103"/>
      <c r="C255" s="105"/>
      <c r="D255" s="105"/>
      <c r="E255" s="105"/>
      <c r="F255" s="124"/>
      <c r="G255" s="124"/>
      <c r="H255" s="108"/>
      <c r="I255" s="108"/>
      <c r="J255" s="108"/>
      <c r="K255" s="108"/>
      <c r="L255" s="67"/>
      <c r="M255" s="125"/>
      <c r="N255" s="125"/>
      <c r="O255" s="125"/>
      <c r="P255" s="125"/>
      <c r="Q255" s="125"/>
      <c r="R255" s="115"/>
      <c r="S255" s="115"/>
      <c r="T255" s="115"/>
      <c r="U255" s="115"/>
      <c r="V255" s="115"/>
      <c r="W255" s="122"/>
    </row>
    <row r="256" spans="1:23" ht="15.75" hidden="1" customHeight="1">
      <c r="A256" s="103"/>
      <c r="B256" s="103"/>
      <c r="C256" s="105"/>
      <c r="D256" s="105"/>
      <c r="E256" s="105"/>
      <c r="F256" s="124"/>
      <c r="G256" s="124"/>
      <c r="H256" s="108"/>
      <c r="I256" s="108"/>
      <c r="J256" s="108"/>
      <c r="K256" s="108"/>
      <c r="L256" s="67"/>
      <c r="M256" s="125"/>
      <c r="N256" s="125"/>
      <c r="O256" s="125"/>
      <c r="P256" s="125"/>
      <c r="Q256" s="125"/>
      <c r="R256" s="115"/>
      <c r="S256" s="115"/>
      <c r="T256" s="115"/>
      <c r="U256" s="115"/>
      <c r="V256" s="115"/>
      <c r="W256" s="122"/>
    </row>
    <row r="257" spans="1:23" ht="15.75" hidden="1" customHeight="1">
      <c r="A257" s="103"/>
      <c r="B257" s="103"/>
      <c r="C257" s="105"/>
      <c r="D257" s="105"/>
      <c r="E257" s="105"/>
      <c r="F257" s="124"/>
      <c r="G257" s="124"/>
      <c r="H257" s="108"/>
      <c r="I257" s="108"/>
      <c r="J257" s="108"/>
      <c r="K257" s="108"/>
      <c r="L257" s="67"/>
      <c r="M257" s="125"/>
      <c r="N257" s="125"/>
      <c r="O257" s="125"/>
      <c r="P257" s="125"/>
      <c r="Q257" s="125"/>
      <c r="R257" s="115"/>
      <c r="S257" s="115"/>
      <c r="T257" s="115"/>
      <c r="U257" s="115"/>
      <c r="V257" s="115"/>
      <c r="W257" s="122"/>
    </row>
    <row r="258" spans="1:23" ht="15.75" hidden="1" customHeight="1">
      <c r="A258" s="103"/>
      <c r="B258" s="103"/>
      <c r="C258" s="105"/>
      <c r="D258" s="105"/>
      <c r="E258" s="105"/>
      <c r="F258" s="124"/>
      <c r="G258" s="124"/>
      <c r="H258" s="108"/>
      <c r="I258" s="108"/>
      <c r="J258" s="108"/>
      <c r="K258" s="108"/>
      <c r="L258" s="67"/>
      <c r="M258" s="125"/>
      <c r="N258" s="125"/>
      <c r="O258" s="125"/>
      <c r="P258" s="125"/>
      <c r="Q258" s="125"/>
      <c r="R258" s="115"/>
      <c r="S258" s="115"/>
      <c r="T258" s="115"/>
      <c r="U258" s="115"/>
      <c r="V258" s="115"/>
      <c r="W258" s="122"/>
    </row>
    <row r="259" spans="1:23" ht="15.75" hidden="1" customHeight="1">
      <c r="A259" s="103"/>
      <c r="B259" s="103"/>
      <c r="C259" s="105"/>
      <c r="D259" s="105"/>
      <c r="E259" s="105"/>
      <c r="F259" s="124"/>
      <c r="G259" s="124"/>
      <c r="H259" s="108"/>
      <c r="I259" s="108"/>
      <c r="J259" s="108"/>
      <c r="K259" s="108"/>
      <c r="L259" s="67"/>
      <c r="M259" s="125"/>
      <c r="N259" s="125"/>
      <c r="O259" s="125"/>
      <c r="P259" s="125"/>
      <c r="Q259" s="125"/>
      <c r="R259" s="115"/>
      <c r="S259" s="115"/>
      <c r="T259" s="115"/>
      <c r="U259" s="115"/>
      <c r="V259" s="115"/>
      <c r="W259" s="122"/>
    </row>
    <row r="260" spans="1:23" ht="15.75" hidden="1" customHeight="1">
      <c r="A260" s="103"/>
      <c r="B260" s="103"/>
      <c r="C260" s="105"/>
      <c r="D260" s="105"/>
      <c r="E260" s="105"/>
      <c r="F260" s="124"/>
      <c r="G260" s="124"/>
      <c r="H260" s="108"/>
      <c r="I260" s="108"/>
      <c r="J260" s="108"/>
      <c r="K260" s="108"/>
      <c r="L260" s="67"/>
      <c r="M260" s="125"/>
      <c r="N260" s="125"/>
      <c r="O260" s="125"/>
      <c r="P260" s="125"/>
      <c r="Q260" s="125"/>
      <c r="R260" s="115"/>
      <c r="S260" s="115"/>
      <c r="T260" s="115"/>
      <c r="U260" s="115"/>
      <c r="V260" s="115"/>
      <c r="W260" s="122"/>
    </row>
    <row r="261" spans="1:23" ht="15.75" hidden="1" customHeight="1">
      <c r="A261" s="103"/>
      <c r="B261" s="103"/>
      <c r="C261" s="105"/>
      <c r="D261" s="105"/>
      <c r="E261" s="105"/>
      <c r="F261" s="124"/>
      <c r="G261" s="124"/>
      <c r="H261" s="108"/>
      <c r="I261" s="108"/>
      <c r="J261" s="108"/>
      <c r="K261" s="108"/>
      <c r="L261" s="67"/>
      <c r="M261" s="125"/>
      <c r="N261" s="125"/>
      <c r="O261" s="125"/>
      <c r="P261" s="125"/>
      <c r="Q261" s="125"/>
      <c r="R261" s="115"/>
      <c r="S261" s="115"/>
      <c r="T261" s="115"/>
      <c r="U261" s="115"/>
      <c r="V261" s="115"/>
      <c r="W261" s="122"/>
    </row>
    <row r="262" spans="1:23" ht="15.75" hidden="1" customHeight="1">
      <c r="A262" s="103"/>
      <c r="B262" s="103"/>
      <c r="C262" s="105"/>
      <c r="D262" s="105"/>
      <c r="E262" s="105"/>
      <c r="F262" s="124"/>
      <c r="G262" s="124"/>
      <c r="H262" s="108"/>
      <c r="I262" s="108"/>
      <c r="J262" s="108"/>
      <c r="K262" s="108"/>
      <c r="L262" s="67"/>
      <c r="M262" s="125"/>
      <c r="N262" s="125"/>
      <c r="O262" s="125"/>
      <c r="P262" s="125"/>
      <c r="Q262" s="125"/>
      <c r="R262" s="115"/>
      <c r="S262" s="115"/>
      <c r="T262" s="115"/>
      <c r="U262" s="115"/>
      <c r="V262" s="115"/>
      <c r="W262" s="122"/>
    </row>
    <row r="263" spans="1:23" ht="15.75" hidden="1" customHeight="1">
      <c r="A263" s="103"/>
      <c r="B263" s="103"/>
      <c r="C263" s="105"/>
      <c r="D263" s="105"/>
      <c r="E263" s="105"/>
      <c r="F263" s="124"/>
      <c r="G263" s="124"/>
      <c r="H263" s="108"/>
      <c r="I263" s="108"/>
      <c r="J263" s="108"/>
      <c r="K263" s="108"/>
      <c r="L263" s="67"/>
      <c r="M263" s="125"/>
      <c r="N263" s="125"/>
      <c r="O263" s="125"/>
      <c r="P263" s="125"/>
      <c r="Q263" s="125"/>
      <c r="R263" s="115"/>
      <c r="S263" s="115"/>
      <c r="T263" s="115"/>
      <c r="U263" s="115"/>
      <c r="V263" s="115"/>
      <c r="W263" s="122"/>
    </row>
    <row r="264" spans="1:23" ht="15.75" hidden="1" customHeight="1">
      <c r="A264" s="103"/>
      <c r="B264" s="103"/>
      <c r="C264" s="105"/>
      <c r="D264" s="105"/>
      <c r="E264" s="105"/>
      <c r="F264" s="124"/>
      <c r="G264" s="124"/>
      <c r="H264" s="108"/>
      <c r="I264" s="108"/>
      <c r="J264" s="108"/>
      <c r="K264" s="108"/>
      <c r="L264" s="67"/>
      <c r="M264" s="125"/>
      <c r="N264" s="125"/>
      <c r="O264" s="125"/>
      <c r="P264" s="125"/>
      <c r="Q264" s="125"/>
      <c r="R264" s="115"/>
      <c r="S264" s="115"/>
      <c r="T264" s="115"/>
      <c r="U264" s="115"/>
      <c r="V264" s="115"/>
      <c r="W264" s="122"/>
    </row>
    <row r="265" spans="1:23" ht="15.75" hidden="1" customHeight="1">
      <c r="A265" s="103"/>
      <c r="B265" s="103"/>
      <c r="C265" s="105"/>
      <c r="D265" s="105"/>
      <c r="E265" s="105"/>
      <c r="F265" s="124"/>
      <c r="G265" s="121"/>
      <c r="H265" s="108"/>
      <c r="I265" s="108"/>
      <c r="J265" s="108"/>
      <c r="K265" s="108"/>
      <c r="L265" s="67"/>
      <c r="M265" s="125"/>
      <c r="N265" s="125"/>
      <c r="O265" s="125"/>
      <c r="P265" s="125"/>
      <c r="Q265" s="125"/>
      <c r="R265" s="115"/>
      <c r="S265" s="115"/>
      <c r="T265" s="115"/>
      <c r="U265" s="115"/>
      <c r="V265" s="115"/>
      <c r="W265" s="122"/>
    </row>
    <row r="266" spans="1:23" ht="15.75" hidden="1" customHeight="1">
      <c r="A266" s="103"/>
      <c r="B266" s="103"/>
      <c r="C266" s="105"/>
      <c r="D266" s="105"/>
      <c r="E266" s="105"/>
      <c r="F266" s="124"/>
      <c r="G266" s="121"/>
      <c r="H266" s="108"/>
      <c r="I266" s="108"/>
      <c r="J266" s="108"/>
      <c r="K266" s="108"/>
      <c r="L266" s="67"/>
      <c r="M266" s="125"/>
      <c r="N266" s="125"/>
      <c r="O266" s="125"/>
      <c r="P266" s="125"/>
      <c r="Q266" s="125"/>
      <c r="R266" s="115"/>
      <c r="S266" s="115"/>
      <c r="T266" s="115"/>
      <c r="U266" s="115"/>
      <c r="V266" s="115"/>
      <c r="W266" s="122"/>
    </row>
    <row r="267" spans="1:23" ht="15.75" hidden="1" customHeight="1">
      <c r="A267" s="103"/>
      <c r="B267" s="103"/>
      <c r="C267" s="105"/>
      <c r="D267" s="105"/>
      <c r="E267" s="105"/>
      <c r="F267" s="124"/>
      <c r="G267" s="121"/>
      <c r="H267" s="108"/>
      <c r="I267" s="108"/>
      <c r="J267" s="108"/>
      <c r="K267" s="108"/>
      <c r="L267" s="67"/>
      <c r="M267" s="125"/>
      <c r="N267" s="125"/>
      <c r="O267" s="125"/>
      <c r="P267" s="125"/>
      <c r="Q267" s="125"/>
      <c r="R267" s="115"/>
      <c r="S267" s="115"/>
      <c r="T267" s="115"/>
      <c r="U267" s="115"/>
      <c r="V267" s="115"/>
      <c r="W267" s="122"/>
    </row>
    <row r="268" spans="1:23" ht="15.75" hidden="1" customHeight="1">
      <c r="A268" s="103"/>
      <c r="B268" s="103"/>
      <c r="C268" s="105"/>
      <c r="D268" s="105"/>
      <c r="E268" s="105"/>
      <c r="F268" s="124"/>
      <c r="G268" s="121"/>
      <c r="H268" s="108"/>
      <c r="I268" s="108"/>
      <c r="J268" s="108"/>
      <c r="K268" s="108"/>
      <c r="L268" s="67"/>
      <c r="M268" s="125"/>
      <c r="N268" s="125"/>
      <c r="O268" s="125"/>
      <c r="P268" s="125"/>
      <c r="Q268" s="125"/>
      <c r="R268" s="115"/>
      <c r="S268" s="115"/>
      <c r="T268" s="115"/>
      <c r="U268" s="115"/>
      <c r="V268" s="115"/>
      <c r="W268" s="122"/>
    </row>
    <row r="269" spans="1:23" ht="15.75" hidden="1" customHeight="1">
      <c r="A269" s="103"/>
      <c r="B269" s="103"/>
      <c r="C269" s="105"/>
      <c r="D269" s="105"/>
      <c r="E269" s="105"/>
      <c r="F269" s="124"/>
      <c r="G269" s="121"/>
      <c r="H269" s="108"/>
      <c r="I269" s="108"/>
      <c r="J269" s="108"/>
      <c r="K269" s="108"/>
      <c r="L269" s="67"/>
      <c r="M269" s="125"/>
      <c r="N269" s="125"/>
      <c r="O269" s="125"/>
      <c r="P269" s="125"/>
      <c r="Q269" s="125"/>
      <c r="R269" s="115"/>
      <c r="S269" s="115"/>
      <c r="T269" s="115"/>
      <c r="U269" s="115"/>
      <c r="V269" s="115"/>
      <c r="W269" s="122"/>
    </row>
    <row r="270" spans="1:23" ht="15.75" hidden="1" customHeight="1">
      <c r="A270" s="103"/>
      <c r="B270" s="103"/>
      <c r="C270" s="105"/>
      <c r="D270" s="105"/>
      <c r="E270" s="105"/>
      <c r="F270" s="124"/>
      <c r="G270" s="121"/>
      <c r="H270" s="108"/>
      <c r="I270" s="108"/>
      <c r="J270" s="108"/>
      <c r="K270" s="108"/>
      <c r="L270" s="67"/>
      <c r="M270" s="125"/>
      <c r="N270" s="125"/>
      <c r="O270" s="125"/>
      <c r="P270" s="125"/>
      <c r="Q270" s="125"/>
      <c r="R270" s="115"/>
      <c r="S270" s="115"/>
      <c r="T270" s="115"/>
      <c r="U270" s="115"/>
      <c r="V270" s="115"/>
      <c r="W270" s="122"/>
    </row>
    <row r="271" spans="1:23" ht="15.75" hidden="1" customHeight="1">
      <c r="A271" s="103"/>
      <c r="B271" s="103"/>
      <c r="C271" s="105"/>
      <c r="D271" s="105"/>
      <c r="E271" s="105"/>
      <c r="F271" s="124"/>
      <c r="G271" s="121"/>
      <c r="H271" s="108"/>
      <c r="I271" s="108"/>
      <c r="J271" s="108"/>
      <c r="K271" s="108"/>
      <c r="L271" s="67"/>
      <c r="M271" s="125"/>
      <c r="N271" s="125"/>
      <c r="O271" s="125"/>
      <c r="P271" s="125"/>
      <c r="Q271" s="125"/>
      <c r="R271" s="115"/>
      <c r="S271" s="115"/>
      <c r="T271" s="115"/>
      <c r="U271" s="115"/>
      <c r="V271" s="115"/>
      <c r="W271" s="122"/>
    </row>
    <row r="272" spans="1:23" ht="15.75" hidden="1" customHeight="1">
      <c r="A272" s="103"/>
      <c r="B272" s="103"/>
      <c r="C272" s="105"/>
      <c r="D272" s="105"/>
      <c r="E272" s="105"/>
      <c r="F272" s="124"/>
      <c r="G272" s="121"/>
      <c r="H272" s="108"/>
      <c r="I272" s="108"/>
      <c r="J272" s="108"/>
      <c r="K272" s="108"/>
      <c r="L272" s="67"/>
      <c r="M272" s="125"/>
      <c r="N272" s="125"/>
      <c r="O272" s="125"/>
      <c r="P272" s="125"/>
      <c r="Q272" s="125"/>
      <c r="R272" s="115"/>
      <c r="S272" s="115"/>
      <c r="T272" s="115"/>
      <c r="U272" s="115"/>
      <c r="V272" s="115"/>
      <c r="W272" s="122"/>
    </row>
    <row r="273" spans="1:23" ht="15.75" hidden="1" customHeight="1">
      <c r="A273" s="103"/>
      <c r="B273" s="103"/>
      <c r="C273" s="105"/>
      <c r="D273" s="105"/>
      <c r="E273" s="105"/>
      <c r="F273" s="124"/>
      <c r="G273" s="121"/>
      <c r="H273" s="108"/>
      <c r="I273" s="108"/>
      <c r="J273" s="108"/>
      <c r="K273" s="108"/>
      <c r="L273" s="67"/>
      <c r="M273" s="125"/>
      <c r="N273" s="125"/>
      <c r="O273" s="125"/>
      <c r="P273" s="125"/>
      <c r="Q273" s="125"/>
      <c r="R273" s="115"/>
      <c r="S273" s="115"/>
      <c r="T273" s="115"/>
      <c r="U273" s="115"/>
      <c r="V273" s="115"/>
      <c r="W273" s="122"/>
    </row>
    <row r="274" spans="1:23" ht="15.75" hidden="1" customHeight="1">
      <c r="A274" s="103"/>
      <c r="B274" s="103"/>
      <c r="C274" s="105"/>
      <c r="D274" s="105"/>
      <c r="E274" s="105"/>
      <c r="F274" s="124"/>
      <c r="G274" s="121"/>
      <c r="H274" s="108"/>
      <c r="I274" s="108"/>
      <c r="J274" s="108"/>
      <c r="K274" s="108"/>
      <c r="L274" s="67"/>
      <c r="M274" s="125"/>
      <c r="N274" s="125"/>
      <c r="O274" s="125"/>
      <c r="P274" s="125"/>
      <c r="Q274" s="125"/>
      <c r="R274" s="115"/>
      <c r="S274" s="115"/>
      <c r="T274" s="115"/>
      <c r="U274" s="115"/>
      <c r="V274" s="115"/>
      <c r="W274" s="122"/>
    </row>
    <row r="275" spans="1:23" ht="15.75" hidden="1" customHeight="1">
      <c r="A275" s="103"/>
      <c r="B275" s="103"/>
      <c r="C275" s="105"/>
      <c r="D275" s="105"/>
      <c r="E275" s="105"/>
      <c r="F275" s="124"/>
      <c r="G275" s="121"/>
      <c r="H275" s="108"/>
      <c r="I275" s="108"/>
      <c r="J275" s="108"/>
      <c r="K275" s="108"/>
      <c r="L275" s="67"/>
      <c r="M275" s="125"/>
      <c r="N275" s="125"/>
      <c r="O275" s="125"/>
      <c r="P275" s="125"/>
      <c r="Q275" s="125"/>
      <c r="R275" s="115"/>
      <c r="S275" s="115"/>
      <c r="T275" s="115"/>
      <c r="U275" s="115"/>
      <c r="V275" s="115"/>
      <c r="W275" s="122"/>
    </row>
    <row r="276" spans="1:23" ht="15.75" hidden="1" customHeight="1">
      <c r="A276" s="103"/>
      <c r="B276" s="103"/>
      <c r="C276" s="105"/>
      <c r="D276" s="105"/>
      <c r="E276" s="105"/>
      <c r="F276" s="124"/>
      <c r="G276" s="121"/>
      <c r="H276" s="108"/>
      <c r="I276" s="108"/>
      <c r="J276" s="108"/>
      <c r="K276" s="108"/>
      <c r="L276" s="67"/>
      <c r="M276" s="125"/>
      <c r="N276" s="125"/>
      <c r="O276" s="125"/>
      <c r="P276" s="125"/>
      <c r="Q276" s="125"/>
      <c r="R276" s="115"/>
      <c r="S276" s="115"/>
      <c r="T276" s="115"/>
      <c r="U276" s="115"/>
      <c r="V276" s="115"/>
      <c r="W276" s="122"/>
    </row>
    <row r="277" spans="1:23" ht="15.75" hidden="1" customHeight="1">
      <c r="A277" s="103"/>
      <c r="B277" s="103"/>
      <c r="C277" s="105"/>
      <c r="D277" s="105"/>
      <c r="E277" s="105"/>
      <c r="F277" s="124"/>
      <c r="G277" s="121"/>
      <c r="H277" s="108"/>
      <c r="I277" s="108"/>
      <c r="J277" s="108"/>
      <c r="K277" s="108"/>
      <c r="L277" s="67"/>
      <c r="M277" s="125"/>
      <c r="N277" s="125"/>
      <c r="O277" s="125"/>
      <c r="P277" s="125"/>
      <c r="Q277" s="125"/>
      <c r="R277" s="115"/>
      <c r="S277" s="115"/>
      <c r="T277" s="115"/>
      <c r="U277" s="115"/>
      <c r="V277" s="115"/>
      <c r="W277" s="122"/>
    </row>
    <row r="278" spans="1:23" ht="15.75" hidden="1" customHeight="1">
      <c r="A278" s="103"/>
      <c r="B278" s="103"/>
      <c r="C278" s="105"/>
      <c r="D278" s="105"/>
      <c r="E278" s="105"/>
      <c r="F278" s="124"/>
      <c r="G278" s="121"/>
      <c r="H278" s="108"/>
      <c r="I278" s="108"/>
      <c r="J278" s="108"/>
      <c r="K278" s="108"/>
      <c r="L278" s="67"/>
      <c r="M278" s="125"/>
      <c r="N278" s="125"/>
      <c r="O278" s="125"/>
      <c r="P278" s="125"/>
      <c r="Q278" s="125"/>
      <c r="R278" s="115"/>
      <c r="S278" s="115"/>
      <c r="T278" s="115"/>
      <c r="U278" s="115"/>
      <c r="V278" s="115"/>
      <c r="W278" s="122"/>
    </row>
    <row r="279" spans="1:23" ht="15.75" hidden="1" customHeight="1">
      <c r="A279" s="103"/>
      <c r="B279" s="103"/>
      <c r="C279" s="105"/>
      <c r="D279" s="105"/>
      <c r="E279" s="105"/>
      <c r="F279" s="124"/>
      <c r="G279" s="121"/>
      <c r="H279" s="108"/>
      <c r="I279" s="108"/>
      <c r="J279" s="108"/>
      <c r="K279" s="108"/>
      <c r="L279" s="67"/>
      <c r="M279" s="125"/>
      <c r="N279" s="125"/>
      <c r="O279" s="125"/>
      <c r="P279" s="125"/>
      <c r="Q279" s="125"/>
      <c r="R279" s="115"/>
      <c r="S279" s="115"/>
      <c r="T279" s="115"/>
      <c r="U279" s="115"/>
      <c r="V279" s="115"/>
      <c r="W279" s="122"/>
    </row>
    <row r="280" spans="1:23" ht="15.75" hidden="1" customHeight="1">
      <c r="A280" s="103"/>
      <c r="B280" s="103"/>
      <c r="C280" s="105"/>
      <c r="D280" s="105"/>
      <c r="E280" s="105"/>
      <c r="F280" s="124"/>
      <c r="G280" s="121"/>
      <c r="H280" s="108"/>
      <c r="I280" s="108"/>
      <c r="J280" s="108"/>
      <c r="K280" s="108"/>
      <c r="L280" s="67"/>
      <c r="M280" s="125"/>
      <c r="N280" s="125"/>
      <c r="O280" s="125"/>
      <c r="P280" s="125"/>
      <c r="Q280" s="125"/>
      <c r="R280" s="115"/>
      <c r="S280" s="115"/>
      <c r="T280" s="115"/>
      <c r="U280" s="115"/>
      <c r="V280" s="115"/>
      <c r="W280" s="122"/>
    </row>
    <row r="281" spans="1:23" ht="15.75" hidden="1" customHeight="1">
      <c r="A281" s="103"/>
      <c r="B281" s="103"/>
      <c r="C281" s="105"/>
      <c r="D281" s="105"/>
      <c r="E281" s="105"/>
      <c r="F281" s="124"/>
      <c r="G281" s="121"/>
      <c r="H281" s="108"/>
      <c r="I281" s="108"/>
      <c r="J281" s="108"/>
      <c r="K281" s="108"/>
      <c r="L281" s="67"/>
      <c r="M281" s="125"/>
      <c r="N281" s="125"/>
      <c r="O281" s="125"/>
      <c r="P281" s="125"/>
      <c r="Q281" s="125"/>
      <c r="R281" s="115"/>
      <c r="S281" s="115"/>
      <c r="T281" s="115"/>
      <c r="U281" s="115"/>
      <c r="V281" s="115"/>
      <c r="W281" s="122"/>
    </row>
    <row r="282" spans="1:23" ht="15.75" hidden="1" customHeight="1">
      <c r="A282" s="103"/>
      <c r="B282" s="103"/>
      <c r="C282" s="105"/>
      <c r="D282" s="105"/>
      <c r="E282" s="105"/>
      <c r="F282" s="124"/>
      <c r="G282" s="121"/>
      <c r="H282" s="108"/>
      <c r="I282" s="108"/>
      <c r="J282" s="108"/>
      <c r="K282" s="108"/>
      <c r="L282" s="67"/>
      <c r="M282" s="125"/>
      <c r="N282" s="125"/>
      <c r="O282" s="125"/>
      <c r="P282" s="125"/>
      <c r="Q282" s="125"/>
      <c r="R282" s="115"/>
      <c r="S282" s="115"/>
      <c r="T282" s="115"/>
      <c r="U282" s="115"/>
      <c r="V282" s="115"/>
      <c r="W282" s="122"/>
    </row>
    <row r="283" spans="1:23" ht="15.75" hidden="1" customHeight="1">
      <c r="A283" s="103"/>
      <c r="B283" s="103"/>
      <c r="C283" s="105"/>
      <c r="D283" s="105"/>
      <c r="E283" s="105"/>
      <c r="F283" s="124"/>
      <c r="G283" s="121"/>
      <c r="H283" s="108"/>
      <c r="I283" s="108"/>
      <c r="J283" s="108"/>
      <c r="K283" s="108"/>
      <c r="L283" s="67"/>
      <c r="M283" s="125"/>
      <c r="N283" s="125"/>
      <c r="O283" s="125"/>
      <c r="P283" s="125"/>
      <c r="Q283" s="125"/>
      <c r="R283" s="115"/>
      <c r="S283" s="115"/>
      <c r="T283" s="115"/>
      <c r="U283" s="115"/>
      <c r="V283" s="115"/>
      <c r="W283" s="122"/>
    </row>
    <row r="284" spans="1:23" ht="15.75" hidden="1" customHeight="1">
      <c r="A284" s="103"/>
      <c r="B284" s="103"/>
      <c r="C284" s="105"/>
      <c r="D284" s="105"/>
      <c r="E284" s="105"/>
      <c r="F284" s="124"/>
      <c r="G284" s="121"/>
      <c r="H284" s="108"/>
      <c r="I284" s="108"/>
      <c r="J284" s="108"/>
      <c r="K284" s="108"/>
      <c r="L284" s="67"/>
      <c r="M284" s="125"/>
      <c r="N284" s="125"/>
      <c r="O284" s="125"/>
      <c r="P284" s="125"/>
      <c r="Q284" s="125"/>
      <c r="R284" s="115"/>
      <c r="S284" s="115"/>
      <c r="T284" s="115"/>
      <c r="U284" s="115"/>
      <c r="V284" s="115"/>
      <c r="W284" s="122"/>
    </row>
    <row r="285" spans="1:23" ht="15.75" hidden="1" customHeight="1">
      <c r="A285" s="103"/>
      <c r="B285" s="103"/>
      <c r="C285" s="105"/>
      <c r="D285" s="105"/>
      <c r="E285" s="105"/>
      <c r="F285" s="124"/>
      <c r="G285" s="121"/>
      <c r="H285" s="108"/>
      <c r="I285" s="108"/>
      <c r="J285" s="108"/>
      <c r="K285" s="108"/>
      <c r="L285" s="67"/>
      <c r="M285" s="125"/>
      <c r="N285" s="125"/>
      <c r="O285" s="125"/>
      <c r="P285" s="125"/>
      <c r="Q285" s="125"/>
      <c r="R285" s="115"/>
      <c r="S285" s="115"/>
      <c r="T285" s="115"/>
      <c r="U285" s="115"/>
      <c r="V285" s="115"/>
      <c r="W285" s="122"/>
    </row>
    <row r="286" spans="1:23" ht="15.75" hidden="1" customHeight="1">
      <c r="A286" s="103"/>
      <c r="B286" s="103"/>
      <c r="C286" s="105"/>
      <c r="D286" s="105"/>
      <c r="E286" s="105"/>
      <c r="F286" s="124"/>
      <c r="G286" s="121"/>
      <c r="H286" s="108"/>
      <c r="I286" s="108"/>
      <c r="J286" s="108"/>
      <c r="K286" s="108"/>
      <c r="L286" s="67"/>
      <c r="M286" s="125"/>
      <c r="N286" s="125"/>
      <c r="O286" s="125"/>
      <c r="P286" s="125"/>
      <c r="Q286" s="125"/>
      <c r="R286" s="115"/>
      <c r="S286" s="115"/>
      <c r="T286" s="115"/>
      <c r="U286" s="115"/>
      <c r="V286" s="115"/>
      <c r="W286" s="122"/>
    </row>
    <row r="287" spans="1:23" ht="15.75" hidden="1" customHeight="1">
      <c r="A287" s="103"/>
      <c r="B287" s="103"/>
      <c r="C287" s="105"/>
      <c r="D287" s="105"/>
      <c r="E287" s="105"/>
      <c r="F287" s="124"/>
      <c r="G287" s="121"/>
      <c r="H287" s="108"/>
      <c r="I287" s="108"/>
      <c r="J287" s="108"/>
      <c r="K287" s="108"/>
      <c r="L287" s="67"/>
      <c r="M287" s="125"/>
      <c r="N287" s="125"/>
      <c r="O287" s="125"/>
      <c r="P287" s="125"/>
      <c r="Q287" s="125"/>
      <c r="R287" s="115"/>
      <c r="S287" s="115"/>
      <c r="T287" s="115"/>
      <c r="U287" s="115"/>
      <c r="V287" s="115"/>
      <c r="W287" s="122"/>
    </row>
    <row r="288" spans="1:23" ht="15.75" hidden="1" customHeight="1">
      <c r="A288" s="103"/>
      <c r="B288" s="103"/>
      <c r="C288" s="105"/>
      <c r="D288" s="105"/>
      <c r="E288" s="105"/>
      <c r="F288" s="124"/>
      <c r="G288" s="121"/>
      <c r="H288" s="108"/>
      <c r="I288" s="108"/>
      <c r="J288" s="108"/>
      <c r="K288" s="108"/>
      <c r="L288" s="67"/>
      <c r="M288" s="125"/>
      <c r="N288" s="125"/>
      <c r="O288" s="125"/>
      <c r="P288" s="125"/>
      <c r="Q288" s="125"/>
      <c r="R288" s="115"/>
      <c r="S288" s="115"/>
      <c r="T288" s="115"/>
      <c r="U288" s="115"/>
      <c r="V288" s="115"/>
      <c r="W288" s="122"/>
    </row>
    <row r="289" spans="1:23" ht="15.75" hidden="1" customHeight="1">
      <c r="A289" s="103"/>
      <c r="B289" s="103"/>
      <c r="C289" s="105"/>
      <c r="D289" s="105"/>
      <c r="E289" s="105"/>
      <c r="F289" s="124"/>
      <c r="G289" s="121"/>
      <c r="H289" s="108"/>
      <c r="I289" s="108"/>
      <c r="J289" s="108"/>
      <c r="K289" s="108"/>
      <c r="L289" s="67"/>
      <c r="M289" s="125"/>
      <c r="N289" s="125"/>
      <c r="O289" s="125"/>
      <c r="P289" s="125"/>
      <c r="Q289" s="125"/>
      <c r="R289" s="115"/>
      <c r="S289" s="115"/>
      <c r="T289" s="115"/>
      <c r="U289" s="115"/>
      <c r="V289" s="115"/>
      <c r="W289" s="122"/>
    </row>
    <row r="290" spans="1:23" ht="15.75" hidden="1" customHeight="1">
      <c r="A290" s="103"/>
      <c r="B290" s="103"/>
      <c r="C290" s="105"/>
      <c r="D290" s="105"/>
      <c r="E290" s="105"/>
      <c r="F290" s="124"/>
      <c r="G290" s="121"/>
      <c r="H290" s="108"/>
      <c r="I290" s="108"/>
      <c r="J290" s="108"/>
      <c r="K290" s="108"/>
      <c r="L290" s="67"/>
      <c r="M290" s="125"/>
      <c r="N290" s="125"/>
      <c r="O290" s="125"/>
      <c r="P290" s="125"/>
      <c r="Q290" s="125"/>
      <c r="R290" s="115"/>
      <c r="S290" s="115"/>
      <c r="T290" s="115"/>
      <c r="U290" s="115"/>
      <c r="V290" s="115"/>
      <c r="W290" s="122"/>
    </row>
    <row r="291" spans="1:23" ht="15.75" hidden="1" customHeight="1">
      <c r="A291" s="103"/>
      <c r="B291" s="103"/>
      <c r="C291" s="105"/>
      <c r="D291" s="105"/>
      <c r="E291" s="105"/>
      <c r="F291" s="124"/>
      <c r="G291" s="121"/>
      <c r="H291" s="108"/>
      <c r="I291" s="108"/>
      <c r="J291" s="108"/>
      <c r="K291" s="108"/>
      <c r="L291" s="67"/>
      <c r="M291" s="125"/>
      <c r="N291" s="125"/>
      <c r="O291" s="125"/>
      <c r="P291" s="125"/>
      <c r="Q291" s="125"/>
      <c r="R291" s="115"/>
      <c r="S291" s="115"/>
      <c r="T291" s="115"/>
      <c r="U291" s="115"/>
      <c r="V291" s="115"/>
      <c r="W291" s="122"/>
    </row>
    <row r="292" spans="1:23" ht="15.75" hidden="1" customHeight="1"/>
    <row r="293" spans="1:23" ht="15.75" hidden="1" customHeight="1"/>
    <row r="294" spans="1:23" ht="15.75" hidden="1" customHeight="1"/>
    <row r="295" spans="1:23" ht="15.75" hidden="1" customHeight="1"/>
    <row r="296" spans="1:23" ht="15.75" hidden="1" customHeight="1"/>
    <row r="297" spans="1:23" ht="15.75" hidden="1" customHeight="1"/>
    <row r="298" spans="1:23" ht="15.75" hidden="1" customHeight="1"/>
    <row r="299" spans="1:23" ht="15.75" hidden="1" customHeight="1"/>
    <row r="300" spans="1:23" ht="15.75" hidden="1" customHeight="1"/>
    <row r="301" spans="1:23" ht="15.75" hidden="1" customHeight="1"/>
    <row r="302" spans="1:23" ht="15.75" hidden="1" customHeight="1"/>
    <row r="303" spans="1:23" ht="15.75" hidden="1" customHeight="1"/>
    <row r="304" spans="1:23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2"/>
  <sheetViews>
    <sheetView topLeftCell="A4" workbookViewId="0">
      <selection activeCell="R11" sqref="R11"/>
    </sheetView>
  </sheetViews>
  <sheetFormatPr defaultColWidth="14.42578125" defaultRowHeight="15" customHeight="1"/>
  <cols>
    <col min="1" max="1" width="6.140625" customWidth="1"/>
    <col min="2" max="2" width="20.28515625" customWidth="1"/>
    <col min="3" max="9" width="8" customWidth="1"/>
    <col min="10" max="10" width="10.7109375" customWidth="1"/>
    <col min="11" max="22" width="8" customWidth="1"/>
    <col min="23" max="24" width="14.42578125" customWidth="1"/>
    <col min="25" max="26" width="8" customWidth="1"/>
  </cols>
  <sheetData>
    <row r="1" spans="1:26" ht="26.25" customHeight="1">
      <c r="A1" s="232">
        <f>'Final Attainment'!A1:V1</f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69"/>
      <c r="X1" s="69"/>
      <c r="Y1" s="75"/>
      <c r="Z1" s="75"/>
    </row>
    <row r="2" spans="1:26" ht="19.5" customHeight="1">
      <c r="A2" s="233">
        <f>'Final Attainment'!A2:V2</f>
        <v>0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75"/>
      <c r="X2" s="75"/>
      <c r="Y2" s="75"/>
      <c r="Z2" s="75"/>
    </row>
    <row r="3" spans="1:26" ht="15.75" customHeight="1">
      <c r="A3" s="70"/>
      <c r="B3" s="70"/>
      <c r="C3" s="70"/>
      <c r="D3" s="70"/>
      <c r="E3" s="75"/>
      <c r="F3" s="75"/>
      <c r="G3" s="75"/>
      <c r="H3" s="75"/>
      <c r="I3" s="70"/>
      <c r="J3" s="70"/>
      <c r="K3" s="71"/>
      <c r="L3" s="70"/>
      <c r="M3" s="75"/>
      <c r="N3" s="75"/>
      <c r="O3" s="70"/>
      <c r="P3" s="75"/>
      <c r="Q3" s="75"/>
      <c r="R3" s="70"/>
      <c r="S3" s="70"/>
      <c r="T3" s="75"/>
      <c r="U3" s="75"/>
      <c r="V3" s="70"/>
      <c r="W3" s="71"/>
      <c r="X3" s="71"/>
      <c r="Y3" s="75"/>
      <c r="Z3" s="75"/>
    </row>
    <row r="4" spans="1:26" ht="39" customHeight="1">
      <c r="A4" s="234" t="s">
        <v>202</v>
      </c>
      <c r="B4" s="224"/>
      <c r="C4" s="72" t="str">
        <f>'Final Attainment'!C4</f>
        <v>2024-2025 EVEN</v>
      </c>
      <c r="D4" s="70"/>
      <c r="E4" s="234" t="s">
        <v>203</v>
      </c>
      <c r="F4" s="224"/>
      <c r="G4" s="73" t="str">
        <f>'Final Attainment'!G4</f>
        <v>IV &amp; II</v>
      </c>
      <c r="H4" s="235" t="s">
        <v>204</v>
      </c>
      <c r="I4" s="224"/>
      <c r="J4" s="224"/>
      <c r="K4" s="236" t="str">
        <f>'Final Attainment'!K4:Q4</f>
        <v>22EE401 &amp; POWER GENERATION, TRANSMISSION AND DISTRIBUTION</v>
      </c>
      <c r="L4" s="224"/>
      <c r="M4" s="224"/>
      <c r="N4" s="224"/>
      <c r="O4" s="224"/>
      <c r="P4" s="224"/>
      <c r="Q4" s="224"/>
      <c r="R4" s="70" t="s">
        <v>205</v>
      </c>
      <c r="S4" s="74" t="str">
        <f>'Final Attainment'!S4</f>
        <v>Dr.SIVARAMAN P / EE1329</v>
      </c>
      <c r="T4" s="75"/>
      <c r="U4" s="74"/>
      <c r="V4" s="74"/>
      <c r="W4" s="71"/>
      <c r="X4" s="71"/>
      <c r="Y4" s="75"/>
      <c r="Z4" s="75"/>
    </row>
    <row r="5" spans="1:26" ht="16.5" customHeight="1">
      <c r="A5" s="70"/>
      <c r="B5" s="70"/>
      <c r="C5" s="70"/>
      <c r="D5" s="76"/>
      <c r="E5" s="75"/>
      <c r="F5" s="75"/>
      <c r="G5" s="75"/>
      <c r="H5" s="75"/>
      <c r="I5" s="70"/>
      <c r="J5" s="70"/>
      <c r="K5" s="71"/>
      <c r="L5" s="77"/>
      <c r="M5" s="75"/>
      <c r="N5" s="75"/>
      <c r="O5" s="70"/>
      <c r="P5" s="75"/>
      <c r="Q5" s="75"/>
      <c r="R5" s="77"/>
      <c r="S5" s="77"/>
      <c r="T5" s="75"/>
      <c r="U5" s="75"/>
      <c r="V5" s="70"/>
      <c r="W5" s="71"/>
      <c r="X5" s="71"/>
      <c r="Y5" s="75"/>
      <c r="Z5" s="75"/>
    </row>
    <row r="6" spans="1:26" ht="28.5" customHeight="1">
      <c r="A6" s="237" t="s">
        <v>229</v>
      </c>
      <c r="B6" s="238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9"/>
      <c r="W6" s="78"/>
      <c r="X6" s="78"/>
      <c r="Y6" s="75"/>
      <c r="Z6" s="75"/>
    </row>
    <row r="7" spans="1:26" ht="27" customHeight="1">
      <c r="A7" s="243" t="s">
        <v>207</v>
      </c>
      <c r="B7" s="246" t="str">
        <f>'Final Attainment'!X1</f>
        <v>CO Attainment Level 0: &lt;50% of students scoring less than the target marks
CO Attainment Level 1: 50% of students scoring more than the target marks
CO Attainment Level 2: 60% of students scoring more than the target marks
CO Attainment Level 3: 70% of students scoring more than the target marks</v>
      </c>
      <c r="C7" s="247"/>
      <c r="D7" s="247"/>
      <c r="E7" s="247"/>
      <c r="F7" s="247"/>
      <c r="G7" s="247"/>
      <c r="H7" s="247"/>
      <c r="I7" s="247"/>
      <c r="J7" s="247"/>
      <c r="K7" s="248"/>
      <c r="L7" s="240" t="s">
        <v>208</v>
      </c>
      <c r="M7" s="241"/>
      <c r="N7" s="241"/>
      <c r="O7" s="241"/>
      <c r="P7" s="241"/>
      <c r="Q7" s="241"/>
      <c r="R7" s="241"/>
      <c r="S7" s="241"/>
      <c r="T7" s="241"/>
      <c r="U7" s="241"/>
      <c r="V7" s="242"/>
      <c r="W7" s="75"/>
      <c r="X7" s="75"/>
      <c r="Y7" s="75"/>
      <c r="Z7" s="75"/>
    </row>
    <row r="8" spans="1:26" ht="15.75" customHeight="1">
      <c r="A8" s="244"/>
      <c r="B8" s="249"/>
      <c r="C8" s="224"/>
      <c r="D8" s="224"/>
      <c r="E8" s="224"/>
      <c r="F8" s="224"/>
      <c r="G8" s="224"/>
      <c r="H8" s="224"/>
      <c r="I8" s="224"/>
      <c r="J8" s="224"/>
      <c r="K8" s="250"/>
      <c r="L8" s="251"/>
      <c r="M8" s="212"/>
      <c r="N8" s="212"/>
      <c r="O8" s="212"/>
      <c r="P8" s="212"/>
      <c r="Q8" s="213"/>
      <c r="R8" s="79" t="s">
        <v>209</v>
      </c>
      <c r="S8" s="79" t="s">
        <v>210</v>
      </c>
      <c r="T8" s="79" t="s">
        <v>211</v>
      </c>
      <c r="U8" s="79" t="s">
        <v>212</v>
      </c>
      <c r="V8" s="80" t="s">
        <v>213</v>
      </c>
      <c r="W8" s="75"/>
      <c r="X8" s="75"/>
      <c r="Y8" s="75"/>
      <c r="Z8" s="75"/>
    </row>
    <row r="9" spans="1:26" ht="16.5" customHeight="1">
      <c r="A9" s="245"/>
      <c r="B9" s="249"/>
      <c r="C9" s="224"/>
      <c r="D9" s="224"/>
      <c r="E9" s="224"/>
      <c r="F9" s="224"/>
      <c r="G9" s="224"/>
      <c r="H9" s="224"/>
      <c r="I9" s="224"/>
      <c r="J9" s="224"/>
      <c r="K9" s="250"/>
      <c r="L9" s="252" t="s">
        <v>214</v>
      </c>
      <c r="M9" s="212"/>
      <c r="N9" s="212"/>
      <c r="O9" s="212"/>
      <c r="P9" s="212"/>
      <c r="Q9" s="213"/>
      <c r="R9" s="81">
        <f t="shared" ref="R9:V9" si="0">COUNTIF(H16:H361,"&gt;=0")</f>
        <v>66</v>
      </c>
      <c r="S9" s="81">
        <f t="shared" si="0"/>
        <v>66</v>
      </c>
      <c r="T9" s="81">
        <f t="shared" si="0"/>
        <v>66</v>
      </c>
      <c r="U9" s="81">
        <f t="shared" si="0"/>
        <v>66</v>
      </c>
      <c r="V9" s="82">
        <f t="shared" si="0"/>
        <v>66</v>
      </c>
      <c r="W9" s="75"/>
      <c r="X9" s="75"/>
      <c r="Y9" s="75"/>
      <c r="Z9" s="75"/>
    </row>
    <row r="10" spans="1:26" ht="15.75" customHeight="1">
      <c r="A10" s="253" t="s">
        <v>215</v>
      </c>
      <c r="B10" s="254"/>
      <c r="C10" s="254"/>
      <c r="D10" s="254"/>
      <c r="E10" s="255">
        <f>'Final Attainment'!E7</f>
        <v>58</v>
      </c>
      <c r="F10" s="256"/>
      <c r="G10" s="83"/>
      <c r="H10" s="84"/>
      <c r="I10" s="84"/>
      <c r="J10" s="84"/>
      <c r="K10" s="85"/>
      <c r="L10" s="252" t="s">
        <v>216</v>
      </c>
      <c r="M10" s="212"/>
      <c r="N10" s="212"/>
      <c r="O10" s="212"/>
      <c r="P10" s="212"/>
      <c r="Q10" s="213"/>
      <c r="R10" s="81">
        <f t="shared" ref="R10:V10" si="1">COUNTIF(M16:M361,"&gt;="&amp;$E$10)</f>
        <v>53</v>
      </c>
      <c r="S10" s="81">
        <f t="shared" si="1"/>
        <v>42</v>
      </c>
      <c r="T10" s="81">
        <f t="shared" si="1"/>
        <v>50</v>
      </c>
      <c r="U10" s="81">
        <f t="shared" si="1"/>
        <v>29</v>
      </c>
      <c r="V10" s="82">
        <f t="shared" si="1"/>
        <v>47</v>
      </c>
      <c r="W10" s="75"/>
      <c r="X10" s="75"/>
      <c r="Y10" s="75"/>
      <c r="Z10" s="75"/>
    </row>
    <row r="11" spans="1:26" ht="15.75" customHeight="1">
      <c r="A11" s="262" t="s">
        <v>217</v>
      </c>
      <c r="B11" s="263"/>
      <c r="C11" s="263"/>
      <c r="D11" s="263"/>
      <c r="E11" s="264">
        <f>COUNTA(B16:B361)</f>
        <v>66</v>
      </c>
      <c r="F11" s="265"/>
      <c r="G11" s="87"/>
      <c r="H11" s="88"/>
      <c r="I11" s="88"/>
      <c r="J11" s="88"/>
      <c r="K11" s="89"/>
      <c r="L11" s="252" t="s">
        <v>218</v>
      </c>
      <c r="M11" s="212"/>
      <c r="N11" s="212"/>
      <c r="O11" s="212"/>
      <c r="P11" s="212"/>
      <c r="Q11" s="213"/>
      <c r="R11" s="81">
        <f ca="1"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)))"),3)</f>
        <v>3</v>
      </c>
      <c r="S11" s="81">
        <f ca="1"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)))"),2)</f>
        <v>2</v>
      </c>
      <c r="T11" s="81">
        <f ca="1"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81">
        <f ca="1"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)))"),0)</f>
        <v>0</v>
      </c>
      <c r="V11" s="82">
        <f ca="1"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)))"),3)</f>
        <v>3</v>
      </c>
      <c r="W11" s="75"/>
      <c r="X11" s="75"/>
      <c r="Y11" s="75"/>
      <c r="Z11" s="75"/>
    </row>
    <row r="12" spans="1:26" ht="16.5" customHeight="1">
      <c r="A12" s="266" t="s">
        <v>219</v>
      </c>
      <c r="B12" s="267"/>
      <c r="C12" s="267"/>
      <c r="D12" s="267"/>
      <c r="E12" s="268">
        <f>R9</f>
        <v>66</v>
      </c>
      <c r="F12" s="269"/>
      <c r="G12" s="93"/>
      <c r="H12" s="94"/>
      <c r="I12" s="94"/>
      <c r="J12" s="94"/>
      <c r="K12" s="95"/>
      <c r="L12" s="270" t="s">
        <v>220</v>
      </c>
      <c r="M12" s="271"/>
      <c r="N12" s="271"/>
      <c r="O12" s="271"/>
      <c r="P12" s="271"/>
      <c r="Q12" s="272"/>
      <c r="R12" s="96">
        <f t="shared" ref="R12:V12" si="2">R9-R10</f>
        <v>13</v>
      </c>
      <c r="S12" s="96">
        <f t="shared" si="2"/>
        <v>24</v>
      </c>
      <c r="T12" s="96">
        <f t="shared" si="2"/>
        <v>16</v>
      </c>
      <c r="U12" s="96">
        <f t="shared" si="2"/>
        <v>37</v>
      </c>
      <c r="V12" s="97">
        <f t="shared" si="2"/>
        <v>19</v>
      </c>
      <c r="W12" s="75"/>
      <c r="X12" s="75"/>
      <c r="Y12" s="75"/>
      <c r="Z12" s="75"/>
    </row>
    <row r="13" spans="1:26" ht="15.75" customHeight="1">
      <c r="A13" s="98"/>
      <c r="B13" s="98"/>
      <c r="C13" s="98"/>
      <c r="D13" s="98"/>
      <c r="E13" s="98"/>
      <c r="F13" s="98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100"/>
      <c r="X13" s="100"/>
      <c r="Y13" s="75"/>
      <c r="Z13" s="75"/>
    </row>
    <row r="14" spans="1:26" ht="15.75" customHeight="1">
      <c r="A14" s="257" t="s">
        <v>221</v>
      </c>
      <c r="B14" s="257" t="s">
        <v>222</v>
      </c>
      <c r="C14" s="258" t="s">
        <v>223</v>
      </c>
      <c r="D14" s="259"/>
      <c r="E14" s="259"/>
      <c r="F14" s="259"/>
      <c r="G14" s="260"/>
      <c r="H14" s="258" t="s">
        <v>224</v>
      </c>
      <c r="I14" s="259"/>
      <c r="J14" s="259"/>
      <c r="K14" s="259"/>
      <c r="L14" s="260"/>
      <c r="M14" s="261" t="s">
        <v>225</v>
      </c>
      <c r="N14" s="212"/>
      <c r="O14" s="212"/>
      <c r="P14" s="212"/>
      <c r="Q14" s="213"/>
      <c r="R14" s="261" t="s">
        <v>226</v>
      </c>
      <c r="S14" s="212"/>
      <c r="T14" s="212"/>
      <c r="U14" s="212"/>
      <c r="V14" s="213"/>
      <c r="W14" s="75"/>
      <c r="X14" s="75"/>
      <c r="Y14" s="75"/>
      <c r="Z14" s="75"/>
    </row>
    <row r="15" spans="1:26" ht="15.75" customHeight="1">
      <c r="A15" s="229"/>
      <c r="B15" s="229"/>
      <c r="C15" s="102" t="s">
        <v>209</v>
      </c>
      <c r="D15" s="102" t="s">
        <v>210</v>
      </c>
      <c r="E15" s="102" t="s">
        <v>211</v>
      </c>
      <c r="F15" s="102" t="s">
        <v>212</v>
      </c>
      <c r="G15" s="102" t="s">
        <v>213</v>
      </c>
      <c r="H15" s="102" t="s">
        <v>209</v>
      </c>
      <c r="I15" s="102" t="s">
        <v>210</v>
      </c>
      <c r="J15" s="102" t="s">
        <v>211</v>
      </c>
      <c r="K15" s="102" t="s">
        <v>212</v>
      </c>
      <c r="L15" s="102" t="s">
        <v>213</v>
      </c>
      <c r="M15" s="101" t="s">
        <v>209</v>
      </c>
      <c r="N15" s="101" t="s">
        <v>210</v>
      </c>
      <c r="O15" s="101" t="s">
        <v>211</v>
      </c>
      <c r="P15" s="101" t="s">
        <v>212</v>
      </c>
      <c r="Q15" s="101" t="s">
        <v>213</v>
      </c>
      <c r="R15" s="101" t="s">
        <v>209</v>
      </c>
      <c r="S15" s="101" t="s">
        <v>210</v>
      </c>
      <c r="T15" s="101" t="s">
        <v>211</v>
      </c>
      <c r="U15" s="101" t="s">
        <v>212</v>
      </c>
      <c r="V15" s="101" t="s">
        <v>213</v>
      </c>
      <c r="W15" s="75"/>
      <c r="X15" s="75"/>
      <c r="Y15" s="75"/>
      <c r="Z15" s="75"/>
    </row>
    <row r="16" spans="1:26" ht="16.5" customHeight="1">
      <c r="A16" s="103">
        <f>Theory!A6</f>
        <v>1</v>
      </c>
      <c r="B16" s="103" t="str">
        <f>Theory!B6</f>
        <v>7376231EE102</v>
      </c>
      <c r="C16" s="126">
        <v>20</v>
      </c>
      <c r="D16" s="126">
        <v>20</v>
      </c>
      <c r="E16" s="126">
        <v>20</v>
      </c>
      <c r="F16" s="126">
        <v>20</v>
      </c>
      <c r="G16" s="126">
        <v>20</v>
      </c>
      <c r="H16" s="121">
        <v>12</v>
      </c>
      <c r="I16" s="121">
        <v>14</v>
      </c>
      <c r="J16" s="121">
        <v>12</v>
      </c>
      <c r="K16" s="121">
        <v>15</v>
      </c>
      <c r="L16" s="121">
        <v>14</v>
      </c>
      <c r="M16" s="125">
        <f t="shared" ref="M16:Q16" si="3">IF(C16="","",H16*100/C16)</f>
        <v>60</v>
      </c>
      <c r="N16" s="125">
        <f t="shared" si="3"/>
        <v>70</v>
      </c>
      <c r="O16" s="125">
        <f t="shared" si="3"/>
        <v>60</v>
      </c>
      <c r="P16" s="125">
        <f t="shared" si="3"/>
        <v>75</v>
      </c>
      <c r="Q16" s="125">
        <f t="shared" si="3"/>
        <v>70</v>
      </c>
      <c r="R16" s="115" t="str">
        <f t="shared" ref="R16:V16" si="4">IF(M16&gt;=$E$10,"1","0")</f>
        <v>1</v>
      </c>
      <c r="S16" s="115" t="str">
        <f t="shared" si="4"/>
        <v>1</v>
      </c>
      <c r="T16" s="115" t="str">
        <f t="shared" si="4"/>
        <v>1</v>
      </c>
      <c r="U16" s="115" t="str">
        <f t="shared" si="4"/>
        <v>1</v>
      </c>
      <c r="V16" s="115" t="str">
        <f t="shared" si="4"/>
        <v>1</v>
      </c>
      <c r="W16" s="75"/>
      <c r="X16" s="75"/>
      <c r="Y16" s="75"/>
      <c r="Z16" s="75"/>
    </row>
    <row r="17" spans="1:26" ht="16.5" customHeight="1">
      <c r="A17" s="103">
        <f>Theory!A7</f>
        <v>2</v>
      </c>
      <c r="B17" s="103" t="str">
        <f>Theory!B7</f>
        <v>7376231EE103</v>
      </c>
      <c r="C17" s="126">
        <v>20</v>
      </c>
      <c r="D17" s="126">
        <v>20</v>
      </c>
      <c r="E17" s="126">
        <v>20</v>
      </c>
      <c r="F17" s="126">
        <v>20</v>
      </c>
      <c r="G17" s="126">
        <v>20</v>
      </c>
      <c r="H17" s="127">
        <v>13</v>
      </c>
      <c r="I17" s="127">
        <v>12</v>
      </c>
      <c r="J17" s="127">
        <v>12</v>
      </c>
      <c r="K17" s="127">
        <v>13</v>
      </c>
      <c r="L17" s="127">
        <v>11</v>
      </c>
      <c r="M17" s="125">
        <f t="shared" ref="M17:Q17" si="5">IF(C17="","",H17*100/C17)</f>
        <v>65</v>
      </c>
      <c r="N17" s="125">
        <f t="shared" si="5"/>
        <v>60</v>
      </c>
      <c r="O17" s="125">
        <f t="shared" si="5"/>
        <v>60</v>
      </c>
      <c r="P17" s="125">
        <f t="shared" si="5"/>
        <v>65</v>
      </c>
      <c r="Q17" s="125">
        <f t="shared" si="5"/>
        <v>55</v>
      </c>
      <c r="R17" s="115" t="str">
        <f t="shared" ref="R17:V17" si="6">IF(M17&gt;=$E$10,"1","0")</f>
        <v>1</v>
      </c>
      <c r="S17" s="115" t="str">
        <f t="shared" si="6"/>
        <v>1</v>
      </c>
      <c r="T17" s="115" t="str">
        <f t="shared" si="6"/>
        <v>1</v>
      </c>
      <c r="U17" s="115" t="str">
        <f t="shared" si="6"/>
        <v>1</v>
      </c>
      <c r="V17" s="115" t="str">
        <f t="shared" si="6"/>
        <v>0</v>
      </c>
      <c r="W17" s="75"/>
      <c r="X17" s="75"/>
      <c r="Y17" s="75"/>
      <c r="Z17" s="75"/>
    </row>
    <row r="18" spans="1:26" ht="16.5" customHeight="1">
      <c r="A18" s="103">
        <f>Theory!A8</f>
        <v>3</v>
      </c>
      <c r="B18" s="103" t="str">
        <f>Theory!B8</f>
        <v>7376231EE104</v>
      </c>
      <c r="C18" s="126">
        <v>20</v>
      </c>
      <c r="D18" s="126">
        <v>20</v>
      </c>
      <c r="E18" s="126">
        <v>20</v>
      </c>
      <c r="F18" s="126">
        <v>20</v>
      </c>
      <c r="G18" s="126">
        <v>20</v>
      </c>
      <c r="H18" s="127">
        <v>7</v>
      </c>
      <c r="I18" s="127">
        <v>1</v>
      </c>
      <c r="J18" s="127">
        <v>4</v>
      </c>
      <c r="K18" s="127">
        <v>8</v>
      </c>
      <c r="L18" s="127">
        <v>12</v>
      </c>
      <c r="M18" s="125">
        <f t="shared" ref="M18:Q18" si="7">IF(C18="","",H18*100/C18)</f>
        <v>35</v>
      </c>
      <c r="N18" s="125">
        <f t="shared" si="7"/>
        <v>5</v>
      </c>
      <c r="O18" s="125">
        <f t="shared" si="7"/>
        <v>20</v>
      </c>
      <c r="P18" s="125">
        <f t="shared" si="7"/>
        <v>40</v>
      </c>
      <c r="Q18" s="125">
        <f t="shared" si="7"/>
        <v>60</v>
      </c>
      <c r="R18" s="115" t="str">
        <f t="shared" ref="R18:V18" si="8">IF(M18&gt;=$E$10,"1","0")</f>
        <v>0</v>
      </c>
      <c r="S18" s="115" t="str">
        <f t="shared" si="8"/>
        <v>0</v>
      </c>
      <c r="T18" s="115" t="str">
        <f t="shared" si="8"/>
        <v>0</v>
      </c>
      <c r="U18" s="115" t="str">
        <f t="shared" si="8"/>
        <v>0</v>
      </c>
      <c r="V18" s="115" t="str">
        <f t="shared" si="8"/>
        <v>1</v>
      </c>
      <c r="W18" s="75"/>
      <c r="X18" s="75"/>
      <c r="Y18" s="75"/>
      <c r="Z18" s="75"/>
    </row>
    <row r="19" spans="1:26" ht="16.5" customHeight="1">
      <c r="A19" s="103">
        <f>Theory!A9</f>
        <v>4</v>
      </c>
      <c r="B19" s="103" t="str">
        <f>Theory!B9</f>
        <v>7376231EE105</v>
      </c>
      <c r="C19" s="126">
        <v>20</v>
      </c>
      <c r="D19" s="126">
        <v>20</v>
      </c>
      <c r="E19" s="126">
        <v>20</v>
      </c>
      <c r="F19" s="126">
        <v>20</v>
      </c>
      <c r="G19" s="126">
        <v>20</v>
      </c>
      <c r="H19" s="127">
        <v>19</v>
      </c>
      <c r="I19" s="127">
        <v>15</v>
      </c>
      <c r="J19" s="127">
        <v>14</v>
      </c>
      <c r="K19" s="127">
        <v>13</v>
      </c>
      <c r="L19" s="127">
        <v>9</v>
      </c>
      <c r="M19" s="125">
        <f t="shared" ref="M19:Q19" si="9">IF(C19="","",H19*100/C19)</f>
        <v>95</v>
      </c>
      <c r="N19" s="125">
        <f t="shared" si="9"/>
        <v>75</v>
      </c>
      <c r="O19" s="125">
        <f t="shared" si="9"/>
        <v>70</v>
      </c>
      <c r="P19" s="125">
        <f t="shared" si="9"/>
        <v>65</v>
      </c>
      <c r="Q19" s="125">
        <f t="shared" si="9"/>
        <v>45</v>
      </c>
      <c r="R19" s="115" t="str">
        <f t="shared" ref="R19:V19" si="10">IF(M19&gt;=$E$10,"1","0")</f>
        <v>1</v>
      </c>
      <c r="S19" s="115" t="str">
        <f t="shared" si="10"/>
        <v>1</v>
      </c>
      <c r="T19" s="115" t="str">
        <f t="shared" si="10"/>
        <v>1</v>
      </c>
      <c r="U19" s="115" t="str">
        <f t="shared" si="10"/>
        <v>1</v>
      </c>
      <c r="V19" s="115" t="str">
        <f t="shared" si="10"/>
        <v>0</v>
      </c>
      <c r="W19" s="75"/>
      <c r="X19" s="75"/>
      <c r="Y19" s="75"/>
      <c r="Z19" s="75"/>
    </row>
    <row r="20" spans="1:26" ht="16.5" customHeight="1">
      <c r="A20" s="103">
        <f>Theory!A10</f>
        <v>5</v>
      </c>
      <c r="B20" s="103" t="str">
        <f>Theory!B10</f>
        <v>7376231EE106</v>
      </c>
      <c r="C20" s="126">
        <v>20</v>
      </c>
      <c r="D20" s="126">
        <v>20</v>
      </c>
      <c r="E20" s="126">
        <v>20</v>
      </c>
      <c r="F20" s="126">
        <v>20</v>
      </c>
      <c r="G20" s="126">
        <v>20</v>
      </c>
      <c r="H20" s="127">
        <v>16</v>
      </c>
      <c r="I20" s="127">
        <v>12</v>
      </c>
      <c r="J20" s="127">
        <v>13</v>
      </c>
      <c r="K20" s="127">
        <v>10</v>
      </c>
      <c r="L20" s="127">
        <v>15</v>
      </c>
      <c r="M20" s="125">
        <f t="shared" ref="M20:Q20" si="11">IF(C20="","",H20*100/C20)</f>
        <v>80</v>
      </c>
      <c r="N20" s="125">
        <f t="shared" si="11"/>
        <v>60</v>
      </c>
      <c r="O20" s="125">
        <f t="shared" si="11"/>
        <v>65</v>
      </c>
      <c r="P20" s="125">
        <f t="shared" si="11"/>
        <v>50</v>
      </c>
      <c r="Q20" s="125">
        <f t="shared" si="11"/>
        <v>75</v>
      </c>
      <c r="R20" s="115" t="str">
        <f t="shared" ref="R20:V20" si="12">IF(M20&gt;=$E$10,"1","0")</f>
        <v>1</v>
      </c>
      <c r="S20" s="115" t="str">
        <f t="shared" si="12"/>
        <v>1</v>
      </c>
      <c r="T20" s="115" t="str">
        <f t="shared" si="12"/>
        <v>1</v>
      </c>
      <c r="U20" s="115" t="str">
        <f t="shared" si="12"/>
        <v>0</v>
      </c>
      <c r="V20" s="115" t="str">
        <f t="shared" si="12"/>
        <v>1</v>
      </c>
      <c r="W20" s="75"/>
      <c r="X20" s="75"/>
      <c r="Y20" s="75"/>
      <c r="Z20" s="75"/>
    </row>
    <row r="21" spans="1:26" ht="16.5" customHeight="1">
      <c r="A21" s="103">
        <f>Theory!A11</f>
        <v>6</v>
      </c>
      <c r="B21" s="103" t="str">
        <f>Theory!B11</f>
        <v>7376231EE107</v>
      </c>
      <c r="C21" s="126">
        <v>20</v>
      </c>
      <c r="D21" s="126">
        <v>20</v>
      </c>
      <c r="E21" s="126">
        <v>20</v>
      </c>
      <c r="F21" s="126">
        <v>20</v>
      </c>
      <c r="G21" s="126">
        <v>20</v>
      </c>
      <c r="H21" s="127">
        <v>11</v>
      </c>
      <c r="I21" s="127">
        <v>11</v>
      </c>
      <c r="J21" s="127">
        <v>13</v>
      </c>
      <c r="K21" s="127">
        <v>14</v>
      </c>
      <c r="L21" s="127">
        <v>16</v>
      </c>
      <c r="M21" s="125">
        <f t="shared" ref="M21:Q21" si="13">IF(C21="","",H21*100/C21)</f>
        <v>55</v>
      </c>
      <c r="N21" s="125">
        <f t="shared" si="13"/>
        <v>55</v>
      </c>
      <c r="O21" s="125">
        <f t="shared" si="13"/>
        <v>65</v>
      </c>
      <c r="P21" s="125">
        <f t="shared" si="13"/>
        <v>70</v>
      </c>
      <c r="Q21" s="125">
        <f t="shared" si="13"/>
        <v>80</v>
      </c>
      <c r="R21" s="115" t="str">
        <f t="shared" ref="R21:V21" si="14">IF(M21&gt;=$E$10,"1","0")</f>
        <v>0</v>
      </c>
      <c r="S21" s="115" t="str">
        <f t="shared" si="14"/>
        <v>0</v>
      </c>
      <c r="T21" s="115" t="str">
        <f t="shared" si="14"/>
        <v>1</v>
      </c>
      <c r="U21" s="115" t="str">
        <f t="shared" si="14"/>
        <v>1</v>
      </c>
      <c r="V21" s="115" t="str">
        <f t="shared" si="14"/>
        <v>1</v>
      </c>
      <c r="W21" s="75"/>
      <c r="X21" s="75"/>
      <c r="Y21" s="75"/>
      <c r="Z21" s="75"/>
    </row>
    <row r="22" spans="1:26" ht="16.5" customHeight="1">
      <c r="A22" s="103">
        <f>Theory!A12</f>
        <v>7</v>
      </c>
      <c r="B22" s="103" t="str">
        <f>Theory!B12</f>
        <v>7376231EE108</v>
      </c>
      <c r="C22" s="126">
        <v>20</v>
      </c>
      <c r="D22" s="126">
        <v>20</v>
      </c>
      <c r="E22" s="126">
        <v>20</v>
      </c>
      <c r="F22" s="126">
        <v>20</v>
      </c>
      <c r="G22" s="126">
        <v>20</v>
      </c>
      <c r="H22" s="127">
        <v>12</v>
      </c>
      <c r="I22" s="127">
        <v>12</v>
      </c>
      <c r="J22" s="127">
        <v>9</v>
      </c>
      <c r="K22" s="127">
        <v>9</v>
      </c>
      <c r="L22" s="127">
        <v>10</v>
      </c>
      <c r="M22" s="125">
        <f t="shared" ref="M22:Q22" si="15">IF(C22="","",H22*100/C22)</f>
        <v>60</v>
      </c>
      <c r="N22" s="125">
        <f t="shared" si="15"/>
        <v>60</v>
      </c>
      <c r="O22" s="125">
        <f t="shared" si="15"/>
        <v>45</v>
      </c>
      <c r="P22" s="125">
        <f t="shared" si="15"/>
        <v>45</v>
      </c>
      <c r="Q22" s="125">
        <f t="shared" si="15"/>
        <v>50</v>
      </c>
      <c r="R22" s="115" t="str">
        <f t="shared" ref="R22:V22" si="16">IF(M22&gt;=$E$10,"1","0")</f>
        <v>1</v>
      </c>
      <c r="S22" s="115" t="str">
        <f t="shared" si="16"/>
        <v>1</v>
      </c>
      <c r="T22" s="115" t="str">
        <f t="shared" si="16"/>
        <v>0</v>
      </c>
      <c r="U22" s="115" t="str">
        <f t="shared" si="16"/>
        <v>0</v>
      </c>
      <c r="V22" s="115" t="str">
        <f t="shared" si="16"/>
        <v>0</v>
      </c>
      <c r="W22" s="75"/>
      <c r="X22" s="75"/>
      <c r="Y22" s="75"/>
      <c r="Z22" s="75"/>
    </row>
    <row r="23" spans="1:26" ht="16.5" customHeight="1">
      <c r="A23" s="103">
        <f>Theory!A13</f>
        <v>8</v>
      </c>
      <c r="B23" s="103" t="str">
        <f>Theory!B13</f>
        <v>7376231EE109</v>
      </c>
      <c r="C23" s="126">
        <v>20</v>
      </c>
      <c r="D23" s="126">
        <v>20</v>
      </c>
      <c r="E23" s="126">
        <v>20</v>
      </c>
      <c r="F23" s="126">
        <v>20</v>
      </c>
      <c r="G23" s="126">
        <v>20</v>
      </c>
      <c r="H23" s="127">
        <v>8</v>
      </c>
      <c r="I23" s="127">
        <v>10</v>
      </c>
      <c r="J23" s="127">
        <v>10</v>
      </c>
      <c r="K23" s="127">
        <v>9</v>
      </c>
      <c r="L23" s="127">
        <v>15</v>
      </c>
      <c r="M23" s="125">
        <f t="shared" ref="M23:Q23" si="17">IF(C23="","",H23*100/C23)</f>
        <v>40</v>
      </c>
      <c r="N23" s="125">
        <f t="shared" si="17"/>
        <v>50</v>
      </c>
      <c r="O23" s="125">
        <f t="shared" si="17"/>
        <v>50</v>
      </c>
      <c r="P23" s="125">
        <f t="shared" si="17"/>
        <v>45</v>
      </c>
      <c r="Q23" s="125">
        <f t="shared" si="17"/>
        <v>75</v>
      </c>
      <c r="R23" s="115" t="str">
        <f t="shared" ref="R23:V23" si="18">IF(M23&gt;=$E$10,"1","0")</f>
        <v>0</v>
      </c>
      <c r="S23" s="115" t="str">
        <f t="shared" si="18"/>
        <v>0</v>
      </c>
      <c r="T23" s="115" t="str">
        <f t="shared" si="18"/>
        <v>0</v>
      </c>
      <c r="U23" s="115" t="str">
        <f t="shared" si="18"/>
        <v>0</v>
      </c>
      <c r="V23" s="115" t="str">
        <f t="shared" si="18"/>
        <v>1</v>
      </c>
      <c r="W23" s="75"/>
      <c r="X23" s="75"/>
      <c r="Y23" s="75"/>
      <c r="Z23" s="75"/>
    </row>
    <row r="24" spans="1:26" ht="16.5" customHeight="1">
      <c r="A24" s="103">
        <f>Theory!A14</f>
        <v>9</v>
      </c>
      <c r="B24" s="103" t="str">
        <f>Theory!B14</f>
        <v>7376231EE110</v>
      </c>
      <c r="C24" s="126">
        <v>20</v>
      </c>
      <c r="D24" s="126">
        <v>20</v>
      </c>
      <c r="E24" s="126">
        <v>20</v>
      </c>
      <c r="F24" s="126">
        <v>20</v>
      </c>
      <c r="G24" s="126">
        <v>20</v>
      </c>
      <c r="H24" s="127">
        <v>17</v>
      </c>
      <c r="I24" s="127">
        <v>14</v>
      </c>
      <c r="J24" s="127">
        <v>16</v>
      </c>
      <c r="K24" s="127">
        <v>10</v>
      </c>
      <c r="L24" s="127">
        <v>12</v>
      </c>
      <c r="M24" s="125">
        <f t="shared" ref="M24:Q24" si="19">IF(C24="","",H24*100/C24)</f>
        <v>85</v>
      </c>
      <c r="N24" s="125">
        <f t="shared" si="19"/>
        <v>70</v>
      </c>
      <c r="O24" s="125">
        <f t="shared" si="19"/>
        <v>80</v>
      </c>
      <c r="P24" s="125">
        <f t="shared" si="19"/>
        <v>50</v>
      </c>
      <c r="Q24" s="125">
        <f t="shared" si="19"/>
        <v>60</v>
      </c>
      <c r="R24" s="115" t="str">
        <f t="shared" ref="R24:V24" si="20">IF(M24&gt;=$E$10,"1","0")</f>
        <v>1</v>
      </c>
      <c r="S24" s="115" t="str">
        <f t="shared" si="20"/>
        <v>1</v>
      </c>
      <c r="T24" s="115" t="str">
        <f t="shared" si="20"/>
        <v>1</v>
      </c>
      <c r="U24" s="115" t="str">
        <f t="shared" si="20"/>
        <v>0</v>
      </c>
      <c r="V24" s="115" t="str">
        <f t="shared" si="20"/>
        <v>1</v>
      </c>
      <c r="W24" s="75"/>
      <c r="X24" s="75"/>
      <c r="Y24" s="75"/>
      <c r="Z24" s="75"/>
    </row>
    <row r="25" spans="1:26" ht="16.5" customHeight="1">
      <c r="A25" s="103">
        <f>Theory!A15</f>
        <v>10</v>
      </c>
      <c r="B25" s="103" t="str">
        <f>Theory!B15</f>
        <v>7376231EE111</v>
      </c>
      <c r="C25" s="126">
        <v>20</v>
      </c>
      <c r="D25" s="126">
        <v>20</v>
      </c>
      <c r="E25" s="126">
        <v>20</v>
      </c>
      <c r="F25" s="126">
        <v>20</v>
      </c>
      <c r="G25" s="126">
        <v>20</v>
      </c>
      <c r="H25" s="127">
        <v>1</v>
      </c>
      <c r="I25" s="127">
        <v>0</v>
      </c>
      <c r="J25" s="127">
        <v>0</v>
      </c>
      <c r="K25" s="127">
        <v>1</v>
      </c>
      <c r="L25" s="127">
        <v>2</v>
      </c>
      <c r="M25" s="125">
        <f t="shared" ref="M25:Q25" si="21">IF(C25="","",H25*100/C25)</f>
        <v>5</v>
      </c>
      <c r="N25" s="125">
        <f t="shared" si="21"/>
        <v>0</v>
      </c>
      <c r="O25" s="125">
        <f t="shared" si="21"/>
        <v>0</v>
      </c>
      <c r="P25" s="125">
        <f t="shared" si="21"/>
        <v>5</v>
      </c>
      <c r="Q25" s="125">
        <f t="shared" si="21"/>
        <v>10</v>
      </c>
      <c r="R25" s="115" t="str">
        <f t="shared" ref="R25:V25" si="22">IF(M25&gt;=$E$10,"1","0")</f>
        <v>0</v>
      </c>
      <c r="S25" s="115" t="str">
        <f t="shared" si="22"/>
        <v>0</v>
      </c>
      <c r="T25" s="115" t="str">
        <f t="shared" si="22"/>
        <v>0</v>
      </c>
      <c r="U25" s="115" t="str">
        <f t="shared" si="22"/>
        <v>0</v>
      </c>
      <c r="V25" s="115" t="str">
        <f t="shared" si="22"/>
        <v>0</v>
      </c>
      <c r="W25" s="75"/>
      <c r="X25" s="75"/>
      <c r="Y25" s="75"/>
      <c r="Z25" s="75"/>
    </row>
    <row r="26" spans="1:26" ht="16.5" customHeight="1">
      <c r="A26" s="103">
        <f>Theory!A16</f>
        <v>11</v>
      </c>
      <c r="B26" s="103" t="str">
        <f>Theory!B16</f>
        <v>7376231EE112</v>
      </c>
      <c r="C26" s="126">
        <v>20</v>
      </c>
      <c r="D26" s="126">
        <v>20</v>
      </c>
      <c r="E26" s="126">
        <v>20</v>
      </c>
      <c r="F26" s="126">
        <v>20</v>
      </c>
      <c r="G26" s="126">
        <v>20</v>
      </c>
      <c r="H26" s="127">
        <v>15</v>
      </c>
      <c r="I26" s="127">
        <v>13</v>
      </c>
      <c r="J26" s="127">
        <v>15</v>
      </c>
      <c r="K26" s="127">
        <v>11</v>
      </c>
      <c r="L26" s="127">
        <v>13</v>
      </c>
      <c r="M26" s="125">
        <f t="shared" ref="M26:Q26" si="23">IF(C26="","",H26*100/C26)</f>
        <v>75</v>
      </c>
      <c r="N26" s="125">
        <f t="shared" si="23"/>
        <v>65</v>
      </c>
      <c r="O26" s="125">
        <f t="shared" si="23"/>
        <v>75</v>
      </c>
      <c r="P26" s="125">
        <f t="shared" si="23"/>
        <v>55</v>
      </c>
      <c r="Q26" s="125">
        <f t="shared" si="23"/>
        <v>65</v>
      </c>
      <c r="R26" s="115" t="str">
        <f t="shared" ref="R26:V26" si="24">IF(M26&gt;=$E$10,"1","0")</f>
        <v>1</v>
      </c>
      <c r="S26" s="115" t="str">
        <f t="shared" si="24"/>
        <v>1</v>
      </c>
      <c r="T26" s="115" t="str">
        <f t="shared" si="24"/>
        <v>1</v>
      </c>
      <c r="U26" s="115" t="str">
        <f t="shared" si="24"/>
        <v>0</v>
      </c>
      <c r="V26" s="115" t="str">
        <f t="shared" si="24"/>
        <v>1</v>
      </c>
      <c r="W26" s="75"/>
      <c r="X26" s="75"/>
      <c r="Y26" s="75"/>
      <c r="Z26" s="75"/>
    </row>
    <row r="27" spans="1:26" ht="16.5" customHeight="1">
      <c r="A27" s="103">
        <f>Theory!A17</f>
        <v>12</v>
      </c>
      <c r="B27" s="103" t="str">
        <f>Theory!B17</f>
        <v>7376231EE113</v>
      </c>
      <c r="C27" s="126">
        <v>20</v>
      </c>
      <c r="D27" s="126">
        <v>20</v>
      </c>
      <c r="E27" s="126">
        <v>20</v>
      </c>
      <c r="F27" s="126">
        <v>20</v>
      </c>
      <c r="G27" s="126">
        <v>20</v>
      </c>
      <c r="H27" s="127">
        <v>14</v>
      </c>
      <c r="I27" s="127">
        <v>14</v>
      </c>
      <c r="J27" s="127">
        <v>14</v>
      </c>
      <c r="K27" s="127">
        <v>12</v>
      </c>
      <c r="L27" s="127">
        <v>16</v>
      </c>
      <c r="M27" s="125">
        <f t="shared" ref="M27:Q27" si="25">IF(C27="","",H27*100/C27)</f>
        <v>70</v>
      </c>
      <c r="N27" s="125">
        <f t="shared" si="25"/>
        <v>70</v>
      </c>
      <c r="O27" s="125">
        <f t="shared" si="25"/>
        <v>70</v>
      </c>
      <c r="P27" s="125">
        <f t="shared" si="25"/>
        <v>60</v>
      </c>
      <c r="Q27" s="125">
        <f t="shared" si="25"/>
        <v>80</v>
      </c>
      <c r="R27" s="115" t="str">
        <f t="shared" ref="R27:V27" si="26">IF(M27&gt;=$E$10,"1","0")</f>
        <v>1</v>
      </c>
      <c r="S27" s="115" t="str">
        <f t="shared" si="26"/>
        <v>1</v>
      </c>
      <c r="T27" s="115" t="str">
        <f t="shared" si="26"/>
        <v>1</v>
      </c>
      <c r="U27" s="115" t="str">
        <f t="shared" si="26"/>
        <v>1</v>
      </c>
      <c r="V27" s="115" t="str">
        <f t="shared" si="26"/>
        <v>1</v>
      </c>
      <c r="W27" s="75"/>
      <c r="X27" s="75"/>
      <c r="Y27" s="75"/>
      <c r="Z27" s="75"/>
    </row>
    <row r="28" spans="1:26" ht="16.5" customHeight="1">
      <c r="A28" s="103">
        <f>Theory!A18</f>
        <v>13</v>
      </c>
      <c r="B28" s="103" t="str">
        <f>Theory!B18</f>
        <v>7376231EE114</v>
      </c>
      <c r="C28" s="126">
        <v>20</v>
      </c>
      <c r="D28" s="126">
        <v>20</v>
      </c>
      <c r="E28" s="126">
        <v>20</v>
      </c>
      <c r="F28" s="126">
        <v>20</v>
      </c>
      <c r="G28" s="126">
        <v>20</v>
      </c>
      <c r="H28" s="127">
        <v>11</v>
      </c>
      <c r="I28" s="127">
        <v>11</v>
      </c>
      <c r="J28" s="127">
        <v>13</v>
      </c>
      <c r="K28" s="127">
        <v>10</v>
      </c>
      <c r="L28" s="127">
        <v>14</v>
      </c>
      <c r="M28" s="125">
        <f t="shared" ref="M28:Q28" si="27">IF(C28="","",H28*100/C28)</f>
        <v>55</v>
      </c>
      <c r="N28" s="125">
        <f t="shared" si="27"/>
        <v>55</v>
      </c>
      <c r="O28" s="125">
        <f t="shared" si="27"/>
        <v>65</v>
      </c>
      <c r="P28" s="125">
        <f t="shared" si="27"/>
        <v>50</v>
      </c>
      <c r="Q28" s="125">
        <f t="shared" si="27"/>
        <v>70</v>
      </c>
      <c r="R28" s="115" t="str">
        <f t="shared" ref="R28:V28" si="28">IF(M28&gt;=$E$10,"1","0")</f>
        <v>0</v>
      </c>
      <c r="S28" s="115" t="str">
        <f t="shared" si="28"/>
        <v>0</v>
      </c>
      <c r="T28" s="115" t="str">
        <f t="shared" si="28"/>
        <v>1</v>
      </c>
      <c r="U28" s="115" t="str">
        <f t="shared" si="28"/>
        <v>0</v>
      </c>
      <c r="V28" s="115" t="str">
        <f t="shared" si="28"/>
        <v>1</v>
      </c>
      <c r="W28" s="75"/>
      <c r="X28" s="75"/>
      <c r="Y28" s="75"/>
      <c r="Z28" s="75"/>
    </row>
    <row r="29" spans="1:26" ht="16.5" customHeight="1">
      <c r="A29" s="103">
        <f>Theory!A19</f>
        <v>14</v>
      </c>
      <c r="B29" s="103" t="str">
        <f>Theory!B19</f>
        <v>7376231EE115</v>
      </c>
      <c r="C29" s="126">
        <v>20</v>
      </c>
      <c r="D29" s="126">
        <v>20</v>
      </c>
      <c r="E29" s="126">
        <v>20</v>
      </c>
      <c r="F29" s="126">
        <v>20</v>
      </c>
      <c r="G29" s="126">
        <v>20</v>
      </c>
      <c r="H29" s="127">
        <v>9</v>
      </c>
      <c r="I29" s="127">
        <v>6</v>
      </c>
      <c r="J29" s="127">
        <v>3</v>
      </c>
      <c r="K29" s="127">
        <v>6</v>
      </c>
      <c r="L29" s="127">
        <v>7</v>
      </c>
      <c r="M29" s="125">
        <f t="shared" ref="M29:Q29" si="29">IF(C29="","",H29*100/C29)</f>
        <v>45</v>
      </c>
      <c r="N29" s="125">
        <f t="shared" si="29"/>
        <v>30</v>
      </c>
      <c r="O29" s="125">
        <f t="shared" si="29"/>
        <v>15</v>
      </c>
      <c r="P29" s="125">
        <f t="shared" si="29"/>
        <v>30</v>
      </c>
      <c r="Q29" s="125">
        <f t="shared" si="29"/>
        <v>35</v>
      </c>
      <c r="R29" s="115" t="str">
        <f t="shared" ref="R29:V29" si="30">IF(M29&gt;=$E$10,"1","0")</f>
        <v>0</v>
      </c>
      <c r="S29" s="115" t="str">
        <f t="shared" si="30"/>
        <v>0</v>
      </c>
      <c r="T29" s="115" t="str">
        <f t="shared" si="30"/>
        <v>0</v>
      </c>
      <c r="U29" s="115" t="str">
        <f t="shared" si="30"/>
        <v>0</v>
      </c>
      <c r="V29" s="115" t="str">
        <f t="shared" si="30"/>
        <v>0</v>
      </c>
      <c r="W29" s="75"/>
      <c r="X29" s="75"/>
      <c r="Y29" s="75"/>
      <c r="Z29" s="75"/>
    </row>
    <row r="30" spans="1:26" ht="16.5" customHeight="1">
      <c r="A30" s="103">
        <f>Theory!A20</f>
        <v>15</v>
      </c>
      <c r="B30" s="103" t="str">
        <f>Theory!B20</f>
        <v>7376231EE116</v>
      </c>
      <c r="C30" s="126">
        <v>20</v>
      </c>
      <c r="D30" s="126">
        <v>20</v>
      </c>
      <c r="E30" s="126">
        <v>20</v>
      </c>
      <c r="F30" s="126">
        <v>20</v>
      </c>
      <c r="G30" s="126">
        <v>20</v>
      </c>
      <c r="H30" s="127">
        <v>6</v>
      </c>
      <c r="I30" s="127">
        <v>9</v>
      </c>
      <c r="J30" s="127">
        <v>11</v>
      </c>
      <c r="K30" s="127">
        <v>7</v>
      </c>
      <c r="L30" s="127">
        <v>12</v>
      </c>
      <c r="M30" s="125">
        <f t="shared" ref="M30:Q30" si="31">IF(C30="","",H30*100/C30)</f>
        <v>30</v>
      </c>
      <c r="N30" s="125">
        <f t="shared" si="31"/>
        <v>45</v>
      </c>
      <c r="O30" s="125">
        <f t="shared" si="31"/>
        <v>55</v>
      </c>
      <c r="P30" s="125">
        <f t="shared" si="31"/>
        <v>35</v>
      </c>
      <c r="Q30" s="125">
        <f t="shared" si="31"/>
        <v>60</v>
      </c>
      <c r="R30" s="115" t="str">
        <f t="shared" ref="R30:V30" si="32">IF(M30&gt;=$E$10,"1","0")</f>
        <v>0</v>
      </c>
      <c r="S30" s="115" t="str">
        <f t="shared" si="32"/>
        <v>0</v>
      </c>
      <c r="T30" s="115" t="str">
        <f t="shared" si="32"/>
        <v>0</v>
      </c>
      <c r="U30" s="115" t="str">
        <f t="shared" si="32"/>
        <v>0</v>
      </c>
      <c r="V30" s="115" t="str">
        <f t="shared" si="32"/>
        <v>1</v>
      </c>
      <c r="W30" s="75"/>
      <c r="X30" s="75"/>
      <c r="Y30" s="75"/>
      <c r="Z30" s="75"/>
    </row>
    <row r="31" spans="1:26" ht="16.5" customHeight="1">
      <c r="A31" s="103">
        <f>Theory!A21</f>
        <v>16</v>
      </c>
      <c r="B31" s="103" t="str">
        <f>Theory!B21</f>
        <v>7376231EE117</v>
      </c>
      <c r="C31" s="126">
        <v>20</v>
      </c>
      <c r="D31" s="126">
        <v>20</v>
      </c>
      <c r="E31" s="126">
        <v>20</v>
      </c>
      <c r="F31" s="126">
        <v>20</v>
      </c>
      <c r="G31" s="126">
        <v>20</v>
      </c>
      <c r="H31" s="127">
        <v>13</v>
      </c>
      <c r="I31" s="127">
        <v>9</v>
      </c>
      <c r="J31" s="127">
        <v>13</v>
      </c>
      <c r="K31" s="127">
        <v>10</v>
      </c>
      <c r="L31" s="127">
        <v>9</v>
      </c>
      <c r="M31" s="125">
        <f t="shared" ref="M31:Q31" si="33">IF(C31="","",H31*100/C31)</f>
        <v>65</v>
      </c>
      <c r="N31" s="125">
        <f t="shared" si="33"/>
        <v>45</v>
      </c>
      <c r="O31" s="125">
        <f t="shared" si="33"/>
        <v>65</v>
      </c>
      <c r="P31" s="125">
        <f t="shared" si="33"/>
        <v>50</v>
      </c>
      <c r="Q31" s="125">
        <f t="shared" si="33"/>
        <v>45</v>
      </c>
      <c r="R31" s="115" t="str">
        <f t="shared" ref="R31:V31" si="34">IF(M31&gt;=$E$10,"1","0")</f>
        <v>1</v>
      </c>
      <c r="S31" s="115" t="str">
        <f t="shared" si="34"/>
        <v>0</v>
      </c>
      <c r="T31" s="115" t="str">
        <f t="shared" si="34"/>
        <v>1</v>
      </c>
      <c r="U31" s="115" t="str">
        <f t="shared" si="34"/>
        <v>0</v>
      </c>
      <c r="V31" s="115" t="str">
        <f t="shared" si="34"/>
        <v>0</v>
      </c>
      <c r="W31" s="75"/>
      <c r="X31" s="75"/>
      <c r="Y31" s="75"/>
      <c r="Z31" s="75"/>
    </row>
    <row r="32" spans="1:26" ht="16.5" customHeight="1">
      <c r="A32" s="103">
        <f>Theory!A22</f>
        <v>17</v>
      </c>
      <c r="B32" s="103" t="str">
        <f>Theory!B22</f>
        <v>7376231EE118</v>
      </c>
      <c r="C32" s="126">
        <v>20</v>
      </c>
      <c r="D32" s="126">
        <v>20</v>
      </c>
      <c r="E32" s="126">
        <v>20</v>
      </c>
      <c r="F32" s="126">
        <v>20</v>
      </c>
      <c r="G32" s="126">
        <v>20</v>
      </c>
      <c r="H32" s="127">
        <v>13</v>
      </c>
      <c r="I32" s="127">
        <v>14</v>
      </c>
      <c r="J32" s="127">
        <v>13</v>
      </c>
      <c r="K32" s="127">
        <v>8</v>
      </c>
      <c r="L32" s="127">
        <v>13</v>
      </c>
      <c r="M32" s="125">
        <f t="shared" ref="M32:Q32" si="35">IF(C32="","",H32*100/C32)</f>
        <v>65</v>
      </c>
      <c r="N32" s="125">
        <f t="shared" si="35"/>
        <v>70</v>
      </c>
      <c r="O32" s="125">
        <f t="shared" si="35"/>
        <v>65</v>
      </c>
      <c r="P32" s="125">
        <f t="shared" si="35"/>
        <v>40</v>
      </c>
      <c r="Q32" s="125">
        <f t="shared" si="35"/>
        <v>65</v>
      </c>
      <c r="R32" s="115" t="str">
        <f t="shared" ref="R32:V32" si="36">IF(M32&gt;=$E$10,"1","0")</f>
        <v>1</v>
      </c>
      <c r="S32" s="115" t="str">
        <f t="shared" si="36"/>
        <v>1</v>
      </c>
      <c r="T32" s="115" t="str">
        <f t="shared" si="36"/>
        <v>1</v>
      </c>
      <c r="U32" s="115" t="str">
        <f t="shared" si="36"/>
        <v>0</v>
      </c>
      <c r="V32" s="115" t="str">
        <f t="shared" si="36"/>
        <v>1</v>
      </c>
      <c r="W32" s="75"/>
      <c r="X32" s="75"/>
      <c r="Y32" s="75"/>
      <c r="Z32" s="75"/>
    </row>
    <row r="33" spans="1:26" ht="16.5" customHeight="1">
      <c r="A33" s="103">
        <f>Theory!A23</f>
        <v>18</v>
      </c>
      <c r="B33" s="103" t="str">
        <f>Theory!B23</f>
        <v>7376231EE119</v>
      </c>
      <c r="C33" s="126">
        <v>20</v>
      </c>
      <c r="D33" s="126">
        <v>20</v>
      </c>
      <c r="E33" s="126">
        <v>20</v>
      </c>
      <c r="F33" s="126">
        <v>20</v>
      </c>
      <c r="G33" s="126">
        <v>20</v>
      </c>
      <c r="H33" s="127">
        <v>12</v>
      </c>
      <c r="I33" s="127">
        <v>14</v>
      </c>
      <c r="J33" s="127">
        <v>9</v>
      </c>
      <c r="K33" s="127">
        <v>12</v>
      </c>
      <c r="L33" s="127">
        <v>12</v>
      </c>
      <c r="M33" s="125">
        <f t="shared" ref="M33:Q33" si="37">IF(C33="","",H33*100/C33)</f>
        <v>60</v>
      </c>
      <c r="N33" s="125">
        <f t="shared" si="37"/>
        <v>70</v>
      </c>
      <c r="O33" s="125">
        <f t="shared" si="37"/>
        <v>45</v>
      </c>
      <c r="P33" s="125">
        <f t="shared" si="37"/>
        <v>60</v>
      </c>
      <c r="Q33" s="125">
        <f t="shared" si="37"/>
        <v>60</v>
      </c>
      <c r="R33" s="115" t="str">
        <f t="shared" ref="R33:V33" si="38">IF(M33&gt;=$E$10,"1","0")</f>
        <v>1</v>
      </c>
      <c r="S33" s="115" t="str">
        <f t="shared" si="38"/>
        <v>1</v>
      </c>
      <c r="T33" s="115" t="str">
        <f t="shared" si="38"/>
        <v>0</v>
      </c>
      <c r="U33" s="115" t="str">
        <f t="shared" si="38"/>
        <v>1</v>
      </c>
      <c r="V33" s="115" t="str">
        <f t="shared" si="38"/>
        <v>1</v>
      </c>
      <c r="W33" s="75"/>
      <c r="X33" s="75"/>
      <c r="Y33" s="75"/>
      <c r="Z33" s="75"/>
    </row>
    <row r="34" spans="1:26" ht="16.5" customHeight="1">
      <c r="A34" s="103">
        <f>Theory!A24</f>
        <v>19</v>
      </c>
      <c r="B34" s="103" t="str">
        <f>Theory!B24</f>
        <v>7376231EE120</v>
      </c>
      <c r="C34" s="126">
        <v>20</v>
      </c>
      <c r="D34" s="126">
        <v>20</v>
      </c>
      <c r="E34" s="126">
        <v>20</v>
      </c>
      <c r="F34" s="126">
        <v>20</v>
      </c>
      <c r="G34" s="126">
        <v>20</v>
      </c>
      <c r="H34" s="127">
        <v>15</v>
      </c>
      <c r="I34" s="127">
        <v>14</v>
      </c>
      <c r="J34" s="127">
        <v>8</v>
      </c>
      <c r="K34" s="127">
        <v>9</v>
      </c>
      <c r="L34" s="127">
        <v>12</v>
      </c>
      <c r="M34" s="125">
        <f t="shared" ref="M34:Q34" si="39">IF(C34="","",H34*100/C34)</f>
        <v>75</v>
      </c>
      <c r="N34" s="125">
        <f t="shared" si="39"/>
        <v>70</v>
      </c>
      <c r="O34" s="125">
        <f t="shared" si="39"/>
        <v>40</v>
      </c>
      <c r="P34" s="125">
        <f t="shared" si="39"/>
        <v>45</v>
      </c>
      <c r="Q34" s="125">
        <f t="shared" si="39"/>
        <v>60</v>
      </c>
      <c r="R34" s="115" t="str">
        <f t="shared" ref="R34:V34" si="40">IF(M34&gt;=$E$10,"1","0")</f>
        <v>1</v>
      </c>
      <c r="S34" s="115" t="str">
        <f t="shared" si="40"/>
        <v>1</v>
      </c>
      <c r="T34" s="115" t="str">
        <f t="shared" si="40"/>
        <v>0</v>
      </c>
      <c r="U34" s="115" t="str">
        <f t="shared" si="40"/>
        <v>0</v>
      </c>
      <c r="V34" s="115" t="str">
        <f t="shared" si="40"/>
        <v>1</v>
      </c>
      <c r="W34" s="75"/>
      <c r="X34" s="75"/>
      <c r="Y34" s="75"/>
      <c r="Z34" s="75"/>
    </row>
    <row r="35" spans="1:26" ht="16.5" customHeight="1">
      <c r="A35" s="103">
        <f>Theory!A25</f>
        <v>20</v>
      </c>
      <c r="B35" s="103" t="str">
        <f>Theory!B25</f>
        <v>7376231EE121</v>
      </c>
      <c r="C35" s="126">
        <v>20</v>
      </c>
      <c r="D35" s="126">
        <v>20</v>
      </c>
      <c r="E35" s="126">
        <v>20</v>
      </c>
      <c r="F35" s="126">
        <v>20</v>
      </c>
      <c r="G35" s="126">
        <v>20</v>
      </c>
      <c r="H35" s="127">
        <v>10</v>
      </c>
      <c r="I35" s="127">
        <v>11</v>
      </c>
      <c r="J35" s="127">
        <v>12</v>
      </c>
      <c r="K35" s="127">
        <v>11</v>
      </c>
      <c r="L35" s="127">
        <v>11</v>
      </c>
      <c r="M35" s="125">
        <f t="shared" ref="M35:Q35" si="41">IF(C35="","",H35*100/C35)</f>
        <v>50</v>
      </c>
      <c r="N35" s="125">
        <f t="shared" si="41"/>
        <v>55</v>
      </c>
      <c r="O35" s="125">
        <f t="shared" si="41"/>
        <v>60</v>
      </c>
      <c r="P35" s="125">
        <f t="shared" si="41"/>
        <v>55</v>
      </c>
      <c r="Q35" s="125">
        <f t="shared" si="41"/>
        <v>55</v>
      </c>
      <c r="R35" s="115" t="str">
        <f t="shared" ref="R35:V35" si="42">IF(M35&gt;=$E$10,"1","0")</f>
        <v>0</v>
      </c>
      <c r="S35" s="115" t="str">
        <f t="shared" si="42"/>
        <v>0</v>
      </c>
      <c r="T35" s="115" t="str">
        <f t="shared" si="42"/>
        <v>1</v>
      </c>
      <c r="U35" s="115" t="str">
        <f t="shared" si="42"/>
        <v>0</v>
      </c>
      <c r="V35" s="115" t="str">
        <f t="shared" si="42"/>
        <v>0</v>
      </c>
      <c r="W35" s="75"/>
      <c r="X35" s="75"/>
      <c r="Y35" s="75"/>
      <c r="Z35" s="75"/>
    </row>
    <row r="36" spans="1:26" ht="16.5" customHeight="1">
      <c r="A36" s="103">
        <f>Theory!A26</f>
        <v>21</v>
      </c>
      <c r="B36" s="103" t="str">
        <f>Theory!B26</f>
        <v>7376231EE122</v>
      </c>
      <c r="C36" s="126">
        <v>20</v>
      </c>
      <c r="D36" s="126">
        <v>20</v>
      </c>
      <c r="E36" s="126">
        <v>20</v>
      </c>
      <c r="F36" s="126">
        <v>20</v>
      </c>
      <c r="G36" s="126">
        <v>20</v>
      </c>
      <c r="H36" s="127">
        <v>15</v>
      </c>
      <c r="I36" s="127">
        <v>15</v>
      </c>
      <c r="J36" s="127">
        <v>15</v>
      </c>
      <c r="K36" s="127">
        <v>16</v>
      </c>
      <c r="L36" s="127">
        <v>13</v>
      </c>
      <c r="M36" s="125">
        <f t="shared" ref="M36:Q36" si="43">IF(C36="","",H36*100/C36)</f>
        <v>75</v>
      </c>
      <c r="N36" s="125">
        <f t="shared" si="43"/>
        <v>75</v>
      </c>
      <c r="O36" s="125">
        <f t="shared" si="43"/>
        <v>75</v>
      </c>
      <c r="P36" s="125">
        <f t="shared" si="43"/>
        <v>80</v>
      </c>
      <c r="Q36" s="125">
        <f t="shared" si="43"/>
        <v>65</v>
      </c>
      <c r="R36" s="115" t="str">
        <f t="shared" ref="R36:V36" si="44">IF(M36&gt;=$E$10,"1","0")</f>
        <v>1</v>
      </c>
      <c r="S36" s="115" t="str">
        <f t="shared" si="44"/>
        <v>1</v>
      </c>
      <c r="T36" s="115" t="str">
        <f t="shared" si="44"/>
        <v>1</v>
      </c>
      <c r="U36" s="115" t="str">
        <f t="shared" si="44"/>
        <v>1</v>
      </c>
      <c r="V36" s="115" t="str">
        <f t="shared" si="44"/>
        <v>1</v>
      </c>
      <c r="W36" s="75"/>
      <c r="X36" s="75"/>
      <c r="Y36" s="75"/>
      <c r="Z36" s="75"/>
    </row>
    <row r="37" spans="1:26" ht="16.5" customHeight="1">
      <c r="A37" s="103">
        <f>Theory!A27</f>
        <v>22</v>
      </c>
      <c r="B37" s="103" t="str">
        <f>Theory!B27</f>
        <v>7376231EE123</v>
      </c>
      <c r="C37" s="126">
        <v>20</v>
      </c>
      <c r="D37" s="126">
        <v>20</v>
      </c>
      <c r="E37" s="126">
        <v>20</v>
      </c>
      <c r="F37" s="126">
        <v>20</v>
      </c>
      <c r="G37" s="126">
        <v>20</v>
      </c>
      <c r="H37" s="127">
        <v>15</v>
      </c>
      <c r="I37" s="127">
        <v>12</v>
      </c>
      <c r="J37" s="127">
        <v>15</v>
      </c>
      <c r="K37" s="127">
        <v>9</v>
      </c>
      <c r="L37" s="127">
        <v>14</v>
      </c>
      <c r="M37" s="125">
        <f t="shared" ref="M37:Q37" si="45">IF(C37="","",H37*100/C37)</f>
        <v>75</v>
      </c>
      <c r="N37" s="125">
        <f t="shared" si="45"/>
        <v>60</v>
      </c>
      <c r="O37" s="125">
        <f t="shared" si="45"/>
        <v>75</v>
      </c>
      <c r="P37" s="125">
        <f t="shared" si="45"/>
        <v>45</v>
      </c>
      <c r="Q37" s="125">
        <f t="shared" si="45"/>
        <v>70</v>
      </c>
      <c r="R37" s="115" t="str">
        <f t="shared" ref="R37:V37" si="46">IF(M37&gt;=$E$10,"1","0")</f>
        <v>1</v>
      </c>
      <c r="S37" s="115" t="str">
        <f t="shared" si="46"/>
        <v>1</v>
      </c>
      <c r="T37" s="115" t="str">
        <f t="shared" si="46"/>
        <v>1</v>
      </c>
      <c r="U37" s="115" t="str">
        <f t="shared" si="46"/>
        <v>0</v>
      </c>
      <c r="V37" s="115" t="str">
        <f t="shared" si="46"/>
        <v>1</v>
      </c>
      <c r="W37" s="75"/>
      <c r="X37" s="75"/>
      <c r="Y37" s="75"/>
      <c r="Z37" s="75"/>
    </row>
    <row r="38" spans="1:26" ht="16.5" customHeight="1">
      <c r="A38" s="103">
        <f>Theory!A28</f>
        <v>23</v>
      </c>
      <c r="B38" s="103" t="str">
        <f>Theory!B28</f>
        <v>7376231EE124</v>
      </c>
      <c r="C38" s="126">
        <v>20</v>
      </c>
      <c r="D38" s="126">
        <v>20</v>
      </c>
      <c r="E38" s="126">
        <v>20</v>
      </c>
      <c r="F38" s="126">
        <v>20</v>
      </c>
      <c r="G38" s="126">
        <v>20</v>
      </c>
      <c r="H38" s="127">
        <v>12</v>
      </c>
      <c r="I38" s="127">
        <v>13</v>
      </c>
      <c r="J38" s="127">
        <v>13</v>
      </c>
      <c r="K38" s="127">
        <v>12</v>
      </c>
      <c r="L38" s="127">
        <v>11</v>
      </c>
      <c r="M38" s="125">
        <f t="shared" ref="M38:Q38" si="47">IF(C38="","",H38*100/C38)</f>
        <v>60</v>
      </c>
      <c r="N38" s="125">
        <f t="shared" si="47"/>
        <v>65</v>
      </c>
      <c r="O38" s="125">
        <f t="shared" si="47"/>
        <v>65</v>
      </c>
      <c r="P38" s="125">
        <f t="shared" si="47"/>
        <v>60</v>
      </c>
      <c r="Q38" s="125">
        <f t="shared" si="47"/>
        <v>55</v>
      </c>
      <c r="R38" s="115" t="str">
        <f t="shared" ref="R38:V38" si="48">IF(M38&gt;=$E$10,"1","0")</f>
        <v>1</v>
      </c>
      <c r="S38" s="115" t="str">
        <f t="shared" si="48"/>
        <v>1</v>
      </c>
      <c r="T38" s="115" t="str">
        <f t="shared" si="48"/>
        <v>1</v>
      </c>
      <c r="U38" s="115" t="str">
        <f t="shared" si="48"/>
        <v>1</v>
      </c>
      <c r="V38" s="115" t="str">
        <f t="shared" si="48"/>
        <v>0</v>
      </c>
      <c r="W38" s="75"/>
      <c r="X38" s="75"/>
      <c r="Y38" s="75"/>
      <c r="Z38" s="75"/>
    </row>
    <row r="39" spans="1:26" ht="16.5" customHeight="1">
      <c r="A39" s="103">
        <f>Theory!A29</f>
        <v>24</v>
      </c>
      <c r="B39" s="103" t="str">
        <f>Theory!B29</f>
        <v>7376231EE125</v>
      </c>
      <c r="C39" s="126">
        <v>20</v>
      </c>
      <c r="D39" s="126">
        <v>20</v>
      </c>
      <c r="E39" s="126">
        <v>20</v>
      </c>
      <c r="F39" s="126">
        <v>20</v>
      </c>
      <c r="G39" s="126">
        <v>20</v>
      </c>
      <c r="H39" s="127">
        <v>15</v>
      </c>
      <c r="I39" s="127">
        <v>11</v>
      </c>
      <c r="J39" s="127">
        <v>11</v>
      </c>
      <c r="K39" s="127">
        <v>10</v>
      </c>
      <c r="L39" s="127">
        <v>15</v>
      </c>
      <c r="M39" s="125">
        <f t="shared" ref="M39:Q39" si="49">IF(C39="","",H39*100/C39)</f>
        <v>75</v>
      </c>
      <c r="N39" s="125">
        <f t="shared" si="49"/>
        <v>55</v>
      </c>
      <c r="O39" s="125">
        <f t="shared" si="49"/>
        <v>55</v>
      </c>
      <c r="P39" s="125">
        <f t="shared" si="49"/>
        <v>50</v>
      </c>
      <c r="Q39" s="125">
        <f t="shared" si="49"/>
        <v>75</v>
      </c>
      <c r="R39" s="115" t="str">
        <f t="shared" ref="R39:V39" si="50">IF(M39&gt;=$E$10,"1","0")</f>
        <v>1</v>
      </c>
      <c r="S39" s="115" t="str">
        <f t="shared" si="50"/>
        <v>0</v>
      </c>
      <c r="T39" s="115" t="str">
        <f t="shared" si="50"/>
        <v>0</v>
      </c>
      <c r="U39" s="115" t="str">
        <f t="shared" si="50"/>
        <v>0</v>
      </c>
      <c r="V39" s="115" t="str">
        <f t="shared" si="50"/>
        <v>1</v>
      </c>
      <c r="W39" s="75"/>
      <c r="X39" s="75"/>
      <c r="Y39" s="75"/>
      <c r="Z39" s="75"/>
    </row>
    <row r="40" spans="1:26" ht="15.75" customHeight="1">
      <c r="A40" s="103">
        <f>Theory!A30</f>
        <v>25</v>
      </c>
      <c r="B40" s="103" t="str">
        <f>Theory!B30</f>
        <v>7376231EE126</v>
      </c>
      <c r="C40" s="126">
        <v>20</v>
      </c>
      <c r="D40" s="126">
        <v>20</v>
      </c>
      <c r="E40" s="126">
        <v>20</v>
      </c>
      <c r="F40" s="126">
        <v>20</v>
      </c>
      <c r="G40" s="126">
        <v>20</v>
      </c>
      <c r="H40" s="127">
        <v>17</v>
      </c>
      <c r="I40" s="127">
        <v>11</v>
      </c>
      <c r="J40" s="127">
        <v>11</v>
      </c>
      <c r="K40" s="127">
        <v>11</v>
      </c>
      <c r="L40" s="127">
        <v>15</v>
      </c>
      <c r="M40" s="125">
        <f t="shared" ref="M40:Q40" si="51">IF(C40="","",H40*100/C40)</f>
        <v>85</v>
      </c>
      <c r="N40" s="125">
        <f t="shared" si="51"/>
        <v>55</v>
      </c>
      <c r="O40" s="125">
        <f t="shared" si="51"/>
        <v>55</v>
      </c>
      <c r="P40" s="125">
        <f t="shared" si="51"/>
        <v>55</v>
      </c>
      <c r="Q40" s="125">
        <f t="shared" si="51"/>
        <v>75</v>
      </c>
      <c r="R40" s="115" t="str">
        <f t="shared" ref="R40:V40" si="52">IF(M40&gt;=$E$10,"1","0")</f>
        <v>1</v>
      </c>
      <c r="S40" s="115" t="str">
        <f t="shared" si="52"/>
        <v>0</v>
      </c>
      <c r="T40" s="115" t="str">
        <f t="shared" si="52"/>
        <v>0</v>
      </c>
      <c r="U40" s="115" t="str">
        <f t="shared" si="52"/>
        <v>0</v>
      </c>
      <c r="V40" s="115" t="str">
        <f t="shared" si="52"/>
        <v>1</v>
      </c>
    </row>
    <row r="41" spans="1:26" ht="15.75" customHeight="1">
      <c r="A41" s="103">
        <f>Theory!A31</f>
        <v>26</v>
      </c>
      <c r="B41" s="103" t="str">
        <f>Theory!B31</f>
        <v>7376231EE127</v>
      </c>
      <c r="C41" s="126">
        <v>20</v>
      </c>
      <c r="D41" s="126">
        <v>20</v>
      </c>
      <c r="E41" s="126">
        <v>20</v>
      </c>
      <c r="F41" s="126">
        <v>20</v>
      </c>
      <c r="G41" s="126">
        <v>20</v>
      </c>
      <c r="H41" s="127">
        <v>11</v>
      </c>
      <c r="I41" s="127">
        <v>9</v>
      </c>
      <c r="J41" s="127">
        <v>11</v>
      </c>
      <c r="K41" s="127">
        <v>8</v>
      </c>
      <c r="L41" s="127">
        <v>11</v>
      </c>
      <c r="M41" s="125">
        <f t="shared" ref="M41:Q41" si="53">IF(C41="","",H41*100/C41)</f>
        <v>55</v>
      </c>
      <c r="N41" s="125">
        <f t="shared" si="53"/>
        <v>45</v>
      </c>
      <c r="O41" s="125">
        <f t="shared" si="53"/>
        <v>55</v>
      </c>
      <c r="P41" s="125">
        <f t="shared" si="53"/>
        <v>40</v>
      </c>
      <c r="Q41" s="125">
        <f t="shared" si="53"/>
        <v>55</v>
      </c>
      <c r="R41" s="115" t="str">
        <f t="shared" ref="R41:V41" si="54">IF(M41&gt;=$E$10,"1","0")</f>
        <v>0</v>
      </c>
      <c r="S41" s="115" t="str">
        <f t="shared" si="54"/>
        <v>0</v>
      </c>
      <c r="T41" s="115" t="str">
        <f t="shared" si="54"/>
        <v>0</v>
      </c>
      <c r="U41" s="115" t="str">
        <f t="shared" si="54"/>
        <v>0</v>
      </c>
      <c r="V41" s="115" t="str">
        <f t="shared" si="54"/>
        <v>0</v>
      </c>
    </row>
    <row r="42" spans="1:26" ht="15.75" customHeight="1">
      <c r="A42" s="103">
        <f>Theory!A32</f>
        <v>27</v>
      </c>
      <c r="B42" s="103" t="str">
        <f>Theory!B32</f>
        <v>7376231EE128</v>
      </c>
      <c r="C42" s="126">
        <v>20</v>
      </c>
      <c r="D42" s="126">
        <v>20</v>
      </c>
      <c r="E42" s="126">
        <v>20</v>
      </c>
      <c r="F42" s="126">
        <v>20</v>
      </c>
      <c r="G42" s="126">
        <v>20</v>
      </c>
      <c r="H42" s="127">
        <v>18</v>
      </c>
      <c r="I42" s="127">
        <v>8</v>
      </c>
      <c r="J42" s="127">
        <v>13</v>
      </c>
      <c r="K42" s="127">
        <v>11</v>
      </c>
      <c r="L42" s="127">
        <v>10</v>
      </c>
      <c r="M42" s="125">
        <f t="shared" ref="M42:Q42" si="55">IF(C42="","",H42*100/C42)</f>
        <v>90</v>
      </c>
      <c r="N42" s="125">
        <f t="shared" si="55"/>
        <v>40</v>
      </c>
      <c r="O42" s="125">
        <f t="shared" si="55"/>
        <v>65</v>
      </c>
      <c r="P42" s="125">
        <f t="shared" si="55"/>
        <v>55</v>
      </c>
      <c r="Q42" s="125">
        <f t="shared" si="55"/>
        <v>50</v>
      </c>
      <c r="R42" s="115" t="str">
        <f t="shared" ref="R42:V42" si="56">IF(M42&gt;=$E$10,"1","0")</f>
        <v>1</v>
      </c>
      <c r="S42" s="115" t="str">
        <f t="shared" si="56"/>
        <v>0</v>
      </c>
      <c r="T42" s="115" t="str">
        <f t="shared" si="56"/>
        <v>1</v>
      </c>
      <c r="U42" s="115" t="str">
        <f t="shared" si="56"/>
        <v>0</v>
      </c>
      <c r="V42" s="115" t="str">
        <f t="shared" si="56"/>
        <v>0</v>
      </c>
    </row>
    <row r="43" spans="1:26" ht="15.75" customHeight="1">
      <c r="A43" s="103">
        <f>Theory!A33</f>
        <v>28</v>
      </c>
      <c r="B43" s="103" t="str">
        <f>Theory!B33</f>
        <v>7376231EE129</v>
      </c>
      <c r="C43" s="126">
        <v>20</v>
      </c>
      <c r="D43" s="126">
        <v>20</v>
      </c>
      <c r="E43" s="126">
        <v>20</v>
      </c>
      <c r="F43" s="126">
        <v>20</v>
      </c>
      <c r="G43" s="126">
        <v>20</v>
      </c>
      <c r="H43" s="127">
        <v>17</v>
      </c>
      <c r="I43" s="127">
        <v>14</v>
      </c>
      <c r="J43" s="127">
        <v>17</v>
      </c>
      <c r="K43" s="127">
        <v>10</v>
      </c>
      <c r="L43" s="127">
        <v>12</v>
      </c>
      <c r="M43" s="125">
        <f t="shared" ref="M43:Q43" si="57">IF(C43="","",H43*100/C43)</f>
        <v>85</v>
      </c>
      <c r="N43" s="125">
        <f t="shared" si="57"/>
        <v>70</v>
      </c>
      <c r="O43" s="125">
        <f t="shared" si="57"/>
        <v>85</v>
      </c>
      <c r="P43" s="125">
        <f t="shared" si="57"/>
        <v>50</v>
      </c>
      <c r="Q43" s="125">
        <f t="shared" si="57"/>
        <v>60</v>
      </c>
      <c r="R43" s="115" t="str">
        <f t="shared" ref="R43:V43" si="58">IF(M43&gt;=$E$10,"1","0")</f>
        <v>1</v>
      </c>
      <c r="S43" s="115" t="str">
        <f t="shared" si="58"/>
        <v>1</v>
      </c>
      <c r="T43" s="115" t="str">
        <f t="shared" si="58"/>
        <v>1</v>
      </c>
      <c r="U43" s="115" t="str">
        <f t="shared" si="58"/>
        <v>0</v>
      </c>
      <c r="V43" s="115" t="str">
        <f t="shared" si="58"/>
        <v>1</v>
      </c>
    </row>
    <row r="44" spans="1:26" ht="15.75" customHeight="1">
      <c r="A44" s="103">
        <f>Theory!A34</f>
        <v>29</v>
      </c>
      <c r="B44" s="103" t="str">
        <f>Theory!B34</f>
        <v>7376231EE130</v>
      </c>
      <c r="C44" s="126">
        <v>20</v>
      </c>
      <c r="D44" s="126">
        <v>20</v>
      </c>
      <c r="E44" s="126">
        <v>20</v>
      </c>
      <c r="F44" s="126">
        <v>20</v>
      </c>
      <c r="G44" s="126">
        <v>20</v>
      </c>
      <c r="H44" s="127">
        <v>14</v>
      </c>
      <c r="I44" s="127">
        <v>12</v>
      </c>
      <c r="J44" s="127">
        <v>13</v>
      </c>
      <c r="K44" s="127">
        <v>11</v>
      </c>
      <c r="L44" s="127">
        <v>16</v>
      </c>
      <c r="M44" s="125">
        <f t="shared" ref="M44:Q44" si="59">IF(C44="","",H44*100/C44)</f>
        <v>70</v>
      </c>
      <c r="N44" s="125">
        <f t="shared" si="59"/>
        <v>60</v>
      </c>
      <c r="O44" s="125">
        <f t="shared" si="59"/>
        <v>65</v>
      </c>
      <c r="P44" s="125">
        <f t="shared" si="59"/>
        <v>55</v>
      </c>
      <c r="Q44" s="125">
        <f t="shared" si="59"/>
        <v>80</v>
      </c>
      <c r="R44" s="115" t="str">
        <f t="shared" ref="R44:V44" si="60">IF(M44&gt;=$E$10,"1","0")</f>
        <v>1</v>
      </c>
      <c r="S44" s="115" t="str">
        <f t="shared" si="60"/>
        <v>1</v>
      </c>
      <c r="T44" s="115" t="str">
        <f t="shared" si="60"/>
        <v>1</v>
      </c>
      <c r="U44" s="115" t="str">
        <f t="shared" si="60"/>
        <v>0</v>
      </c>
      <c r="V44" s="115" t="str">
        <f t="shared" si="60"/>
        <v>1</v>
      </c>
    </row>
    <row r="45" spans="1:26" ht="15.75" customHeight="1">
      <c r="A45" s="103">
        <f>Theory!A35</f>
        <v>30</v>
      </c>
      <c r="B45" s="103" t="str">
        <f>Theory!B35</f>
        <v>7376231EE131</v>
      </c>
      <c r="C45" s="126">
        <v>20</v>
      </c>
      <c r="D45" s="126">
        <v>20</v>
      </c>
      <c r="E45" s="126">
        <v>20</v>
      </c>
      <c r="F45" s="126">
        <v>20</v>
      </c>
      <c r="G45" s="126">
        <v>20</v>
      </c>
      <c r="H45" s="127">
        <v>14</v>
      </c>
      <c r="I45" s="127">
        <v>13</v>
      </c>
      <c r="J45" s="127">
        <v>15</v>
      </c>
      <c r="K45" s="127">
        <v>9</v>
      </c>
      <c r="L45" s="127">
        <v>13</v>
      </c>
      <c r="M45" s="125">
        <f t="shared" ref="M45:Q45" si="61">IF(C45="","",H45*100/C45)</f>
        <v>70</v>
      </c>
      <c r="N45" s="125">
        <f t="shared" si="61"/>
        <v>65</v>
      </c>
      <c r="O45" s="125">
        <f t="shared" si="61"/>
        <v>75</v>
      </c>
      <c r="P45" s="125">
        <f t="shared" si="61"/>
        <v>45</v>
      </c>
      <c r="Q45" s="125">
        <f t="shared" si="61"/>
        <v>65</v>
      </c>
      <c r="R45" s="115" t="str">
        <f t="shared" ref="R45:V45" si="62">IF(M45&gt;=$E$10,"1","0")</f>
        <v>1</v>
      </c>
      <c r="S45" s="115" t="str">
        <f t="shared" si="62"/>
        <v>1</v>
      </c>
      <c r="T45" s="115" t="str">
        <f t="shared" si="62"/>
        <v>1</v>
      </c>
      <c r="U45" s="115" t="str">
        <f t="shared" si="62"/>
        <v>0</v>
      </c>
      <c r="V45" s="115" t="str">
        <f t="shared" si="62"/>
        <v>1</v>
      </c>
    </row>
    <row r="46" spans="1:26" ht="15.75" customHeight="1">
      <c r="A46" s="103">
        <f>Theory!A36</f>
        <v>31</v>
      </c>
      <c r="B46" s="103" t="str">
        <f>Theory!B36</f>
        <v>7376231EE132</v>
      </c>
      <c r="C46" s="126">
        <v>20</v>
      </c>
      <c r="D46" s="126">
        <v>20</v>
      </c>
      <c r="E46" s="126">
        <v>20</v>
      </c>
      <c r="F46" s="126">
        <v>20</v>
      </c>
      <c r="G46" s="126">
        <v>20</v>
      </c>
      <c r="H46" s="127">
        <v>16</v>
      </c>
      <c r="I46" s="127">
        <v>15</v>
      </c>
      <c r="J46" s="127">
        <v>16</v>
      </c>
      <c r="K46" s="127">
        <v>13</v>
      </c>
      <c r="L46" s="127">
        <v>16</v>
      </c>
      <c r="M46" s="125">
        <f t="shared" ref="M46:Q46" si="63">IF(C46="","",H46*100/C46)</f>
        <v>80</v>
      </c>
      <c r="N46" s="125">
        <f t="shared" si="63"/>
        <v>75</v>
      </c>
      <c r="O46" s="125">
        <f t="shared" si="63"/>
        <v>80</v>
      </c>
      <c r="P46" s="125">
        <f t="shared" si="63"/>
        <v>65</v>
      </c>
      <c r="Q46" s="125">
        <f t="shared" si="63"/>
        <v>80</v>
      </c>
      <c r="R46" s="115" t="str">
        <f t="shared" ref="R46:V46" si="64">IF(M46&gt;=$E$10,"1","0")</f>
        <v>1</v>
      </c>
      <c r="S46" s="115" t="str">
        <f t="shared" si="64"/>
        <v>1</v>
      </c>
      <c r="T46" s="115" t="str">
        <f t="shared" si="64"/>
        <v>1</v>
      </c>
      <c r="U46" s="115" t="str">
        <f t="shared" si="64"/>
        <v>1</v>
      </c>
      <c r="V46" s="115" t="str">
        <f t="shared" si="64"/>
        <v>1</v>
      </c>
    </row>
    <row r="47" spans="1:26" ht="15.75" customHeight="1">
      <c r="A47" s="103">
        <f>Theory!A37</f>
        <v>32</v>
      </c>
      <c r="B47" s="103" t="str">
        <f>Theory!B37</f>
        <v>7376231EE133</v>
      </c>
      <c r="C47" s="126">
        <v>20</v>
      </c>
      <c r="D47" s="126">
        <v>20</v>
      </c>
      <c r="E47" s="126">
        <v>20</v>
      </c>
      <c r="F47" s="126">
        <v>20</v>
      </c>
      <c r="G47" s="126">
        <v>20</v>
      </c>
      <c r="H47" s="127">
        <v>15</v>
      </c>
      <c r="I47" s="127">
        <v>15</v>
      </c>
      <c r="J47" s="127">
        <v>18</v>
      </c>
      <c r="K47" s="127">
        <v>14</v>
      </c>
      <c r="L47" s="127">
        <v>14</v>
      </c>
      <c r="M47" s="125">
        <f t="shared" ref="M47:Q47" si="65">IF(C47="","",H47*100/C47)</f>
        <v>75</v>
      </c>
      <c r="N47" s="125">
        <f t="shared" si="65"/>
        <v>75</v>
      </c>
      <c r="O47" s="125">
        <f t="shared" si="65"/>
        <v>90</v>
      </c>
      <c r="P47" s="125">
        <f t="shared" si="65"/>
        <v>70</v>
      </c>
      <c r="Q47" s="125">
        <f t="shared" si="65"/>
        <v>70</v>
      </c>
      <c r="R47" s="115" t="str">
        <f t="shared" ref="R47:V47" si="66">IF(M47&gt;=$E$10,"1","0")</f>
        <v>1</v>
      </c>
      <c r="S47" s="115" t="str">
        <f t="shared" si="66"/>
        <v>1</v>
      </c>
      <c r="T47" s="115" t="str">
        <f t="shared" si="66"/>
        <v>1</v>
      </c>
      <c r="U47" s="115" t="str">
        <f t="shared" si="66"/>
        <v>1</v>
      </c>
      <c r="V47" s="115" t="str">
        <f t="shared" si="66"/>
        <v>1</v>
      </c>
    </row>
    <row r="48" spans="1:26" ht="15.75" customHeight="1">
      <c r="A48" s="103">
        <f>Theory!A38</f>
        <v>33</v>
      </c>
      <c r="B48" s="103" t="str">
        <f>Theory!B38</f>
        <v>7376231EE134</v>
      </c>
      <c r="C48" s="126">
        <v>20</v>
      </c>
      <c r="D48" s="126">
        <v>20</v>
      </c>
      <c r="E48" s="126">
        <v>20</v>
      </c>
      <c r="F48" s="126">
        <v>20</v>
      </c>
      <c r="G48" s="126">
        <v>20</v>
      </c>
      <c r="H48" s="127">
        <v>11</v>
      </c>
      <c r="I48" s="127">
        <v>12</v>
      </c>
      <c r="J48" s="127">
        <v>13</v>
      </c>
      <c r="K48" s="127">
        <v>11</v>
      </c>
      <c r="L48" s="127">
        <v>13</v>
      </c>
      <c r="M48" s="125">
        <f t="shared" ref="M48:Q48" si="67">IF(C48="","",H48*100/C48)</f>
        <v>55</v>
      </c>
      <c r="N48" s="125">
        <f t="shared" si="67"/>
        <v>60</v>
      </c>
      <c r="O48" s="125">
        <f t="shared" si="67"/>
        <v>65</v>
      </c>
      <c r="P48" s="125">
        <f t="shared" si="67"/>
        <v>55</v>
      </c>
      <c r="Q48" s="125">
        <f t="shared" si="67"/>
        <v>65</v>
      </c>
      <c r="R48" s="115" t="str">
        <f t="shared" ref="R48:V48" si="68">IF(M48&gt;=$E$10,"1","0")</f>
        <v>0</v>
      </c>
      <c r="S48" s="115" t="str">
        <f t="shared" si="68"/>
        <v>1</v>
      </c>
      <c r="T48" s="115" t="str">
        <f t="shared" si="68"/>
        <v>1</v>
      </c>
      <c r="U48" s="115" t="str">
        <f t="shared" si="68"/>
        <v>0</v>
      </c>
      <c r="V48" s="115" t="str">
        <f t="shared" si="68"/>
        <v>1</v>
      </c>
    </row>
    <row r="49" spans="1:22" ht="15.75" customHeight="1">
      <c r="A49" s="103">
        <f>Theory!A39</f>
        <v>34</v>
      </c>
      <c r="B49" s="103" t="str">
        <f>Theory!B39</f>
        <v>7376231EE135</v>
      </c>
      <c r="C49" s="126">
        <v>20</v>
      </c>
      <c r="D49" s="126">
        <v>20</v>
      </c>
      <c r="E49" s="126">
        <v>20</v>
      </c>
      <c r="F49" s="126">
        <v>20</v>
      </c>
      <c r="G49" s="126">
        <v>20</v>
      </c>
      <c r="H49" s="127">
        <v>13</v>
      </c>
      <c r="I49" s="127">
        <v>13</v>
      </c>
      <c r="J49" s="127">
        <v>14</v>
      </c>
      <c r="K49" s="127">
        <v>8</v>
      </c>
      <c r="L49" s="127">
        <v>13</v>
      </c>
      <c r="M49" s="125">
        <f t="shared" ref="M49:Q49" si="69">IF(C49="","",H49*100/C49)</f>
        <v>65</v>
      </c>
      <c r="N49" s="125">
        <f t="shared" si="69"/>
        <v>65</v>
      </c>
      <c r="O49" s="125">
        <f t="shared" si="69"/>
        <v>70</v>
      </c>
      <c r="P49" s="125">
        <f t="shared" si="69"/>
        <v>40</v>
      </c>
      <c r="Q49" s="125">
        <f t="shared" si="69"/>
        <v>65</v>
      </c>
      <c r="R49" s="115" t="str">
        <f t="shared" ref="R49:V49" si="70">IF(M49&gt;=$E$10,"1","0")</f>
        <v>1</v>
      </c>
      <c r="S49" s="115" t="str">
        <f t="shared" si="70"/>
        <v>1</v>
      </c>
      <c r="T49" s="115" t="str">
        <f t="shared" si="70"/>
        <v>1</v>
      </c>
      <c r="U49" s="115" t="str">
        <f t="shared" si="70"/>
        <v>0</v>
      </c>
      <c r="V49" s="115" t="str">
        <f t="shared" si="70"/>
        <v>1</v>
      </c>
    </row>
    <row r="50" spans="1:22" ht="15.75" customHeight="1">
      <c r="A50" s="103">
        <f>Theory!A40</f>
        <v>35</v>
      </c>
      <c r="B50" s="103" t="str">
        <f>Theory!B40</f>
        <v>7376231EE136</v>
      </c>
      <c r="C50" s="126">
        <v>20</v>
      </c>
      <c r="D50" s="126">
        <v>20</v>
      </c>
      <c r="E50" s="126">
        <v>20</v>
      </c>
      <c r="F50" s="126">
        <v>20</v>
      </c>
      <c r="G50" s="126">
        <v>20</v>
      </c>
      <c r="H50" s="127">
        <v>13</v>
      </c>
      <c r="I50" s="127">
        <v>13</v>
      </c>
      <c r="J50" s="127">
        <v>14</v>
      </c>
      <c r="K50" s="127">
        <v>10</v>
      </c>
      <c r="L50" s="127">
        <v>17</v>
      </c>
      <c r="M50" s="125">
        <f t="shared" ref="M50:Q50" si="71">IF(C50="","",H50*100/C50)</f>
        <v>65</v>
      </c>
      <c r="N50" s="125">
        <f t="shared" si="71"/>
        <v>65</v>
      </c>
      <c r="O50" s="125">
        <f t="shared" si="71"/>
        <v>70</v>
      </c>
      <c r="P50" s="125">
        <f t="shared" si="71"/>
        <v>50</v>
      </c>
      <c r="Q50" s="125">
        <f t="shared" si="71"/>
        <v>85</v>
      </c>
      <c r="R50" s="115" t="str">
        <f t="shared" ref="R50:V50" si="72">IF(M50&gt;=$E$10,"1","0")</f>
        <v>1</v>
      </c>
      <c r="S50" s="115" t="str">
        <f t="shared" si="72"/>
        <v>1</v>
      </c>
      <c r="T50" s="115" t="str">
        <f t="shared" si="72"/>
        <v>1</v>
      </c>
      <c r="U50" s="115" t="str">
        <f t="shared" si="72"/>
        <v>0</v>
      </c>
      <c r="V50" s="115" t="str">
        <f t="shared" si="72"/>
        <v>1</v>
      </c>
    </row>
    <row r="51" spans="1:22" ht="15.75" customHeight="1">
      <c r="A51" s="103">
        <f>Theory!A41</f>
        <v>36</v>
      </c>
      <c r="B51" s="103" t="str">
        <f>Theory!B41</f>
        <v>7376231EE137</v>
      </c>
      <c r="C51" s="126">
        <v>20</v>
      </c>
      <c r="D51" s="126">
        <v>20</v>
      </c>
      <c r="E51" s="126">
        <v>20</v>
      </c>
      <c r="F51" s="126">
        <v>20</v>
      </c>
      <c r="G51" s="126">
        <v>20</v>
      </c>
      <c r="H51" s="127">
        <v>17</v>
      </c>
      <c r="I51" s="127">
        <v>9</v>
      </c>
      <c r="J51" s="127">
        <v>10</v>
      </c>
      <c r="K51" s="127">
        <v>13</v>
      </c>
      <c r="L51" s="127">
        <v>12</v>
      </c>
      <c r="M51" s="125">
        <f t="shared" ref="M51:Q51" si="73">IF(C51="","",H51*100/C51)</f>
        <v>85</v>
      </c>
      <c r="N51" s="125">
        <f t="shared" si="73"/>
        <v>45</v>
      </c>
      <c r="O51" s="125">
        <f t="shared" si="73"/>
        <v>50</v>
      </c>
      <c r="P51" s="125">
        <f t="shared" si="73"/>
        <v>65</v>
      </c>
      <c r="Q51" s="125">
        <f t="shared" si="73"/>
        <v>60</v>
      </c>
      <c r="R51" s="115" t="str">
        <f t="shared" ref="R51:V51" si="74">IF(M51&gt;=$E$10,"1","0")</f>
        <v>1</v>
      </c>
      <c r="S51" s="115" t="str">
        <f t="shared" si="74"/>
        <v>0</v>
      </c>
      <c r="T51" s="115" t="str">
        <f t="shared" si="74"/>
        <v>0</v>
      </c>
      <c r="U51" s="115" t="str">
        <f t="shared" si="74"/>
        <v>1</v>
      </c>
      <c r="V51" s="115" t="str">
        <f t="shared" si="74"/>
        <v>1</v>
      </c>
    </row>
    <row r="52" spans="1:22" ht="15.75" customHeight="1">
      <c r="A52" s="103">
        <f>Theory!A42</f>
        <v>37</v>
      </c>
      <c r="B52" s="103" t="str">
        <f>Theory!B42</f>
        <v>7376231EE138</v>
      </c>
      <c r="C52" s="126">
        <v>20</v>
      </c>
      <c r="D52" s="126">
        <v>20</v>
      </c>
      <c r="E52" s="126">
        <v>20</v>
      </c>
      <c r="F52" s="126">
        <v>20</v>
      </c>
      <c r="G52" s="126">
        <v>20</v>
      </c>
      <c r="H52" s="127">
        <v>15</v>
      </c>
      <c r="I52" s="127">
        <v>14</v>
      </c>
      <c r="J52" s="127">
        <v>13</v>
      </c>
      <c r="K52" s="127">
        <v>13</v>
      </c>
      <c r="L52" s="127">
        <v>12</v>
      </c>
      <c r="M52" s="125">
        <f t="shared" ref="M52:Q52" si="75">IF(C52="","",H52*100/C52)</f>
        <v>75</v>
      </c>
      <c r="N52" s="125">
        <f t="shared" si="75"/>
        <v>70</v>
      </c>
      <c r="O52" s="125">
        <f t="shared" si="75"/>
        <v>65</v>
      </c>
      <c r="P52" s="125">
        <f t="shared" si="75"/>
        <v>65</v>
      </c>
      <c r="Q52" s="125">
        <f t="shared" si="75"/>
        <v>60</v>
      </c>
      <c r="R52" s="115" t="str">
        <f t="shared" ref="R52:V52" si="76">IF(M52&gt;=$E$10,"1","0")</f>
        <v>1</v>
      </c>
      <c r="S52" s="115" t="str">
        <f t="shared" si="76"/>
        <v>1</v>
      </c>
      <c r="T52" s="115" t="str">
        <f t="shared" si="76"/>
        <v>1</v>
      </c>
      <c r="U52" s="115" t="str">
        <f t="shared" si="76"/>
        <v>1</v>
      </c>
      <c r="V52" s="115" t="str">
        <f t="shared" si="76"/>
        <v>1</v>
      </c>
    </row>
    <row r="53" spans="1:22" ht="15.75" customHeight="1">
      <c r="A53" s="103">
        <f>Theory!A43</f>
        <v>38</v>
      </c>
      <c r="B53" s="103" t="str">
        <f>Theory!B43</f>
        <v>7376231EE139</v>
      </c>
      <c r="C53" s="126">
        <v>20</v>
      </c>
      <c r="D53" s="126">
        <v>20</v>
      </c>
      <c r="E53" s="126">
        <v>20</v>
      </c>
      <c r="F53" s="126">
        <v>20</v>
      </c>
      <c r="G53" s="126">
        <v>20</v>
      </c>
      <c r="H53" s="127">
        <v>12</v>
      </c>
      <c r="I53" s="127">
        <v>9</v>
      </c>
      <c r="J53" s="127">
        <v>15</v>
      </c>
      <c r="K53" s="127">
        <v>8</v>
      </c>
      <c r="L53" s="127">
        <v>12</v>
      </c>
      <c r="M53" s="125">
        <f t="shared" ref="M53:Q53" si="77">IF(C53="","",H53*100/C53)</f>
        <v>60</v>
      </c>
      <c r="N53" s="125">
        <f t="shared" si="77"/>
        <v>45</v>
      </c>
      <c r="O53" s="125">
        <f t="shared" si="77"/>
        <v>75</v>
      </c>
      <c r="P53" s="125">
        <f t="shared" si="77"/>
        <v>40</v>
      </c>
      <c r="Q53" s="125">
        <f t="shared" si="77"/>
        <v>60</v>
      </c>
      <c r="R53" s="115" t="str">
        <f t="shared" ref="R53:V53" si="78">IF(M53&gt;=$E$10,"1","0")</f>
        <v>1</v>
      </c>
      <c r="S53" s="115" t="str">
        <f t="shared" si="78"/>
        <v>0</v>
      </c>
      <c r="T53" s="115" t="str">
        <f t="shared" si="78"/>
        <v>1</v>
      </c>
      <c r="U53" s="115" t="str">
        <f t="shared" si="78"/>
        <v>0</v>
      </c>
      <c r="V53" s="115" t="str">
        <f t="shared" si="78"/>
        <v>1</v>
      </c>
    </row>
    <row r="54" spans="1:22" ht="15.75" customHeight="1">
      <c r="A54" s="103">
        <f>Theory!A44</f>
        <v>39</v>
      </c>
      <c r="B54" s="103" t="str">
        <f>Theory!B44</f>
        <v>7376231EE140</v>
      </c>
      <c r="C54" s="126">
        <v>20</v>
      </c>
      <c r="D54" s="126">
        <v>20</v>
      </c>
      <c r="E54" s="126">
        <v>20</v>
      </c>
      <c r="F54" s="126">
        <v>20</v>
      </c>
      <c r="G54" s="126">
        <v>20</v>
      </c>
      <c r="H54" s="127">
        <v>14</v>
      </c>
      <c r="I54" s="127">
        <v>14</v>
      </c>
      <c r="J54" s="127">
        <v>15</v>
      </c>
      <c r="K54" s="127">
        <v>13</v>
      </c>
      <c r="L54" s="127">
        <v>11</v>
      </c>
      <c r="M54" s="125">
        <f t="shared" ref="M54:Q54" si="79">IF(C54="","",H54*100/C54)</f>
        <v>70</v>
      </c>
      <c r="N54" s="125">
        <f t="shared" si="79"/>
        <v>70</v>
      </c>
      <c r="O54" s="125">
        <f t="shared" si="79"/>
        <v>75</v>
      </c>
      <c r="P54" s="125">
        <f t="shared" si="79"/>
        <v>65</v>
      </c>
      <c r="Q54" s="125">
        <f t="shared" si="79"/>
        <v>55</v>
      </c>
      <c r="R54" s="115" t="str">
        <f t="shared" ref="R54:V54" si="80">IF(M54&gt;=$E$10,"1","0")</f>
        <v>1</v>
      </c>
      <c r="S54" s="115" t="str">
        <f t="shared" si="80"/>
        <v>1</v>
      </c>
      <c r="T54" s="115" t="str">
        <f t="shared" si="80"/>
        <v>1</v>
      </c>
      <c r="U54" s="115" t="str">
        <f t="shared" si="80"/>
        <v>1</v>
      </c>
      <c r="V54" s="115" t="str">
        <f t="shared" si="80"/>
        <v>0</v>
      </c>
    </row>
    <row r="55" spans="1:22" ht="15.75" customHeight="1">
      <c r="A55" s="103">
        <f>Theory!A45</f>
        <v>40</v>
      </c>
      <c r="B55" s="103" t="str">
        <f>Theory!B45</f>
        <v>7376231EE141</v>
      </c>
      <c r="C55" s="126">
        <v>20</v>
      </c>
      <c r="D55" s="126">
        <v>20</v>
      </c>
      <c r="E55" s="126">
        <v>20</v>
      </c>
      <c r="F55" s="126">
        <v>20</v>
      </c>
      <c r="G55" s="126">
        <v>20</v>
      </c>
      <c r="H55" s="127">
        <v>12</v>
      </c>
      <c r="I55" s="127">
        <v>12</v>
      </c>
      <c r="J55" s="127">
        <v>14</v>
      </c>
      <c r="K55" s="127">
        <v>12</v>
      </c>
      <c r="L55" s="127">
        <v>14</v>
      </c>
      <c r="M55" s="125">
        <f t="shared" ref="M55:Q55" si="81">IF(C55="","",H55*100/C55)</f>
        <v>60</v>
      </c>
      <c r="N55" s="125">
        <f t="shared" si="81"/>
        <v>60</v>
      </c>
      <c r="O55" s="125">
        <f t="shared" si="81"/>
        <v>70</v>
      </c>
      <c r="P55" s="125">
        <f t="shared" si="81"/>
        <v>60</v>
      </c>
      <c r="Q55" s="125">
        <f t="shared" si="81"/>
        <v>70</v>
      </c>
      <c r="R55" s="115" t="str">
        <f t="shared" ref="R55:V55" si="82">IF(M55&gt;=$E$10,"1","0")</f>
        <v>1</v>
      </c>
      <c r="S55" s="115" t="str">
        <f t="shared" si="82"/>
        <v>1</v>
      </c>
      <c r="T55" s="115" t="str">
        <f t="shared" si="82"/>
        <v>1</v>
      </c>
      <c r="U55" s="115" t="str">
        <f t="shared" si="82"/>
        <v>1</v>
      </c>
      <c r="V55" s="115" t="str">
        <f t="shared" si="82"/>
        <v>1</v>
      </c>
    </row>
    <row r="56" spans="1:22" ht="15.75" customHeight="1">
      <c r="A56" s="103">
        <f>Theory!A46</f>
        <v>41</v>
      </c>
      <c r="B56" s="103" t="str">
        <f>Theory!B46</f>
        <v>7376231EE142</v>
      </c>
      <c r="C56" s="126">
        <v>20</v>
      </c>
      <c r="D56" s="126">
        <v>20</v>
      </c>
      <c r="E56" s="126">
        <v>20</v>
      </c>
      <c r="F56" s="126">
        <v>20</v>
      </c>
      <c r="G56" s="126">
        <v>20</v>
      </c>
      <c r="H56" s="127">
        <v>17</v>
      </c>
      <c r="I56" s="127">
        <v>14</v>
      </c>
      <c r="J56" s="127">
        <v>15</v>
      </c>
      <c r="K56" s="127">
        <v>13</v>
      </c>
      <c r="L56" s="127">
        <v>16</v>
      </c>
      <c r="M56" s="125">
        <f t="shared" ref="M56:Q56" si="83">IF(C56="","",H56*100/C56)</f>
        <v>85</v>
      </c>
      <c r="N56" s="125">
        <f t="shared" si="83"/>
        <v>70</v>
      </c>
      <c r="O56" s="125">
        <f t="shared" si="83"/>
        <v>75</v>
      </c>
      <c r="P56" s="125">
        <f t="shared" si="83"/>
        <v>65</v>
      </c>
      <c r="Q56" s="125">
        <f t="shared" si="83"/>
        <v>80</v>
      </c>
      <c r="R56" s="115" t="str">
        <f t="shared" ref="R56:V56" si="84">IF(M56&gt;=$E$10,"1","0")</f>
        <v>1</v>
      </c>
      <c r="S56" s="115" t="str">
        <f t="shared" si="84"/>
        <v>1</v>
      </c>
      <c r="T56" s="115" t="str">
        <f t="shared" si="84"/>
        <v>1</v>
      </c>
      <c r="U56" s="115" t="str">
        <f t="shared" si="84"/>
        <v>1</v>
      </c>
      <c r="V56" s="115" t="str">
        <f t="shared" si="84"/>
        <v>1</v>
      </c>
    </row>
    <row r="57" spans="1:22" ht="15.75" customHeight="1">
      <c r="A57" s="103">
        <f>Theory!A47</f>
        <v>42</v>
      </c>
      <c r="B57" s="103" t="str">
        <f>Theory!B47</f>
        <v>7376231EE143</v>
      </c>
      <c r="C57" s="126">
        <v>20</v>
      </c>
      <c r="D57" s="126">
        <v>20</v>
      </c>
      <c r="E57" s="126">
        <v>20</v>
      </c>
      <c r="F57" s="126">
        <v>20</v>
      </c>
      <c r="G57" s="126">
        <v>20</v>
      </c>
      <c r="H57" s="127">
        <v>14</v>
      </c>
      <c r="I57" s="127">
        <v>14</v>
      </c>
      <c r="J57" s="127">
        <v>14</v>
      </c>
      <c r="K57" s="127">
        <v>12</v>
      </c>
      <c r="L57" s="127">
        <v>15</v>
      </c>
      <c r="M57" s="125">
        <f t="shared" ref="M57:Q57" si="85">IF(C57="","",H57*100/C57)</f>
        <v>70</v>
      </c>
      <c r="N57" s="125">
        <f t="shared" si="85"/>
        <v>70</v>
      </c>
      <c r="O57" s="125">
        <f t="shared" si="85"/>
        <v>70</v>
      </c>
      <c r="P57" s="125">
        <f t="shared" si="85"/>
        <v>60</v>
      </c>
      <c r="Q57" s="125">
        <f t="shared" si="85"/>
        <v>75</v>
      </c>
      <c r="R57" s="115" t="str">
        <f t="shared" ref="R57:V57" si="86">IF(M57&gt;=$E$10,"1","0")</f>
        <v>1</v>
      </c>
      <c r="S57" s="115" t="str">
        <f t="shared" si="86"/>
        <v>1</v>
      </c>
      <c r="T57" s="115" t="str">
        <f t="shared" si="86"/>
        <v>1</v>
      </c>
      <c r="U57" s="115" t="str">
        <f t="shared" si="86"/>
        <v>1</v>
      </c>
      <c r="V57" s="115" t="str">
        <f t="shared" si="86"/>
        <v>1</v>
      </c>
    </row>
    <row r="58" spans="1:22" ht="15.75" customHeight="1">
      <c r="A58" s="103">
        <f>Theory!A48</f>
        <v>43</v>
      </c>
      <c r="B58" s="103" t="str">
        <f>Theory!B48</f>
        <v>7376231EE144</v>
      </c>
      <c r="C58" s="126">
        <v>20</v>
      </c>
      <c r="D58" s="126">
        <v>20</v>
      </c>
      <c r="E58" s="126">
        <v>20</v>
      </c>
      <c r="F58" s="126">
        <v>20</v>
      </c>
      <c r="G58" s="126">
        <v>20</v>
      </c>
      <c r="H58" s="127">
        <v>16</v>
      </c>
      <c r="I58" s="127">
        <v>15</v>
      </c>
      <c r="J58" s="127">
        <v>18</v>
      </c>
      <c r="K58" s="127">
        <v>13</v>
      </c>
      <c r="L58" s="127">
        <v>17</v>
      </c>
      <c r="M58" s="125">
        <f t="shared" ref="M58:Q58" si="87">IF(C58="","",H58*100/C58)</f>
        <v>80</v>
      </c>
      <c r="N58" s="125">
        <f t="shared" si="87"/>
        <v>75</v>
      </c>
      <c r="O58" s="125">
        <f t="shared" si="87"/>
        <v>90</v>
      </c>
      <c r="P58" s="125">
        <f t="shared" si="87"/>
        <v>65</v>
      </c>
      <c r="Q58" s="125">
        <f t="shared" si="87"/>
        <v>85</v>
      </c>
      <c r="R58" s="115" t="str">
        <f t="shared" ref="R58:V58" si="88">IF(M58&gt;=$E$10,"1","0")</f>
        <v>1</v>
      </c>
      <c r="S58" s="115" t="str">
        <f t="shared" si="88"/>
        <v>1</v>
      </c>
      <c r="T58" s="115" t="str">
        <f t="shared" si="88"/>
        <v>1</v>
      </c>
      <c r="U58" s="115" t="str">
        <f t="shared" si="88"/>
        <v>1</v>
      </c>
      <c r="V58" s="115" t="str">
        <f t="shared" si="88"/>
        <v>1</v>
      </c>
    </row>
    <row r="59" spans="1:22" ht="15.75" customHeight="1">
      <c r="A59" s="103">
        <f>Theory!A49</f>
        <v>44</v>
      </c>
      <c r="B59" s="103" t="str">
        <f>Theory!B49</f>
        <v>7376231EE145</v>
      </c>
      <c r="C59" s="126">
        <v>20</v>
      </c>
      <c r="D59" s="126">
        <v>20</v>
      </c>
      <c r="E59" s="126">
        <v>20</v>
      </c>
      <c r="F59" s="126">
        <v>20</v>
      </c>
      <c r="G59" s="126">
        <v>20</v>
      </c>
      <c r="H59" s="127">
        <v>13</v>
      </c>
      <c r="I59" s="127">
        <v>14</v>
      </c>
      <c r="J59" s="127">
        <v>13</v>
      </c>
      <c r="K59" s="127">
        <v>12</v>
      </c>
      <c r="L59" s="127">
        <v>14</v>
      </c>
      <c r="M59" s="125">
        <f t="shared" ref="M59:Q59" si="89">IF(C59="","",H59*100/C59)</f>
        <v>65</v>
      </c>
      <c r="N59" s="125">
        <f t="shared" si="89"/>
        <v>70</v>
      </c>
      <c r="O59" s="125">
        <f t="shared" si="89"/>
        <v>65</v>
      </c>
      <c r="P59" s="125">
        <f t="shared" si="89"/>
        <v>60</v>
      </c>
      <c r="Q59" s="125">
        <f t="shared" si="89"/>
        <v>70</v>
      </c>
      <c r="R59" s="115" t="str">
        <f t="shared" ref="R59:V59" si="90">IF(M59&gt;=$E$10,"1","0")</f>
        <v>1</v>
      </c>
      <c r="S59" s="115" t="str">
        <f t="shared" si="90"/>
        <v>1</v>
      </c>
      <c r="T59" s="115" t="str">
        <f t="shared" si="90"/>
        <v>1</v>
      </c>
      <c r="U59" s="115" t="str">
        <f t="shared" si="90"/>
        <v>1</v>
      </c>
      <c r="V59" s="115" t="str">
        <f t="shared" si="90"/>
        <v>1</v>
      </c>
    </row>
    <row r="60" spans="1:22" ht="15.75" customHeight="1">
      <c r="A60" s="103">
        <f>Theory!A50</f>
        <v>45</v>
      </c>
      <c r="B60" s="103" t="str">
        <f>Theory!B50</f>
        <v>7376231EE146</v>
      </c>
      <c r="C60" s="126">
        <v>20</v>
      </c>
      <c r="D60" s="126">
        <v>20</v>
      </c>
      <c r="E60" s="126">
        <v>20</v>
      </c>
      <c r="F60" s="126">
        <v>20</v>
      </c>
      <c r="G60" s="126">
        <v>20</v>
      </c>
      <c r="H60" s="127">
        <v>12</v>
      </c>
      <c r="I60" s="127">
        <v>16</v>
      </c>
      <c r="J60" s="127">
        <v>16</v>
      </c>
      <c r="K60" s="127">
        <v>13</v>
      </c>
      <c r="L60" s="127">
        <v>14</v>
      </c>
      <c r="M60" s="125">
        <f t="shared" ref="M60:Q60" si="91">IF(C60="","",H60*100/C60)</f>
        <v>60</v>
      </c>
      <c r="N60" s="125">
        <f t="shared" si="91"/>
        <v>80</v>
      </c>
      <c r="O60" s="125">
        <f t="shared" si="91"/>
        <v>80</v>
      </c>
      <c r="P60" s="125">
        <f t="shared" si="91"/>
        <v>65</v>
      </c>
      <c r="Q60" s="125">
        <f t="shared" si="91"/>
        <v>70</v>
      </c>
      <c r="R60" s="115" t="str">
        <f t="shared" ref="R60:V60" si="92">IF(M60&gt;=$E$10,"1","0")</f>
        <v>1</v>
      </c>
      <c r="S60" s="115" t="str">
        <f t="shared" si="92"/>
        <v>1</v>
      </c>
      <c r="T60" s="115" t="str">
        <f t="shared" si="92"/>
        <v>1</v>
      </c>
      <c r="U60" s="115" t="str">
        <f t="shared" si="92"/>
        <v>1</v>
      </c>
      <c r="V60" s="115" t="str">
        <f t="shared" si="92"/>
        <v>1</v>
      </c>
    </row>
    <row r="61" spans="1:22" ht="15.75" customHeight="1">
      <c r="A61" s="103">
        <f>Theory!A51</f>
        <v>46</v>
      </c>
      <c r="B61" s="103" t="str">
        <f>Theory!B51</f>
        <v>7376231EE147</v>
      </c>
      <c r="C61" s="126">
        <v>20</v>
      </c>
      <c r="D61" s="126">
        <v>20</v>
      </c>
      <c r="E61" s="126">
        <v>20</v>
      </c>
      <c r="F61" s="126">
        <v>20</v>
      </c>
      <c r="G61" s="126">
        <v>20</v>
      </c>
      <c r="H61" s="127">
        <v>14</v>
      </c>
      <c r="I61" s="127">
        <v>11</v>
      </c>
      <c r="J61" s="127">
        <v>9</v>
      </c>
      <c r="K61" s="127">
        <v>11</v>
      </c>
      <c r="L61" s="127">
        <v>16</v>
      </c>
      <c r="M61" s="125">
        <f t="shared" ref="M61:Q61" si="93">IF(C61="","",H61*100/C61)</f>
        <v>70</v>
      </c>
      <c r="N61" s="125">
        <f t="shared" si="93"/>
        <v>55</v>
      </c>
      <c r="O61" s="125">
        <f t="shared" si="93"/>
        <v>45</v>
      </c>
      <c r="P61" s="125">
        <f t="shared" si="93"/>
        <v>55</v>
      </c>
      <c r="Q61" s="125">
        <f t="shared" si="93"/>
        <v>80</v>
      </c>
      <c r="R61" s="115" t="str">
        <f t="shared" ref="R61:V61" si="94">IF(M61&gt;=$E$10,"1","0")</f>
        <v>1</v>
      </c>
      <c r="S61" s="115" t="str">
        <f t="shared" si="94"/>
        <v>0</v>
      </c>
      <c r="T61" s="115" t="str">
        <f t="shared" si="94"/>
        <v>0</v>
      </c>
      <c r="U61" s="115" t="str">
        <f t="shared" si="94"/>
        <v>0</v>
      </c>
      <c r="V61" s="115" t="str">
        <f t="shared" si="94"/>
        <v>1</v>
      </c>
    </row>
    <row r="62" spans="1:22" ht="15.75" customHeight="1">
      <c r="A62" s="103">
        <f>Theory!A52</f>
        <v>47</v>
      </c>
      <c r="B62" s="103" t="str">
        <f>Theory!B52</f>
        <v>7376231EE148</v>
      </c>
      <c r="C62" s="126">
        <v>20</v>
      </c>
      <c r="D62" s="126">
        <v>20</v>
      </c>
      <c r="E62" s="126">
        <v>20</v>
      </c>
      <c r="F62" s="126">
        <v>20</v>
      </c>
      <c r="G62" s="126">
        <v>20</v>
      </c>
      <c r="H62" s="127">
        <v>18</v>
      </c>
      <c r="I62" s="127">
        <v>16</v>
      </c>
      <c r="J62" s="127">
        <v>15</v>
      </c>
      <c r="K62" s="127">
        <v>12</v>
      </c>
      <c r="L62" s="127">
        <v>11</v>
      </c>
      <c r="M62" s="125">
        <f t="shared" ref="M62:Q62" si="95">IF(C62="","",H62*100/C62)</f>
        <v>90</v>
      </c>
      <c r="N62" s="125">
        <f t="shared" si="95"/>
        <v>80</v>
      </c>
      <c r="O62" s="125">
        <f t="shared" si="95"/>
        <v>75</v>
      </c>
      <c r="P62" s="125">
        <f t="shared" si="95"/>
        <v>60</v>
      </c>
      <c r="Q62" s="125">
        <f t="shared" si="95"/>
        <v>55</v>
      </c>
      <c r="R62" s="115" t="str">
        <f t="shared" ref="R62:V62" si="96">IF(M62&gt;=$E$10,"1","0")</f>
        <v>1</v>
      </c>
      <c r="S62" s="115" t="str">
        <f t="shared" si="96"/>
        <v>1</v>
      </c>
      <c r="T62" s="115" t="str">
        <f t="shared" si="96"/>
        <v>1</v>
      </c>
      <c r="U62" s="115" t="str">
        <f t="shared" si="96"/>
        <v>1</v>
      </c>
      <c r="V62" s="115" t="str">
        <f t="shared" si="96"/>
        <v>0</v>
      </c>
    </row>
    <row r="63" spans="1:22" ht="15.75" customHeight="1">
      <c r="A63" s="103">
        <f>Theory!A53</f>
        <v>48</v>
      </c>
      <c r="B63" s="103" t="str">
        <f>Theory!B53</f>
        <v>7376231EE149</v>
      </c>
      <c r="C63" s="126">
        <v>20</v>
      </c>
      <c r="D63" s="126">
        <v>20</v>
      </c>
      <c r="E63" s="126">
        <v>20</v>
      </c>
      <c r="F63" s="126">
        <v>20</v>
      </c>
      <c r="G63" s="126">
        <v>20</v>
      </c>
      <c r="H63" s="127">
        <v>12</v>
      </c>
      <c r="I63" s="127">
        <v>11</v>
      </c>
      <c r="J63" s="127">
        <v>12</v>
      </c>
      <c r="K63" s="127">
        <v>13</v>
      </c>
      <c r="L63" s="127">
        <v>10</v>
      </c>
      <c r="M63" s="125">
        <f t="shared" ref="M63:Q63" si="97">IF(C63="","",H63*100/C63)</f>
        <v>60</v>
      </c>
      <c r="N63" s="125">
        <f t="shared" si="97"/>
        <v>55</v>
      </c>
      <c r="O63" s="125">
        <f t="shared" si="97"/>
        <v>60</v>
      </c>
      <c r="P63" s="125">
        <f t="shared" si="97"/>
        <v>65</v>
      </c>
      <c r="Q63" s="125">
        <f t="shared" si="97"/>
        <v>50</v>
      </c>
      <c r="R63" s="115" t="str">
        <f t="shared" ref="R63:V63" si="98">IF(M63&gt;=$E$10,"1","0")</f>
        <v>1</v>
      </c>
      <c r="S63" s="115" t="str">
        <f t="shared" si="98"/>
        <v>0</v>
      </c>
      <c r="T63" s="115" t="str">
        <f t="shared" si="98"/>
        <v>1</v>
      </c>
      <c r="U63" s="115" t="str">
        <f t="shared" si="98"/>
        <v>1</v>
      </c>
      <c r="V63" s="115" t="str">
        <f t="shared" si="98"/>
        <v>0</v>
      </c>
    </row>
    <row r="64" spans="1:22" ht="15.75" customHeight="1">
      <c r="A64" s="103">
        <f>Theory!A54</f>
        <v>49</v>
      </c>
      <c r="B64" s="103" t="str">
        <f>Theory!B54</f>
        <v>7376231EE150</v>
      </c>
      <c r="C64" s="126">
        <v>20</v>
      </c>
      <c r="D64" s="126">
        <v>20</v>
      </c>
      <c r="E64" s="126">
        <v>20</v>
      </c>
      <c r="F64" s="126">
        <v>20</v>
      </c>
      <c r="G64" s="126">
        <v>20</v>
      </c>
      <c r="H64" s="127">
        <v>13</v>
      </c>
      <c r="I64" s="127">
        <v>13</v>
      </c>
      <c r="J64" s="127">
        <v>14</v>
      </c>
      <c r="K64" s="127">
        <v>13</v>
      </c>
      <c r="L64" s="127">
        <v>11</v>
      </c>
      <c r="M64" s="125">
        <f t="shared" ref="M64:Q64" si="99">IF(C64="","",H64*100/C64)</f>
        <v>65</v>
      </c>
      <c r="N64" s="125">
        <f t="shared" si="99"/>
        <v>65</v>
      </c>
      <c r="O64" s="125">
        <f t="shared" si="99"/>
        <v>70</v>
      </c>
      <c r="P64" s="125">
        <f t="shared" si="99"/>
        <v>65</v>
      </c>
      <c r="Q64" s="125">
        <f t="shared" si="99"/>
        <v>55</v>
      </c>
      <c r="R64" s="115" t="str">
        <f t="shared" ref="R64:V64" si="100">IF(M64&gt;=$E$10,"1","0")</f>
        <v>1</v>
      </c>
      <c r="S64" s="115" t="str">
        <f t="shared" si="100"/>
        <v>1</v>
      </c>
      <c r="T64" s="115" t="str">
        <f t="shared" si="100"/>
        <v>1</v>
      </c>
      <c r="U64" s="115" t="str">
        <f t="shared" si="100"/>
        <v>1</v>
      </c>
      <c r="V64" s="115" t="str">
        <f t="shared" si="100"/>
        <v>0</v>
      </c>
    </row>
    <row r="65" spans="1:22" ht="15.75" customHeight="1">
      <c r="A65" s="103">
        <f>Theory!A55</f>
        <v>50</v>
      </c>
      <c r="B65" s="103" t="str">
        <f>Theory!B55</f>
        <v>7376231EE151</v>
      </c>
      <c r="C65" s="126">
        <v>20</v>
      </c>
      <c r="D65" s="126">
        <v>20</v>
      </c>
      <c r="E65" s="126">
        <v>20</v>
      </c>
      <c r="F65" s="126">
        <v>20</v>
      </c>
      <c r="G65" s="126">
        <v>20</v>
      </c>
      <c r="H65" s="127">
        <v>13</v>
      </c>
      <c r="I65" s="127">
        <v>13</v>
      </c>
      <c r="J65" s="127">
        <v>12</v>
      </c>
      <c r="K65" s="127">
        <v>13</v>
      </c>
      <c r="L65" s="127">
        <v>11</v>
      </c>
      <c r="M65" s="125">
        <f t="shared" ref="M65:Q65" si="101">IF(C65="","",H65*100/C65)</f>
        <v>65</v>
      </c>
      <c r="N65" s="125">
        <f t="shared" si="101"/>
        <v>65</v>
      </c>
      <c r="O65" s="125">
        <f t="shared" si="101"/>
        <v>60</v>
      </c>
      <c r="P65" s="125">
        <f t="shared" si="101"/>
        <v>65</v>
      </c>
      <c r="Q65" s="125">
        <f t="shared" si="101"/>
        <v>55</v>
      </c>
      <c r="R65" s="115" t="str">
        <f t="shared" ref="R65:V65" si="102">IF(M65&gt;=$E$10,"1","0")</f>
        <v>1</v>
      </c>
      <c r="S65" s="115" t="str">
        <f t="shared" si="102"/>
        <v>1</v>
      </c>
      <c r="T65" s="115" t="str">
        <f t="shared" si="102"/>
        <v>1</v>
      </c>
      <c r="U65" s="115" t="str">
        <f t="shared" si="102"/>
        <v>1</v>
      </c>
      <c r="V65" s="115" t="str">
        <f t="shared" si="102"/>
        <v>0</v>
      </c>
    </row>
    <row r="66" spans="1:22" ht="15.75" customHeight="1">
      <c r="A66" s="103">
        <f>Theory!A56</f>
        <v>51</v>
      </c>
      <c r="B66" s="103" t="str">
        <f>Theory!B56</f>
        <v>7376231EE152</v>
      </c>
      <c r="C66" s="126">
        <v>20</v>
      </c>
      <c r="D66" s="126">
        <v>20</v>
      </c>
      <c r="E66" s="126">
        <v>20</v>
      </c>
      <c r="F66" s="126">
        <v>20</v>
      </c>
      <c r="G66" s="126">
        <v>20</v>
      </c>
      <c r="H66" s="127">
        <v>15</v>
      </c>
      <c r="I66" s="127">
        <v>13</v>
      </c>
      <c r="J66" s="127">
        <v>14</v>
      </c>
      <c r="K66" s="127">
        <v>12</v>
      </c>
      <c r="L66" s="127">
        <v>16</v>
      </c>
      <c r="M66" s="125">
        <f t="shared" ref="M66:Q66" si="103">IF(C66="","",H66*100/C66)</f>
        <v>75</v>
      </c>
      <c r="N66" s="125">
        <f t="shared" si="103"/>
        <v>65</v>
      </c>
      <c r="O66" s="125">
        <f t="shared" si="103"/>
        <v>70</v>
      </c>
      <c r="P66" s="125">
        <f t="shared" si="103"/>
        <v>60</v>
      </c>
      <c r="Q66" s="125">
        <f t="shared" si="103"/>
        <v>80</v>
      </c>
      <c r="R66" s="115" t="str">
        <f t="shared" ref="R66:V66" si="104">IF(M66&gt;=$E$10,"1","0")</f>
        <v>1</v>
      </c>
      <c r="S66" s="115" t="str">
        <f t="shared" si="104"/>
        <v>1</v>
      </c>
      <c r="T66" s="115" t="str">
        <f t="shared" si="104"/>
        <v>1</v>
      </c>
      <c r="U66" s="115" t="str">
        <f t="shared" si="104"/>
        <v>1</v>
      </c>
      <c r="V66" s="115" t="str">
        <f t="shared" si="104"/>
        <v>1</v>
      </c>
    </row>
    <row r="67" spans="1:22" ht="15.75" customHeight="1">
      <c r="A67" s="103">
        <f>Theory!A57</f>
        <v>52</v>
      </c>
      <c r="B67" s="103" t="str">
        <f>Theory!B57</f>
        <v>7376231EE153</v>
      </c>
      <c r="C67" s="126">
        <v>20</v>
      </c>
      <c r="D67" s="126">
        <v>20</v>
      </c>
      <c r="E67" s="126">
        <v>20</v>
      </c>
      <c r="F67" s="126">
        <v>20</v>
      </c>
      <c r="G67" s="126">
        <v>20</v>
      </c>
      <c r="H67" s="127">
        <v>14</v>
      </c>
      <c r="I67" s="127">
        <v>14</v>
      </c>
      <c r="J67" s="127">
        <v>14</v>
      </c>
      <c r="K67" s="127">
        <v>12</v>
      </c>
      <c r="L67" s="127">
        <v>14</v>
      </c>
      <c r="M67" s="125">
        <f t="shared" ref="M67:Q67" si="105">IF(C67="","",H67*100/C67)</f>
        <v>70</v>
      </c>
      <c r="N67" s="125">
        <f t="shared" si="105"/>
        <v>70</v>
      </c>
      <c r="O67" s="125">
        <f t="shared" si="105"/>
        <v>70</v>
      </c>
      <c r="P67" s="125">
        <f t="shared" si="105"/>
        <v>60</v>
      </c>
      <c r="Q67" s="125">
        <f t="shared" si="105"/>
        <v>70</v>
      </c>
      <c r="R67" s="115" t="str">
        <f t="shared" ref="R67:V67" si="106">IF(M67&gt;=$E$10,"1","0")</f>
        <v>1</v>
      </c>
      <c r="S67" s="115" t="str">
        <f t="shared" si="106"/>
        <v>1</v>
      </c>
      <c r="T67" s="115" t="str">
        <f t="shared" si="106"/>
        <v>1</v>
      </c>
      <c r="U67" s="115" t="str">
        <f t="shared" si="106"/>
        <v>1</v>
      </c>
      <c r="V67" s="115" t="str">
        <f t="shared" si="106"/>
        <v>1</v>
      </c>
    </row>
    <row r="68" spans="1:22" ht="15.75" customHeight="1">
      <c r="A68" s="103">
        <f>Theory!A58</f>
        <v>53</v>
      </c>
      <c r="B68" s="103" t="str">
        <f>Theory!B58</f>
        <v>7376231EE154</v>
      </c>
      <c r="C68" s="126">
        <v>20</v>
      </c>
      <c r="D68" s="126">
        <v>20</v>
      </c>
      <c r="E68" s="126">
        <v>20</v>
      </c>
      <c r="F68" s="126">
        <v>20</v>
      </c>
      <c r="G68" s="126">
        <v>20</v>
      </c>
      <c r="H68" s="127">
        <v>16</v>
      </c>
      <c r="I68" s="127">
        <v>11</v>
      </c>
      <c r="J68" s="127">
        <v>15</v>
      </c>
      <c r="K68" s="127">
        <v>11</v>
      </c>
      <c r="L68" s="127">
        <v>14</v>
      </c>
      <c r="M68" s="125">
        <f t="shared" ref="M68:Q68" si="107">IF(C68="","",H68*100/C68)</f>
        <v>80</v>
      </c>
      <c r="N68" s="125">
        <f t="shared" si="107"/>
        <v>55</v>
      </c>
      <c r="O68" s="125">
        <f t="shared" si="107"/>
        <v>75</v>
      </c>
      <c r="P68" s="125">
        <f t="shared" si="107"/>
        <v>55</v>
      </c>
      <c r="Q68" s="125">
        <f t="shared" si="107"/>
        <v>70</v>
      </c>
      <c r="R68" s="115" t="str">
        <f t="shared" ref="R68:V68" si="108">IF(M68&gt;=$E$10,"1","0")</f>
        <v>1</v>
      </c>
      <c r="S68" s="115" t="str">
        <f t="shared" si="108"/>
        <v>0</v>
      </c>
      <c r="T68" s="115" t="str">
        <f t="shared" si="108"/>
        <v>1</v>
      </c>
      <c r="U68" s="115" t="str">
        <f t="shared" si="108"/>
        <v>0</v>
      </c>
      <c r="V68" s="115" t="str">
        <f t="shared" si="108"/>
        <v>1</v>
      </c>
    </row>
    <row r="69" spans="1:22" ht="15.75" customHeight="1">
      <c r="A69" s="103">
        <f>Theory!A59</f>
        <v>54</v>
      </c>
      <c r="B69" s="103" t="str">
        <f>Theory!B59</f>
        <v>7376231EE155</v>
      </c>
      <c r="C69" s="126">
        <v>20</v>
      </c>
      <c r="D69" s="126">
        <v>20</v>
      </c>
      <c r="E69" s="126">
        <v>20</v>
      </c>
      <c r="F69" s="126">
        <v>20</v>
      </c>
      <c r="G69" s="126">
        <v>20</v>
      </c>
      <c r="H69" s="127">
        <v>12</v>
      </c>
      <c r="I69" s="127">
        <v>9</v>
      </c>
      <c r="J69" s="127">
        <v>7</v>
      </c>
      <c r="K69" s="127">
        <v>10</v>
      </c>
      <c r="L69" s="127">
        <v>14</v>
      </c>
      <c r="M69" s="125">
        <f t="shared" ref="M69:Q69" si="109">IF(C69="","",H69*100/C69)</f>
        <v>60</v>
      </c>
      <c r="N69" s="125">
        <f t="shared" si="109"/>
        <v>45</v>
      </c>
      <c r="O69" s="125">
        <f t="shared" si="109"/>
        <v>35</v>
      </c>
      <c r="P69" s="125">
        <f t="shared" si="109"/>
        <v>50</v>
      </c>
      <c r="Q69" s="125">
        <f t="shared" si="109"/>
        <v>70</v>
      </c>
      <c r="R69" s="115" t="str">
        <f t="shared" ref="R69:V69" si="110">IF(M69&gt;=$E$10,"1","0")</f>
        <v>1</v>
      </c>
      <c r="S69" s="115" t="str">
        <f t="shared" si="110"/>
        <v>0</v>
      </c>
      <c r="T69" s="115" t="str">
        <f t="shared" si="110"/>
        <v>0</v>
      </c>
      <c r="U69" s="115" t="str">
        <f t="shared" si="110"/>
        <v>0</v>
      </c>
      <c r="V69" s="115" t="str">
        <f t="shared" si="110"/>
        <v>1</v>
      </c>
    </row>
    <row r="70" spans="1:22" ht="15.75" customHeight="1">
      <c r="A70" s="103">
        <f>Theory!A60</f>
        <v>55</v>
      </c>
      <c r="B70" s="103" t="str">
        <f>Theory!B60</f>
        <v>7376231EE156</v>
      </c>
      <c r="C70" s="126">
        <v>20</v>
      </c>
      <c r="D70" s="126">
        <v>20</v>
      </c>
      <c r="E70" s="126">
        <v>20</v>
      </c>
      <c r="F70" s="126">
        <v>20</v>
      </c>
      <c r="G70" s="126">
        <v>20</v>
      </c>
      <c r="H70" s="127">
        <v>14</v>
      </c>
      <c r="I70" s="127">
        <v>14</v>
      </c>
      <c r="J70" s="127">
        <v>13</v>
      </c>
      <c r="K70" s="127">
        <v>13</v>
      </c>
      <c r="L70" s="127">
        <v>15</v>
      </c>
      <c r="M70" s="125">
        <f t="shared" ref="M70:Q70" si="111">IF(C70="","",H70*100/C70)</f>
        <v>70</v>
      </c>
      <c r="N70" s="125">
        <f t="shared" si="111"/>
        <v>70</v>
      </c>
      <c r="O70" s="125">
        <f t="shared" si="111"/>
        <v>65</v>
      </c>
      <c r="P70" s="125">
        <f t="shared" si="111"/>
        <v>65</v>
      </c>
      <c r="Q70" s="125">
        <f t="shared" si="111"/>
        <v>75</v>
      </c>
      <c r="R70" s="115" t="str">
        <f t="shared" ref="R70:V70" si="112">IF(M70&gt;=$E$10,"1","0")</f>
        <v>1</v>
      </c>
      <c r="S70" s="115" t="str">
        <f t="shared" si="112"/>
        <v>1</v>
      </c>
      <c r="T70" s="115" t="str">
        <f t="shared" si="112"/>
        <v>1</v>
      </c>
      <c r="U70" s="115" t="str">
        <f t="shared" si="112"/>
        <v>1</v>
      </c>
      <c r="V70" s="115" t="str">
        <f t="shared" si="112"/>
        <v>1</v>
      </c>
    </row>
    <row r="71" spans="1:22" ht="15.75" customHeight="1">
      <c r="A71" s="103">
        <f>Theory!A61</f>
        <v>56</v>
      </c>
      <c r="B71" s="103" t="str">
        <f>Theory!B61</f>
        <v>7376231EE157</v>
      </c>
      <c r="C71" s="126">
        <v>20</v>
      </c>
      <c r="D71" s="126">
        <v>20</v>
      </c>
      <c r="E71" s="126">
        <v>20</v>
      </c>
      <c r="F71" s="126">
        <v>20</v>
      </c>
      <c r="G71" s="126">
        <v>20</v>
      </c>
      <c r="H71" s="127">
        <v>14</v>
      </c>
      <c r="I71" s="127">
        <v>14</v>
      </c>
      <c r="J71" s="127">
        <v>15</v>
      </c>
      <c r="K71" s="127">
        <v>11</v>
      </c>
      <c r="L71" s="127">
        <v>14</v>
      </c>
      <c r="M71" s="125">
        <f t="shared" ref="M71:Q71" si="113">IF(C71="","",H71*100/C71)</f>
        <v>70</v>
      </c>
      <c r="N71" s="125">
        <f t="shared" si="113"/>
        <v>70</v>
      </c>
      <c r="O71" s="125">
        <f t="shared" si="113"/>
        <v>75</v>
      </c>
      <c r="P71" s="125">
        <f t="shared" si="113"/>
        <v>55</v>
      </c>
      <c r="Q71" s="125">
        <f t="shared" si="113"/>
        <v>70</v>
      </c>
      <c r="R71" s="115" t="str">
        <f t="shared" ref="R71:V71" si="114">IF(M71&gt;=$E$10,"1","0")</f>
        <v>1</v>
      </c>
      <c r="S71" s="115" t="str">
        <f t="shared" si="114"/>
        <v>1</v>
      </c>
      <c r="T71" s="115" t="str">
        <f t="shared" si="114"/>
        <v>1</v>
      </c>
      <c r="U71" s="115" t="str">
        <f t="shared" si="114"/>
        <v>0</v>
      </c>
      <c r="V71" s="115" t="str">
        <f t="shared" si="114"/>
        <v>1</v>
      </c>
    </row>
    <row r="72" spans="1:22" ht="15.75" customHeight="1">
      <c r="A72" s="103">
        <f>Theory!A62</f>
        <v>57</v>
      </c>
      <c r="B72" s="103" t="str">
        <f>Theory!B62</f>
        <v>7376231EE158</v>
      </c>
      <c r="C72" s="126">
        <v>20</v>
      </c>
      <c r="D72" s="126">
        <v>20</v>
      </c>
      <c r="E72" s="126">
        <v>20</v>
      </c>
      <c r="F72" s="126">
        <v>20</v>
      </c>
      <c r="G72" s="126">
        <v>20</v>
      </c>
      <c r="H72" s="127">
        <v>13</v>
      </c>
      <c r="I72" s="127">
        <v>8</v>
      </c>
      <c r="J72" s="127">
        <v>16</v>
      </c>
      <c r="K72" s="127">
        <v>11</v>
      </c>
      <c r="L72" s="127">
        <v>11</v>
      </c>
      <c r="M72" s="125">
        <f t="shared" ref="M72:Q72" si="115">IF(C72="","",H72*100/C72)</f>
        <v>65</v>
      </c>
      <c r="N72" s="125">
        <f t="shared" si="115"/>
        <v>40</v>
      </c>
      <c r="O72" s="125">
        <f t="shared" si="115"/>
        <v>80</v>
      </c>
      <c r="P72" s="125">
        <f t="shared" si="115"/>
        <v>55</v>
      </c>
      <c r="Q72" s="125">
        <f t="shared" si="115"/>
        <v>55</v>
      </c>
      <c r="R72" s="115" t="str">
        <f t="shared" ref="R72:V72" si="116">IF(M72&gt;=$E$10,"1","0")</f>
        <v>1</v>
      </c>
      <c r="S72" s="115" t="str">
        <f t="shared" si="116"/>
        <v>0</v>
      </c>
      <c r="T72" s="115" t="str">
        <f t="shared" si="116"/>
        <v>1</v>
      </c>
      <c r="U72" s="115" t="str">
        <f t="shared" si="116"/>
        <v>0</v>
      </c>
      <c r="V72" s="115" t="str">
        <f t="shared" si="116"/>
        <v>0</v>
      </c>
    </row>
    <row r="73" spans="1:22" ht="15.75" customHeight="1">
      <c r="A73" s="103">
        <f>Theory!A63</f>
        <v>58</v>
      </c>
      <c r="B73" s="103" t="str">
        <f>Theory!B63</f>
        <v>7376231EE159</v>
      </c>
      <c r="C73" s="126">
        <v>20</v>
      </c>
      <c r="D73" s="126">
        <v>20</v>
      </c>
      <c r="E73" s="126">
        <v>20</v>
      </c>
      <c r="F73" s="126">
        <v>20</v>
      </c>
      <c r="G73" s="126">
        <v>20</v>
      </c>
      <c r="H73" s="127">
        <v>11</v>
      </c>
      <c r="I73" s="127">
        <v>11</v>
      </c>
      <c r="J73" s="127">
        <v>15</v>
      </c>
      <c r="K73" s="127">
        <v>10</v>
      </c>
      <c r="L73" s="127">
        <v>11</v>
      </c>
      <c r="M73" s="125">
        <f t="shared" ref="M73:Q73" si="117">IF(C73="","",H73*100/C73)</f>
        <v>55</v>
      </c>
      <c r="N73" s="125">
        <f t="shared" si="117"/>
        <v>55</v>
      </c>
      <c r="O73" s="125">
        <f t="shared" si="117"/>
        <v>75</v>
      </c>
      <c r="P73" s="125">
        <f t="shared" si="117"/>
        <v>50</v>
      </c>
      <c r="Q73" s="125">
        <f t="shared" si="117"/>
        <v>55</v>
      </c>
      <c r="R73" s="115" t="str">
        <f t="shared" ref="R73:V73" si="118">IF(M73&gt;=$E$10,"1","0")</f>
        <v>0</v>
      </c>
      <c r="S73" s="115" t="str">
        <f t="shared" si="118"/>
        <v>0</v>
      </c>
      <c r="T73" s="115" t="str">
        <f t="shared" si="118"/>
        <v>1</v>
      </c>
      <c r="U73" s="115" t="str">
        <f t="shared" si="118"/>
        <v>0</v>
      </c>
      <c r="V73" s="115" t="str">
        <f t="shared" si="118"/>
        <v>0</v>
      </c>
    </row>
    <row r="74" spans="1:22" ht="15.75" customHeight="1">
      <c r="A74" s="103">
        <f>Theory!A64</f>
        <v>59</v>
      </c>
      <c r="B74" s="103" t="str">
        <f>Theory!B64</f>
        <v>7376231EE160</v>
      </c>
      <c r="C74" s="126">
        <v>20</v>
      </c>
      <c r="D74" s="126">
        <v>20</v>
      </c>
      <c r="E74" s="126">
        <v>20</v>
      </c>
      <c r="F74" s="126">
        <v>20</v>
      </c>
      <c r="G74" s="126">
        <v>20</v>
      </c>
      <c r="H74" s="127">
        <v>17</v>
      </c>
      <c r="I74" s="127">
        <v>12</v>
      </c>
      <c r="J74" s="127">
        <v>13</v>
      </c>
      <c r="K74" s="127">
        <v>12</v>
      </c>
      <c r="L74" s="127">
        <v>15</v>
      </c>
      <c r="M74" s="125">
        <f t="shared" ref="M74:Q74" si="119">IF(C74="","",H74*100/C74)</f>
        <v>85</v>
      </c>
      <c r="N74" s="125">
        <f t="shared" si="119"/>
        <v>60</v>
      </c>
      <c r="O74" s="125">
        <f t="shared" si="119"/>
        <v>65</v>
      </c>
      <c r="P74" s="125">
        <f t="shared" si="119"/>
        <v>60</v>
      </c>
      <c r="Q74" s="125">
        <f t="shared" si="119"/>
        <v>75</v>
      </c>
      <c r="R74" s="115" t="str">
        <f t="shared" ref="R74:V74" si="120">IF(M74&gt;=$E$10,"1","0")</f>
        <v>1</v>
      </c>
      <c r="S74" s="115" t="str">
        <f t="shared" si="120"/>
        <v>1</v>
      </c>
      <c r="T74" s="115" t="str">
        <f t="shared" si="120"/>
        <v>1</v>
      </c>
      <c r="U74" s="115" t="str">
        <f t="shared" si="120"/>
        <v>1</v>
      </c>
      <c r="V74" s="115" t="str">
        <f t="shared" si="120"/>
        <v>1</v>
      </c>
    </row>
    <row r="75" spans="1:22" ht="15.75" customHeight="1">
      <c r="A75" s="103">
        <f>Theory!A65</f>
        <v>60</v>
      </c>
      <c r="B75" s="103" t="str">
        <f>Theory!B65</f>
        <v>7376231EE161</v>
      </c>
      <c r="C75" s="126">
        <v>20</v>
      </c>
      <c r="D75" s="126">
        <v>20</v>
      </c>
      <c r="E75" s="126">
        <v>20</v>
      </c>
      <c r="F75" s="126">
        <v>20</v>
      </c>
      <c r="G75" s="126">
        <v>20</v>
      </c>
      <c r="H75" s="127">
        <v>14</v>
      </c>
      <c r="I75" s="127">
        <v>9</v>
      </c>
      <c r="J75" s="127">
        <v>13</v>
      </c>
      <c r="K75" s="127">
        <v>8</v>
      </c>
      <c r="L75" s="127">
        <v>12</v>
      </c>
      <c r="M75" s="125">
        <f t="shared" ref="M75:Q75" si="121">IF(C75="","",H75*100/C75)</f>
        <v>70</v>
      </c>
      <c r="N75" s="125">
        <f t="shared" si="121"/>
        <v>45</v>
      </c>
      <c r="O75" s="125">
        <f t="shared" si="121"/>
        <v>65</v>
      </c>
      <c r="P75" s="125">
        <f t="shared" si="121"/>
        <v>40</v>
      </c>
      <c r="Q75" s="125">
        <f t="shared" si="121"/>
        <v>60</v>
      </c>
      <c r="R75" s="115" t="str">
        <f t="shared" ref="R75:V75" si="122">IF(M75&gt;=$E$10,"1","0")</f>
        <v>1</v>
      </c>
      <c r="S75" s="115" t="str">
        <f t="shared" si="122"/>
        <v>0</v>
      </c>
      <c r="T75" s="115" t="str">
        <f t="shared" si="122"/>
        <v>1</v>
      </c>
      <c r="U75" s="115" t="str">
        <f t="shared" si="122"/>
        <v>0</v>
      </c>
      <c r="V75" s="115" t="str">
        <f t="shared" si="122"/>
        <v>1</v>
      </c>
    </row>
    <row r="76" spans="1:22" ht="15.75" customHeight="1">
      <c r="A76" s="103">
        <f>Theory!A66</f>
        <v>61</v>
      </c>
      <c r="B76" s="103" t="str">
        <f>Theory!B66</f>
        <v>7376241EE501</v>
      </c>
      <c r="C76" s="126">
        <v>20</v>
      </c>
      <c r="D76" s="126">
        <v>20</v>
      </c>
      <c r="E76" s="126">
        <v>20</v>
      </c>
      <c r="F76" s="126">
        <v>20</v>
      </c>
      <c r="G76" s="126">
        <v>20</v>
      </c>
      <c r="H76" s="127">
        <v>13</v>
      </c>
      <c r="I76" s="127">
        <v>13</v>
      </c>
      <c r="J76" s="127">
        <v>13</v>
      </c>
      <c r="K76" s="127">
        <v>11</v>
      </c>
      <c r="L76" s="127">
        <v>14</v>
      </c>
      <c r="M76" s="125">
        <f t="shared" ref="M76:Q76" si="123">IF(C76="","",H76*100/C76)</f>
        <v>65</v>
      </c>
      <c r="N76" s="125">
        <f t="shared" si="123"/>
        <v>65</v>
      </c>
      <c r="O76" s="125">
        <f t="shared" si="123"/>
        <v>65</v>
      </c>
      <c r="P76" s="125">
        <f t="shared" si="123"/>
        <v>55</v>
      </c>
      <c r="Q76" s="125">
        <f t="shared" si="123"/>
        <v>70</v>
      </c>
      <c r="R76" s="115" t="str">
        <f t="shared" ref="R76:V76" si="124">IF(M76&gt;=$E$10,"1","0")</f>
        <v>1</v>
      </c>
      <c r="S76" s="115" t="str">
        <f t="shared" si="124"/>
        <v>1</v>
      </c>
      <c r="T76" s="115" t="str">
        <f t="shared" si="124"/>
        <v>1</v>
      </c>
      <c r="U76" s="115" t="str">
        <f t="shared" si="124"/>
        <v>0</v>
      </c>
      <c r="V76" s="115" t="str">
        <f t="shared" si="124"/>
        <v>1</v>
      </c>
    </row>
    <row r="77" spans="1:22" ht="15.75" customHeight="1">
      <c r="A77" s="103">
        <f>Theory!A67</f>
        <v>62</v>
      </c>
      <c r="B77" s="103" t="str">
        <f>Theory!B67</f>
        <v>7376241EE502</v>
      </c>
      <c r="C77" s="126">
        <v>20</v>
      </c>
      <c r="D77" s="126">
        <v>20</v>
      </c>
      <c r="E77" s="126">
        <v>20</v>
      </c>
      <c r="F77" s="126">
        <v>20</v>
      </c>
      <c r="G77" s="126">
        <v>20</v>
      </c>
      <c r="H77" s="127">
        <v>2</v>
      </c>
      <c r="I77" s="127">
        <v>6</v>
      </c>
      <c r="J77" s="127">
        <v>6</v>
      </c>
      <c r="K77" s="127">
        <v>10</v>
      </c>
      <c r="L77" s="127">
        <v>9</v>
      </c>
      <c r="M77" s="125">
        <f t="shared" ref="M77:Q77" si="125">IF(C77="","",H77*100/C77)</f>
        <v>10</v>
      </c>
      <c r="N77" s="125">
        <f t="shared" si="125"/>
        <v>30</v>
      </c>
      <c r="O77" s="125">
        <f t="shared" si="125"/>
        <v>30</v>
      </c>
      <c r="P77" s="125">
        <f t="shared" si="125"/>
        <v>50</v>
      </c>
      <c r="Q77" s="125">
        <f t="shared" si="125"/>
        <v>45</v>
      </c>
      <c r="R77" s="115" t="str">
        <f t="shared" ref="R77:V77" si="126">IF(M77&gt;=$E$10,"1","0")</f>
        <v>0</v>
      </c>
      <c r="S77" s="115" t="str">
        <f t="shared" si="126"/>
        <v>0</v>
      </c>
      <c r="T77" s="115" t="str">
        <f t="shared" si="126"/>
        <v>0</v>
      </c>
      <c r="U77" s="115" t="str">
        <f t="shared" si="126"/>
        <v>0</v>
      </c>
      <c r="V77" s="115" t="str">
        <f t="shared" si="126"/>
        <v>0</v>
      </c>
    </row>
    <row r="78" spans="1:22" ht="15.75" customHeight="1">
      <c r="A78" s="103">
        <f>Theory!A68</f>
        <v>63</v>
      </c>
      <c r="B78" s="103" t="str">
        <f>Theory!B68</f>
        <v>7376241EE503</v>
      </c>
      <c r="C78" s="126">
        <v>20</v>
      </c>
      <c r="D78" s="126">
        <v>20</v>
      </c>
      <c r="E78" s="126">
        <v>20</v>
      </c>
      <c r="F78" s="126">
        <v>20</v>
      </c>
      <c r="G78" s="126">
        <v>20</v>
      </c>
      <c r="H78" s="127">
        <v>10</v>
      </c>
      <c r="I78" s="127">
        <v>11</v>
      </c>
      <c r="J78" s="127">
        <v>11</v>
      </c>
      <c r="K78" s="127">
        <v>9</v>
      </c>
      <c r="L78" s="127">
        <v>14</v>
      </c>
      <c r="M78" s="125">
        <f t="shared" ref="M78:Q78" si="127">IF(C78="","",H78*100/C78)</f>
        <v>50</v>
      </c>
      <c r="N78" s="125">
        <f t="shared" si="127"/>
        <v>55</v>
      </c>
      <c r="O78" s="125">
        <f t="shared" si="127"/>
        <v>55</v>
      </c>
      <c r="P78" s="125">
        <f t="shared" si="127"/>
        <v>45</v>
      </c>
      <c r="Q78" s="125">
        <f t="shared" si="127"/>
        <v>70</v>
      </c>
      <c r="R78" s="115" t="str">
        <f t="shared" ref="R78:V78" si="128">IF(M78&gt;=$E$10,"1","0")</f>
        <v>0</v>
      </c>
      <c r="S78" s="115" t="str">
        <f t="shared" si="128"/>
        <v>0</v>
      </c>
      <c r="T78" s="115" t="str">
        <f t="shared" si="128"/>
        <v>0</v>
      </c>
      <c r="U78" s="115" t="str">
        <f t="shared" si="128"/>
        <v>0</v>
      </c>
      <c r="V78" s="115" t="str">
        <f t="shared" si="128"/>
        <v>1</v>
      </c>
    </row>
    <row r="79" spans="1:22" ht="15.75" customHeight="1">
      <c r="A79" s="103">
        <f>Theory!A69</f>
        <v>64</v>
      </c>
      <c r="B79" s="103" t="str">
        <f>Theory!B69</f>
        <v>7376241EE504</v>
      </c>
      <c r="C79" s="126">
        <v>20</v>
      </c>
      <c r="D79" s="126">
        <v>20</v>
      </c>
      <c r="E79" s="126">
        <v>20</v>
      </c>
      <c r="F79" s="126">
        <v>20</v>
      </c>
      <c r="G79" s="126">
        <v>20</v>
      </c>
      <c r="H79" s="127">
        <v>17</v>
      </c>
      <c r="I79" s="127">
        <v>13</v>
      </c>
      <c r="J79" s="127">
        <v>15</v>
      </c>
      <c r="K79" s="127">
        <v>14</v>
      </c>
      <c r="L79" s="127">
        <v>11</v>
      </c>
      <c r="M79" s="125">
        <f t="shared" ref="M79:Q79" si="129">IF(C79="","",H79*100/C79)</f>
        <v>85</v>
      </c>
      <c r="N79" s="125">
        <f t="shared" si="129"/>
        <v>65</v>
      </c>
      <c r="O79" s="125">
        <f t="shared" si="129"/>
        <v>75</v>
      </c>
      <c r="P79" s="125">
        <f t="shared" si="129"/>
        <v>70</v>
      </c>
      <c r="Q79" s="125">
        <f t="shared" si="129"/>
        <v>55</v>
      </c>
      <c r="R79" s="115" t="str">
        <f t="shared" ref="R79:V79" si="130">IF(M79&gt;=$E$10,"1","0")</f>
        <v>1</v>
      </c>
      <c r="S79" s="115" t="str">
        <f t="shared" si="130"/>
        <v>1</v>
      </c>
      <c r="T79" s="115" t="str">
        <f t="shared" si="130"/>
        <v>1</v>
      </c>
      <c r="U79" s="115" t="str">
        <f t="shared" si="130"/>
        <v>1</v>
      </c>
      <c r="V79" s="115" t="str">
        <f t="shared" si="130"/>
        <v>0</v>
      </c>
    </row>
    <row r="80" spans="1:22" ht="15.75" customHeight="1">
      <c r="A80" s="103">
        <f>Theory!A70</f>
        <v>65</v>
      </c>
      <c r="B80" s="103" t="str">
        <f>Theory!B70</f>
        <v>7376241EE505</v>
      </c>
      <c r="C80" s="126">
        <v>20</v>
      </c>
      <c r="D80" s="126">
        <v>20</v>
      </c>
      <c r="E80" s="126">
        <v>20</v>
      </c>
      <c r="F80" s="126">
        <v>20</v>
      </c>
      <c r="G80" s="126">
        <v>20</v>
      </c>
      <c r="H80" s="127">
        <v>14</v>
      </c>
      <c r="I80" s="127">
        <v>15</v>
      </c>
      <c r="J80" s="127">
        <v>17</v>
      </c>
      <c r="K80" s="127">
        <v>17</v>
      </c>
      <c r="L80" s="127">
        <v>16</v>
      </c>
      <c r="M80" s="125">
        <f t="shared" ref="M80:Q80" si="131">IF(C80="","",H80*100/C80)</f>
        <v>70</v>
      </c>
      <c r="N80" s="125">
        <f t="shared" si="131"/>
        <v>75</v>
      </c>
      <c r="O80" s="125">
        <f t="shared" si="131"/>
        <v>85</v>
      </c>
      <c r="P80" s="125">
        <f t="shared" si="131"/>
        <v>85</v>
      </c>
      <c r="Q80" s="125">
        <f t="shared" si="131"/>
        <v>80</v>
      </c>
      <c r="R80" s="115" t="str">
        <f t="shared" ref="R80:V80" si="132">IF(M80&gt;=$E$10,"1","0")</f>
        <v>1</v>
      </c>
      <c r="S80" s="115" t="str">
        <f t="shared" si="132"/>
        <v>1</v>
      </c>
      <c r="T80" s="115" t="str">
        <f t="shared" si="132"/>
        <v>1</v>
      </c>
      <c r="U80" s="115" t="str">
        <f t="shared" si="132"/>
        <v>1</v>
      </c>
      <c r="V80" s="115" t="str">
        <f t="shared" si="132"/>
        <v>1</v>
      </c>
    </row>
    <row r="81" spans="1:22" ht="15.75" customHeight="1">
      <c r="A81" s="103">
        <f>Theory!A71</f>
        <v>66</v>
      </c>
      <c r="B81" s="103" t="str">
        <f>Theory!B71</f>
        <v>7376241EE506</v>
      </c>
      <c r="C81" s="126">
        <v>20</v>
      </c>
      <c r="D81" s="126">
        <v>20</v>
      </c>
      <c r="E81" s="126">
        <v>20</v>
      </c>
      <c r="F81" s="126">
        <v>20</v>
      </c>
      <c r="G81" s="126">
        <v>20</v>
      </c>
      <c r="H81" s="127">
        <v>16</v>
      </c>
      <c r="I81" s="127">
        <v>15</v>
      </c>
      <c r="J81" s="127">
        <v>12</v>
      </c>
      <c r="K81" s="127">
        <v>6</v>
      </c>
      <c r="L81" s="127">
        <v>14</v>
      </c>
      <c r="M81" s="125">
        <f t="shared" ref="M81:Q81" si="133">IF(C81="","",H81*100/C81)</f>
        <v>80</v>
      </c>
      <c r="N81" s="125">
        <f t="shared" si="133"/>
        <v>75</v>
      </c>
      <c r="O81" s="125">
        <f t="shared" si="133"/>
        <v>60</v>
      </c>
      <c r="P81" s="125">
        <f t="shared" si="133"/>
        <v>30</v>
      </c>
      <c r="Q81" s="125">
        <f t="shared" si="133"/>
        <v>70</v>
      </c>
      <c r="R81" s="115" t="str">
        <f t="shared" ref="R81:V81" si="134">IF(M81&gt;=$E$10,"1","0")</f>
        <v>1</v>
      </c>
      <c r="S81" s="115" t="str">
        <f t="shared" si="134"/>
        <v>1</v>
      </c>
      <c r="T81" s="115" t="str">
        <f t="shared" si="134"/>
        <v>1</v>
      </c>
      <c r="U81" s="115" t="str">
        <f t="shared" si="134"/>
        <v>0</v>
      </c>
      <c r="V81" s="115" t="str">
        <f t="shared" si="134"/>
        <v>1</v>
      </c>
    </row>
    <row r="82" spans="1:22" ht="15.75" hidden="1" customHeight="1">
      <c r="A82" s="103"/>
      <c r="B82" s="103"/>
      <c r="C82" s="126"/>
      <c r="D82" s="126"/>
      <c r="E82" s="126"/>
      <c r="F82" s="126"/>
      <c r="G82" s="126"/>
      <c r="H82" s="127"/>
      <c r="I82" s="127"/>
      <c r="J82" s="127"/>
      <c r="K82" s="127"/>
      <c r="L82" s="127"/>
      <c r="M82" s="125"/>
      <c r="N82" s="125"/>
      <c r="O82" s="125"/>
      <c r="P82" s="125"/>
      <c r="Q82" s="125"/>
      <c r="R82" s="115"/>
      <c r="S82" s="115"/>
      <c r="T82" s="115"/>
      <c r="U82" s="115"/>
      <c r="V82" s="115"/>
    </row>
    <row r="83" spans="1:22" ht="15.75" hidden="1" customHeight="1">
      <c r="A83" s="103"/>
      <c r="B83" s="103"/>
      <c r="C83" s="126"/>
      <c r="D83" s="126"/>
      <c r="E83" s="126"/>
      <c r="F83" s="126"/>
      <c r="G83" s="126"/>
      <c r="H83" s="127"/>
      <c r="I83" s="127"/>
      <c r="J83" s="127"/>
      <c r="K83" s="127"/>
      <c r="L83" s="127"/>
      <c r="M83" s="125"/>
      <c r="N83" s="125"/>
      <c r="O83" s="125"/>
      <c r="P83" s="125"/>
      <c r="Q83" s="125"/>
      <c r="R83" s="115"/>
      <c r="S83" s="115"/>
      <c r="T83" s="115"/>
      <c r="U83" s="115"/>
      <c r="V83" s="115"/>
    </row>
    <row r="84" spans="1:22" ht="15.75" hidden="1" customHeight="1">
      <c r="A84" s="103"/>
      <c r="B84" s="103"/>
      <c r="C84" s="126"/>
      <c r="D84" s="126"/>
      <c r="E84" s="126"/>
      <c r="F84" s="126"/>
      <c r="G84" s="126"/>
      <c r="H84" s="127"/>
      <c r="I84" s="127"/>
      <c r="J84" s="127"/>
      <c r="K84" s="127"/>
      <c r="L84" s="127"/>
      <c r="M84" s="125"/>
      <c r="N84" s="125"/>
      <c r="O84" s="125"/>
      <c r="P84" s="125"/>
      <c r="Q84" s="125"/>
      <c r="R84" s="115"/>
      <c r="S84" s="115"/>
      <c r="T84" s="115"/>
      <c r="U84" s="115"/>
      <c r="V84" s="115"/>
    </row>
    <row r="85" spans="1:22" ht="15.75" hidden="1" customHeight="1">
      <c r="A85" s="103"/>
      <c r="B85" s="103"/>
      <c r="C85" s="126"/>
      <c r="D85" s="126"/>
      <c r="E85" s="126"/>
      <c r="F85" s="126"/>
      <c r="G85" s="126"/>
      <c r="H85" s="127"/>
      <c r="I85" s="127"/>
      <c r="J85" s="127"/>
      <c r="K85" s="127"/>
      <c r="L85" s="127"/>
      <c r="M85" s="125"/>
      <c r="N85" s="125"/>
      <c r="O85" s="125"/>
      <c r="P85" s="125"/>
      <c r="Q85" s="125"/>
      <c r="R85" s="115"/>
      <c r="S85" s="115"/>
      <c r="T85" s="115"/>
      <c r="U85" s="115"/>
      <c r="V85" s="115"/>
    </row>
    <row r="86" spans="1:22" ht="15.75" hidden="1" customHeight="1">
      <c r="A86" s="103"/>
      <c r="B86" s="103"/>
      <c r="C86" s="126"/>
      <c r="D86" s="126"/>
      <c r="E86" s="126"/>
      <c r="F86" s="126"/>
      <c r="G86" s="126"/>
      <c r="H86" s="127"/>
      <c r="I86" s="127"/>
      <c r="J86" s="127"/>
      <c r="K86" s="127"/>
      <c r="L86" s="127"/>
      <c r="M86" s="125"/>
      <c r="N86" s="125"/>
      <c r="O86" s="125"/>
      <c r="P86" s="125"/>
      <c r="Q86" s="125"/>
      <c r="R86" s="115"/>
      <c r="S86" s="115"/>
      <c r="T86" s="115"/>
      <c r="U86" s="115"/>
      <c r="V86" s="115"/>
    </row>
    <row r="87" spans="1:22" ht="15.75" hidden="1" customHeight="1">
      <c r="A87" s="103"/>
      <c r="B87" s="103"/>
      <c r="C87" s="126"/>
      <c r="D87" s="126"/>
      <c r="E87" s="126"/>
      <c r="F87" s="126"/>
      <c r="G87" s="126"/>
      <c r="H87" s="127"/>
      <c r="I87" s="127"/>
      <c r="J87" s="127"/>
      <c r="K87" s="127"/>
      <c r="L87" s="127"/>
      <c r="M87" s="125"/>
      <c r="N87" s="125"/>
      <c r="O87" s="125"/>
      <c r="P87" s="125"/>
      <c r="Q87" s="125"/>
      <c r="R87" s="115"/>
      <c r="S87" s="115"/>
      <c r="T87" s="115"/>
      <c r="U87" s="115"/>
      <c r="V87" s="115"/>
    </row>
    <row r="88" spans="1:22" ht="15.75" hidden="1" customHeight="1">
      <c r="A88" s="103"/>
      <c r="B88" s="103"/>
      <c r="C88" s="126"/>
      <c r="D88" s="126"/>
      <c r="E88" s="126"/>
      <c r="F88" s="126"/>
      <c r="G88" s="126"/>
      <c r="H88" s="127"/>
      <c r="I88" s="127"/>
      <c r="J88" s="127"/>
      <c r="K88" s="127"/>
      <c r="L88" s="127"/>
      <c r="M88" s="125"/>
      <c r="N88" s="125"/>
      <c r="O88" s="125"/>
      <c r="P88" s="125"/>
      <c r="Q88" s="125"/>
      <c r="R88" s="115"/>
      <c r="S88" s="115"/>
      <c r="T88" s="115"/>
      <c r="U88" s="115"/>
      <c r="V88" s="115"/>
    </row>
    <row r="89" spans="1:22" ht="15.75" hidden="1" customHeight="1">
      <c r="A89" s="103"/>
      <c r="B89" s="103"/>
      <c r="C89" s="126"/>
      <c r="D89" s="126"/>
      <c r="E89" s="126"/>
      <c r="F89" s="126"/>
      <c r="G89" s="126"/>
      <c r="H89" s="127"/>
      <c r="I89" s="127"/>
      <c r="J89" s="127"/>
      <c r="K89" s="127"/>
      <c r="L89" s="127"/>
      <c r="M89" s="125"/>
      <c r="N89" s="125"/>
      <c r="O89" s="125"/>
      <c r="P89" s="125"/>
      <c r="Q89" s="125"/>
      <c r="R89" s="115"/>
      <c r="S89" s="115"/>
      <c r="T89" s="115"/>
      <c r="U89" s="115"/>
      <c r="V89" s="115"/>
    </row>
    <row r="90" spans="1:22" ht="15.75" hidden="1" customHeight="1">
      <c r="A90" s="103"/>
      <c r="B90" s="103"/>
      <c r="C90" s="126"/>
      <c r="D90" s="126"/>
      <c r="E90" s="126"/>
      <c r="F90" s="126"/>
      <c r="G90" s="126"/>
      <c r="H90" s="127"/>
      <c r="I90" s="127"/>
      <c r="J90" s="127"/>
      <c r="K90" s="127"/>
      <c r="L90" s="127"/>
      <c r="M90" s="125"/>
      <c r="N90" s="125"/>
      <c r="O90" s="125"/>
      <c r="P90" s="125"/>
      <c r="Q90" s="125"/>
      <c r="R90" s="115"/>
      <c r="S90" s="115"/>
      <c r="T90" s="115"/>
      <c r="U90" s="115"/>
      <c r="V90" s="115"/>
    </row>
    <row r="91" spans="1:22" ht="15.75" hidden="1" customHeight="1">
      <c r="A91" s="103"/>
      <c r="B91" s="103"/>
      <c r="C91" s="126"/>
      <c r="D91" s="126"/>
      <c r="E91" s="126"/>
      <c r="F91" s="126"/>
      <c r="G91" s="126"/>
      <c r="H91" s="127"/>
      <c r="I91" s="127"/>
      <c r="J91" s="127"/>
      <c r="K91" s="127"/>
      <c r="L91" s="127"/>
      <c r="M91" s="125"/>
      <c r="N91" s="125"/>
      <c r="O91" s="125"/>
      <c r="P91" s="125"/>
      <c r="Q91" s="125"/>
      <c r="R91" s="115"/>
      <c r="S91" s="115"/>
      <c r="T91" s="115"/>
      <c r="U91" s="115"/>
      <c r="V91" s="115"/>
    </row>
    <row r="92" spans="1:22" ht="15.75" hidden="1" customHeight="1">
      <c r="A92" s="103"/>
      <c r="B92" s="103"/>
      <c r="C92" s="126"/>
      <c r="D92" s="126"/>
      <c r="E92" s="126"/>
      <c r="F92" s="126"/>
      <c r="G92" s="126"/>
      <c r="H92" s="127"/>
      <c r="I92" s="127"/>
      <c r="J92" s="127"/>
      <c r="K92" s="127"/>
      <c r="L92" s="127"/>
      <c r="M92" s="125"/>
      <c r="N92" s="125"/>
      <c r="O92" s="125"/>
      <c r="P92" s="125"/>
      <c r="Q92" s="125"/>
      <c r="R92" s="115"/>
      <c r="S92" s="115"/>
      <c r="T92" s="115"/>
      <c r="U92" s="115"/>
      <c r="V92" s="115"/>
    </row>
    <row r="93" spans="1:22" ht="15.75" hidden="1" customHeight="1">
      <c r="A93" s="103"/>
      <c r="B93" s="103"/>
      <c r="C93" s="126"/>
      <c r="D93" s="126"/>
      <c r="E93" s="126"/>
      <c r="F93" s="126"/>
      <c r="G93" s="126"/>
      <c r="H93" s="127"/>
      <c r="I93" s="127"/>
      <c r="J93" s="127"/>
      <c r="K93" s="127"/>
      <c r="L93" s="127"/>
      <c r="M93" s="125"/>
      <c r="N93" s="125"/>
      <c r="O93" s="125"/>
      <c r="P93" s="125"/>
      <c r="Q93" s="125"/>
      <c r="R93" s="115"/>
      <c r="S93" s="115"/>
      <c r="T93" s="115"/>
      <c r="U93" s="115"/>
      <c r="V93" s="115"/>
    </row>
    <row r="94" spans="1:22" ht="15.75" hidden="1" customHeight="1">
      <c r="A94" s="103"/>
      <c r="B94" s="103"/>
      <c r="C94" s="126"/>
      <c r="D94" s="126"/>
      <c r="E94" s="126"/>
      <c r="F94" s="126"/>
      <c r="G94" s="126"/>
      <c r="H94" s="127"/>
      <c r="I94" s="127"/>
      <c r="J94" s="127"/>
      <c r="K94" s="127"/>
      <c r="L94" s="127"/>
      <c r="M94" s="125"/>
      <c r="N94" s="125"/>
      <c r="O94" s="125"/>
      <c r="P94" s="125"/>
      <c r="Q94" s="125"/>
      <c r="R94" s="115"/>
      <c r="S94" s="115"/>
      <c r="T94" s="115"/>
      <c r="U94" s="115"/>
      <c r="V94" s="115"/>
    </row>
    <row r="95" spans="1:22" ht="15.75" hidden="1" customHeight="1">
      <c r="A95" s="103"/>
      <c r="B95" s="103"/>
      <c r="C95" s="126"/>
      <c r="D95" s="126"/>
      <c r="E95" s="126"/>
      <c r="F95" s="126"/>
      <c r="G95" s="126"/>
      <c r="H95" s="127"/>
      <c r="I95" s="127"/>
      <c r="J95" s="127"/>
      <c r="K95" s="127"/>
      <c r="L95" s="127"/>
      <c r="M95" s="125"/>
      <c r="N95" s="125"/>
      <c r="O95" s="125"/>
      <c r="P95" s="125"/>
      <c r="Q95" s="125"/>
      <c r="R95" s="115"/>
      <c r="S95" s="115"/>
      <c r="T95" s="115"/>
      <c r="U95" s="115"/>
      <c r="V95" s="115"/>
    </row>
    <row r="96" spans="1:22" ht="15.75" hidden="1" customHeight="1">
      <c r="A96" s="103"/>
      <c r="B96" s="103"/>
      <c r="C96" s="126"/>
      <c r="D96" s="126"/>
      <c r="E96" s="126"/>
      <c r="F96" s="126"/>
      <c r="G96" s="126"/>
      <c r="H96" s="127"/>
      <c r="I96" s="127"/>
      <c r="J96" s="127"/>
      <c r="K96" s="127"/>
      <c r="L96" s="127"/>
      <c r="M96" s="125"/>
      <c r="N96" s="125"/>
      <c r="O96" s="125"/>
      <c r="P96" s="125"/>
      <c r="Q96" s="125"/>
      <c r="R96" s="115"/>
      <c r="S96" s="115"/>
      <c r="T96" s="115"/>
      <c r="U96" s="115"/>
      <c r="V96" s="115"/>
    </row>
    <row r="97" spans="1:22" ht="15.75" hidden="1" customHeight="1">
      <c r="A97" s="103"/>
      <c r="B97" s="103"/>
      <c r="C97" s="126"/>
      <c r="D97" s="126"/>
      <c r="E97" s="126"/>
      <c r="F97" s="126"/>
      <c r="G97" s="126"/>
      <c r="H97" s="127"/>
      <c r="I97" s="127"/>
      <c r="J97" s="127"/>
      <c r="K97" s="127"/>
      <c r="L97" s="127"/>
      <c r="M97" s="125"/>
      <c r="N97" s="125"/>
      <c r="O97" s="125"/>
      <c r="P97" s="125"/>
      <c r="Q97" s="125"/>
      <c r="R97" s="115"/>
      <c r="S97" s="115"/>
      <c r="T97" s="115"/>
      <c r="U97" s="115"/>
      <c r="V97" s="115"/>
    </row>
    <row r="98" spans="1:22" ht="15.75" hidden="1" customHeight="1">
      <c r="A98" s="103"/>
      <c r="B98" s="103"/>
      <c r="C98" s="126"/>
      <c r="D98" s="126"/>
      <c r="E98" s="126"/>
      <c r="F98" s="126"/>
      <c r="G98" s="126"/>
      <c r="H98" s="127"/>
      <c r="I98" s="127"/>
      <c r="J98" s="127"/>
      <c r="K98" s="127"/>
      <c r="L98" s="127"/>
      <c r="M98" s="125"/>
      <c r="N98" s="125"/>
      <c r="O98" s="125"/>
      <c r="P98" s="125"/>
      <c r="Q98" s="125"/>
      <c r="R98" s="115"/>
      <c r="S98" s="115"/>
      <c r="T98" s="115"/>
      <c r="U98" s="115"/>
      <c r="V98" s="115"/>
    </row>
    <row r="99" spans="1:22" ht="15.75" hidden="1" customHeight="1">
      <c r="A99" s="103"/>
      <c r="B99" s="103"/>
      <c r="C99" s="126"/>
      <c r="D99" s="126"/>
      <c r="E99" s="126"/>
      <c r="F99" s="126"/>
      <c r="G99" s="126"/>
      <c r="H99" s="127"/>
      <c r="I99" s="127"/>
      <c r="J99" s="127"/>
      <c r="K99" s="127"/>
      <c r="L99" s="127"/>
      <c r="M99" s="125"/>
      <c r="N99" s="125"/>
      <c r="O99" s="125"/>
      <c r="P99" s="125"/>
      <c r="Q99" s="125"/>
      <c r="R99" s="115"/>
      <c r="S99" s="115"/>
      <c r="T99" s="115"/>
      <c r="U99" s="115"/>
      <c r="V99" s="115"/>
    </row>
    <row r="100" spans="1:22" ht="15.75" hidden="1" customHeight="1">
      <c r="A100" s="103"/>
      <c r="B100" s="103"/>
      <c r="C100" s="126"/>
      <c r="D100" s="126"/>
      <c r="E100" s="126"/>
      <c r="F100" s="126"/>
      <c r="G100" s="126"/>
      <c r="H100" s="127"/>
      <c r="I100" s="127"/>
      <c r="J100" s="127"/>
      <c r="K100" s="127"/>
      <c r="L100" s="127"/>
      <c r="M100" s="125"/>
      <c r="N100" s="125"/>
      <c r="O100" s="125"/>
      <c r="P100" s="125"/>
      <c r="Q100" s="125"/>
      <c r="R100" s="115"/>
      <c r="S100" s="115"/>
      <c r="T100" s="115"/>
      <c r="U100" s="115"/>
      <c r="V100" s="115"/>
    </row>
    <row r="101" spans="1:22" ht="15.75" hidden="1" customHeight="1">
      <c r="A101" s="103"/>
      <c r="B101" s="103"/>
      <c r="C101" s="126"/>
      <c r="D101" s="126"/>
      <c r="E101" s="126"/>
      <c r="F101" s="126"/>
      <c r="G101" s="126"/>
      <c r="H101" s="127"/>
      <c r="I101" s="127"/>
      <c r="J101" s="127"/>
      <c r="K101" s="127"/>
      <c r="L101" s="127"/>
      <c r="M101" s="125"/>
      <c r="N101" s="125"/>
      <c r="O101" s="125"/>
      <c r="P101" s="125"/>
      <c r="Q101" s="125"/>
      <c r="R101" s="115"/>
      <c r="S101" s="115"/>
      <c r="T101" s="115"/>
      <c r="U101" s="115"/>
      <c r="V101" s="115"/>
    </row>
    <row r="102" spans="1:22" ht="15.75" hidden="1" customHeight="1">
      <c r="A102" s="103"/>
      <c r="B102" s="103"/>
      <c r="C102" s="126"/>
      <c r="D102" s="126"/>
      <c r="E102" s="126"/>
      <c r="F102" s="126"/>
      <c r="G102" s="126"/>
      <c r="H102" s="127"/>
      <c r="I102" s="127"/>
      <c r="J102" s="127"/>
      <c r="K102" s="127"/>
      <c r="L102" s="127"/>
      <c r="M102" s="125"/>
      <c r="N102" s="125"/>
      <c r="O102" s="125"/>
      <c r="P102" s="125"/>
      <c r="Q102" s="125"/>
      <c r="R102" s="115"/>
      <c r="S102" s="115"/>
      <c r="T102" s="115"/>
      <c r="U102" s="115"/>
      <c r="V102" s="115"/>
    </row>
    <row r="103" spans="1:22" ht="15.75" hidden="1" customHeight="1">
      <c r="A103" s="103"/>
      <c r="B103" s="103"/>
      <c r="C103" s="126"/>
      <c r="D103" s="126"/>
      <c r="E103" s="126"/>
      <c r="F103" s="126"/>
      <c r="G103" s="126"/>
      <c r="H103" s="127"/>
      <c r="I103" s="127"/>
      <c r="J103" s="127"/>
      <c r="K103" s="127"/>
      <c r="L103" s="127"/>
      <c r="M103" s="125"/>
      <c r="N103" s="125"/>
      <c r="O103" s="125"/>
      <c r="P103" s="125"/>
      <c r="Q103" s="125"/>
      <c r="R103" s="115"/>
      <c r="S103" s="115"/>
      <c r="T103" s="115"/>
      <c r="U103" s="115"/>
      <c r="V103" s="115"/>
    </row>
    <row r="104" spans="1:22" ht="15.75" hidden="1" customHeight="1">
      <c r="A104" s="103"/>
      <c r="B104" s="103"/>
      <c r="C104" s="126"/>
      <c r="D104" s="126"/>
      <c r="E104" s="126"/>
      <c r="F104" s="126"/>
      <c r="G104" s="126"/>
      <c r="H104" s="127"/>
      <c r="I104" s="127"/>
      <c r="J104" s="127"/>
      <c r="K104" s="127"/>
      <c r="L104" s="127"/>
      <c r="M104" s="125"/>
      <c r="N104" s="125"/>
      <c r="O104" s="125"/>
      <c r="P104" s="125"/>
      <c r="Q104" s="125"/>
      <c r="R104" s="115"/>
      <c r="S104" s="115"/>
      <c r="T104" s="115"/>
      <c r="U104" s="115"/>
      <c r="V104" s="115"/>
    </row>
    <row r="105" spans="1:22" ht="15.75" hidden="1" customHeight="1">
      <c r="A105" s="103"/>
      <c r="B105" s="103"/>
      <c r="C105" s="126"/>
      <c r="D105" s="126"/>
      <c r="E105" s="126"/>
      <c r="F105" s="126"/>
      <c r="G105" s="126"/>
      <c r="H105" s="127"/>
      <c r="I105" s="127"/>
      <c r="J105" s="127"/>
      <c r="K105" s="127"/>
      <c r="L105" s="127"/>
      <c r="M105" s="125"/>
      <c r="N105" s="125"/>
      <c r="O105" s="125"/>
      <c r="P105" s="125"/>
      <c r="Q105" s="125"/>
      <c r="R105" s="115"/>
      <c r="S105" s="115"/>
      <c r="T105" s="115"/>
      <c r="U105" s="115"/>
      <c r="V105" s="115"/>
    </row>
    <row r="106" spans="1:22" ht="15.75" hidden="1" customHeight="1">
      <c r="A106" s="103"/>
      <c r="B106" s="103"/>
      <c r="C106" s="126"/>
      <c r="D106" s="126"/>
      <c r="E106" s="126"/>
      <c r="F106" s="126"/>
      <c r="G106" s="126"/>
      <c r="H106" s="127"/>
      <c r="I106" s="127"/>
      <c r="J106" s="127"/>
      <c r="K106" s="127"/>
      <c r="L106" s="127"/>
      <c r="M106" s="125"/>
      <c r="N106" s="125"/>
      <c r="O106" s="125"/>
      <c r="P106" s="125"/>
      <c r="Q106" s="125"/>
      <c r="R106" s="115"/>
      <c r="S106" s="115"/>
      <c r="T106" s="115"/>
      <c r="U106" s="115"/>
      <c r="V106" s="115"/>
    </row>
    <row r="107" spans="1:22" ht="15.75" hidden="1" customHeight="1">
      <c r="A107" s="103"/>
      <c r="B107" s="103"/>
      <c r="C107" s="126"/>
      <c r="D107" s="126"/>
      <c r="E107" s="126"/>
      <c r="F107" s="126"/>
      <c r="G107" s="126"/>
      <c r="H107" s="127"/>
      <c r="I107" s="127"/>
      <c r="J107" s="127"/>
      <c r="K107" s="127"/>
      <c r="L107" s="127"/>
      <c r="M107" s="125"/>
      <c r="N107" s="125"/>
      <c r="O107" s="125"/>
      <c r="P107" s="125"/>
      <c r="Q107" s="125"/>
      <c r="R107" s="115"/>
      <c r="S107" s="115"/>
      <c r="T107" s="115"/>
      <c r="U107" s="115"/>
      <c r="V107" s="115"/>
    </row>
    <row r="108" spans="1:22" ht="15.75" hidden="1" customHeight="1">
      <c r="A108" s="103"/>
      <c r="B108" s="103"/>
      <c r="C108" s="126"/>
      <c r="D108" s="126"/>
      <c r="E108" s="126"/>
      <c r="F108" s="126"/>
      <c r="G108" s="126"/>
      <c r="H108" s="127"/>
      <c r="I108" s="127"/>
      <c r="J108" s="127"/>
      <c r="K108" s="127"/>
      <c r="L108" s="127"/>
      <c r="M108" s="125"/>
      <c r="N108" s="125"/>
      <c r="O108" s="125"/>
      <c r="P108" s="125"/>
      <c r="Q108" s="125"/>
      <c r="R108" s="115"/>
      <c r="S108" s="115"/>
      <c r="T108" s="115"/>
      <c r="U108" s="115"/>
      <c r="V108" s="115"/>
    </row>
    <row r="109" spans="1:22" ht="15.75" hidden="1" customHeight="1">
      <c r="A109" s="103"/>
      <c r="B109" s="103"/>
      <c r="C109" s="126"/>
      <c r="D109" s="126"/>
      <c r="E109" s="126"/>
      <c r="F109" s="126"/>
      <c r="G109" s="126"/>
      <c r="H109" s="127"/>
      <c r="I109" s="127"/>
      <c r="J109" s="127"/>
      <c r="K109" s="127"/>
      <c r="L109" s="127"/>
      <c r="M109" s="125"/>
      <c r="N109" s="125"/>
      <c r="O109" s="125"/>
      <c r="P109" s="125"/>
      <c r="Q109" s="125"/>
      <c r="R109" s="115"/>
      <c r="S109" s="115"/>
      <c r="T109" s="115"/>
      <c r="U109" s="115"/>
      <c r="V109" s="115"/>
    </row>
    <row r="110" spans="1:22" ht="15.75" hidden="1" customHeight="1">
      <c r="A110" s="103"/>
      <c r="B110" s="103"/>
      <c r="C110" s="126"/>
      <c r="D110" s="126"/>
      <c r="E110" s="126"/>
      <c r="F110" s="126"/>
      <c r="G110" s="126"/>
      <c r="H110" s="127"/>
      <c r="I110" s="127"/>
      <c r="J110" s="127"/>
      <c r="K110" s="127"/>
      <c r="L110" s="127"/>
      <c r="M110" s="125"/>
      <c r="N110" s="125"/>
      <c r="O110" s="125"/>
      <c r="P110" s="125"/>
      <c r="Q110" s="125"/>
      <c r="R110" s="115"/>
      <c r="S110" s="115"/>
      <c r="T110" s="115"/>
      <c r="U110" s="115"/>
      <c r="V110" s="115"/>
    </row>
    <row r="111" spans="1:22" ht="15.75" hidden="1" customHeight="1">
      <c r="A111" s="103"/>
      <c r="B111" s="103"/>
      <c r="C111" s="126"/>
      <c r="D111" s="126"/>
      <c r="E111" s="126"/>
      <c r="F111" s="126"/>
      <c r="G111" s="126"/>
      <c r="H111" s="127"/>
      <c r="I111" s="127"/>
      <c r="J111" s="127"/>
      <c r="K111" s="127"/>
      <c r="L111" s="127"/>
      <c r="M111" s="125"/>
      <c r="N111" s="125"/>
      <c r="O111" s="125"/>
      <c r="P111" s="125"/>
      <c r="Q111" s="125"/>
      <c r="R111" s="115"/>
      <c r="S111" s="115"/>
      <c r="T111" s="115"/>
      <c r="U111" s="115"/>
      <c r="V111" s="115"/>
    </row>
    <row r="112" spans="1:22" ht="15.75" hidden="1" customHeight="1">
      <c r="A112" s="103"/>
      <c r="B112" s="103"/>
      <c r="C112" s="126"/>
      <c r="D112" s="126"/>
      <c r="E112" s="126"/>
      <c r="F112" s="126"/>
      <c r="G112" s="126"/>
      <c r="H112" s="127"/>
      <c r="I112" s="127"/>
      <c r="J112" s="127"/>
      <c r="K112" s="127"/>
      <c r="L112" s="127"/>
      <c r="M112" s="125"/>
      <c r="N112" s="125"/>
      <c r="O112" s="125"/>
      <c r="P112" s="125"/>
      <c r="Q112" s="125"/>
      <c r="R112" s="115"/>
      <c r="S112" s="115"/>
      <c r="T112" s="115"/>
      <c r="U112" s="115"/>
      <c r="V112" s="115"/>
    </row>
    <row r="113" spans="1:22" ht="15.75" hidden="1" customHeight="1">
      <c r="A113" s="103"/>
      <c r="B113" s="103"/>
      <c r="C113" s="126"/>
      <c r="D113" s="126"/>
      <c r="E113" s="126"/>
      <c r="F113" s="126"/>
      <c r="G113" s="126"/>
      <c r="H113" s="127"/>
      <c r="I113" s="127"/>
      <c r="J113" s="127"/>
      <c r="K113" s="127"/>
      <c r="L113" s="127"/>
      <c r="M113" s="125"/>
      <c r="N113" s="125"/>
      <c r="O113" s="125"/>
      <c r="P113" s="125"/>
      <c r="Q113" s="125"/>
      <c r="R113" s="115"/>
      <c r="S113" s="115"/>
      <c r="T113" s="115"/>
      <c r="U113" s="115"/>
      <c r="V113" s="115"/>
    </row>
    <row r="114" spans="1:22" ht="15.75" hidden="1" customHeight="1">
      <c r="A114" s="103"/>
      <c r="B114" s="103"/>
      <c r="C114" s="126"/>
      <c r="D114" s="126"/>
      <c r="E114" s="126"/>
      <c r="F114" s="126"/>
      <c r="G114" s="126"/>
      <c r="H114" s="127"/>
      <c r="I114" s="127"/>
      <c r="J114" s="127"/>
      <c r="K114" s="127"/>
      <c r="L114" s="127"/>
      <c r="M114" s="125"/>
      <c r="N114" s="125"/>
      <c r="O114" s="125"/>
      <c r="P114" s="125"/>
      <c r="Q114" s="125"/>
      <c r="R114" s="115"/>
      <c r="S114" s="115"/>
      <c r="T114" s="115"/>
      <c r="U114" s="115"/>
      <c r="V114" s="115"/>
    </row>
    <row r="115" spans="1:22" ht="15.75" hidden="1" customHeight="1">
      <c r="A115" s="103"/>
      <c r="B115" s="103"/>
      <c r="C115" s="126"/>
      <c r="D115" s="126"/>
      <c r="E115" s="126"/>
      <c r="F115" s="126"/>
      <c r="G115" s="126"/>
      <c r="H115" s="127"/>
      <c r="I115" s="127"/>
      <c r="J115" s="127"/>
      <c r="K115" s="127"/>
      <c r="L115" s="127"/>
      <c r="M115" s="125"/>
      <c r="N115" s="125"/>
      <c r="O115" s="125"/>
      <c r="P115" s="125"/>
      <c r="Q115" s="125"/>
      <c r="R115" s="115"/>
      <c r="S115" s="115"/>
      <c r="T115" s="115"/>
      <c r="U115" s="115"/>
      <c r="V115" s="115"/>
    </row>
    <row r="116" spans="1:22" ht="15.75" hidden="1" customHeight="1">
      <c r="A116" s="103"/>
      <c r="B116" s="103"/>
      <c r="C116" s="126"/>
      <c r="D116" s="126"/>
      <c r="E116" s="126"/>
      <c r="F116" s="126"/>
      <c r="G116" s="126"/>
      <c r="H116" s="127"/>
      <c r="I116" s="127"/>
      <c r="J116" s="127"/>
      <c r="K116" s="127"/>
      <c r="L116" s="127"/>
      <c r="M116" s="125"/>
      <c r="N116" s="125"/>
      <c r="O116" s="125"/>
      <c r="P116" s="125"/>
      <c r="Q116" s="125"/>
      <c r="R116" s="115"/>
      <c r="S116" s="115"/>
      <c r="T116" s="115"/>
      <c r="U116" s="115"/>
      <c r="V116" s="115"/>
    </row>
    <row r="117" spans="1:22" ht="15.75" hidden="1" customHeight="1">
      <c r="A117" s="103"/>
      <c r="B117" s="103"/>
      <c r="C117" s="126"/>
      <c r="D117" s="126"/>
      <c r="E117" s="126"/>
      <c r="F117" s="126"/>
      <c r="G117" s="126"/>
      <c r="H117" s="127"/>
      <c r="I117" s="127"/>
      <c r="J117" s="127"/>
      <c r="K117" s="127"/>
      <c r="L117" s="127"/>
      <c r="M117" s="125"/>
      <c r="N117" s="125"/>
      <c r="O117" s="125"/>
      <c r="P117" s="125"/>
      <c r="Q117" s="125"/>
      <c r="R117" s="115"/>
      <c r="S117" s="115"/>
      <c r="T117" s="115"/>
      <c r="U117" s="115"/>
      <c r="V117" s="115"/>
    </row>
    <row r="118" spans="1:22" ht="15.75" hidden="1" customHeight="1">
      <c r="A118" s="103"/>
      <c r="B118" s="103"/>
      <c r="C118" s="126"/>
      <c r="D118" s="126"/>
      <c r="E118" s="126"/>
      <c r="F118" s="126"/>
      <c r="G118" s="126"/>
      <c r="H118" s="127"/>
      <c r="I118" s="127"/>
      <c r="J118" s="127"/>
      <c r="K118" s="127"/>
      <c r="L118" s="127"/>
      <c r="M118" s="125"/>
      <c r="N118" s="125"/>
      <c r="O118" s="125"/>
      <c r="P118" s="125"/>
      <c r="Q118" s="125"/>
      <c r="R118" s="115"/>
      <c r="S118" s="115"/>
      <c r="T118" s="115"/>
      <c r="U118" s="115"/>
      <c r="V118" s="115"/>
    </row>
    <row r="119" spans="1:22" ht="15.75" hidden="1" customHeight="1">
      <c r="A119" s="103"/>
      <c r="B119" s="103"/>
      <c r="C119" s="126"/>
      <c r="D119" s="126"/>
      <c r="E119" s="126"/>
      <c r="F119" s="126"/>
      <c r="G119" s="126"/>
      <c r="H119" s="127"/>
      <c r="I119" s="127"/>
      <c r="J119" s="127"/>
      <c r="K119" s="127"/>
      <c r="L119" s="127"/>
      <c r="M119" s="125"/>
      <c r="N119" s="125"/>
      <c r="O119" s="125"/>
      <c r="P119" s="125"/>
      <c r="Q119" s="125"/>
      <c r="R119" s="115"/>
      <c r="S119" s="115"/>
      <c r="T119" s="115"/>
      <c r="U119" s="115"/>
      <c r="V119" s="115"/>
    </row>
    <row r="120" spans="1:22" ht="15.75" hidden="1" customHeight="1">
      <c r="A120" s="103"/>
      <c r="B120" s="103"/>
      <c r="C120" s="126"/>
      <c r="D120" s="126"/>
      <c r="E120" s="126"/>
      <c r="F120" s="126"/>
      <c r="G120" s="126"/>
      <c r="H120" s="127"/>
      <c r="I120" s="127"/>
      <c r="J120" s="127"/>
      <c r="K120" s="127"/>
      <c r="L120" s="127"/>
      <c r="M120" s="125"/>
      <c r="N120" s="125"/>
      <c r="O120" s="125"/>
      <c r="P120" s="125"/>
      <c r="Q120" s="125"/>
      <c r="R120" s="115"/>
      <c r="S120" s="115"/>
      <c r="T120" s="115"/>
      <c r="U120" s="115"/>
      <c r="V120" s="115"/>
    </row>
    <row r="121" spans="1:22" ht="15.75" hidden="1" customHeight="1">
      <c r="A121" s="103"/>
      <c r="B121" s="103"/>
      <c r="C121" s="126"/>
      <c r="D121" s="126"/>
      <c r="E121" s="126"/>
      <c r="F121" s="126"/>
      <c r="G121" s="126"/>
      <c r="H121" s="127"/>
      <c r="I121" s="127"/>
      <c r="J121" s="127"/>
      <c r="K121" s="127"/>
      <c r="L121" s="127"/>
      <c r="M121" s="125"/>
      <c r="N121" s="125"/>
      <c r="O121" s="125"/>
      <c r="P121" s="125"/>
      <c r="Q121" s="125"/>
      <c r="R121" s="115"/>
      <c r="S121" s="115"/>
      <c r="T121" s="115"/>
      <c r="U121" s="115"/>
      <c r="V121" s="115"/>
    </row>
    <row r="122" spans="1:22" ht="15.75" hidden="1" customHeight="1">
      <c r="A122" s="103"/>
      <c r="B122" s="103"/>
      <c r="C122" s="126"/>
      <c r="D122" s="126"/>
      <c r="E122" s="126"/>
      <c r="F122" s="126"/>
      <c r="G122" s="126"/>
      <c r="H122" s="127"/>
      <c r="I122" s="127"/>
      <c r="J122" s="127"/>
      <c r="K122" s="127"/>
      <c r="L122" s="127"/>
      <c r="M122" s="125"/>
      <c r="N122" s="125"/>
      <c r="O122" s="125"/>
      <c r="P122" s="125"/>
      <c r="Q122" s="125"/>
      <c r="R122" s="115"/>
      <c r="S122" s="115"/>
      <c r="T122" s="115"/>
      <c r="U122" s="115"/>
      <c r="V122" s="115"/>
    </row>
    <row r="123" spans="1:22" ht="15.75" hidden="1" customHeight="1">
      <c r="A123" s="103"/>
      <c r="B123" s="103"/>
      <c r="C123" s="126"/>
      <c r="D123" s="126"/>
      <c r="E123" s="126"/>
      <c r="F123" s="126"/>
      <c r="G123" s="126"/>
      <c r="H123" s="127"/>
      <c r="I123" s="127"/>
      <c r="J123" s="127"/>
      <c r="K123" s="127"/>
      <c r="L123" s="127"/>
      <c r="M123" s="125"/>
      <c r="N123" s="125"/>
      <c r="O123" s="125"/>
      <c r="P123" s="125"/>
      <c r="Q123" s="125"/>
      <c r="R123" s="115"/>
      <c r="S123" s="115"/>
      <c r="T123" s="115"/>
      <c r="U123" s="115"/>
      <c r="V123" s="115"/>
    </row>
    <row r="124" spans="1:22" ht="15.75" hidden="1" customHeight="1">
      <c r="A124" s="103"/>
      <c r="B124" s="103"/>
      <c r="C124" s="126"/>
      <c r="D124" s="126"/>
      <c r="E124" s="126"/>
      <c r="F124" s="126"/>
      <c r="G124" s="126"/>
      <c r="H124" s="127"/>
      <c r="I124" s="127"/>
      <c r="J124" s="127"/>
      <c r="K124" s="127"/>
      <c r="L124" s="127"/>
      <c r="M124" s="125"/>
      <c r="N124" s="125"/>
      <c r="O124" s="125"/>
      <c r="P124" s="125"/>
      <c r="Q124" s="125"/>
      <c r="R124" s="115"/>
      <c r="S124" s="115"/>
      <c r="T124" s="115"/>
      <c r="U124" s="115"/>
      <c r="V124" s="115"/>
    </row>
    <row r="125" spans="1:22" ht="15.75" hidden="1" customHeight="1">
      <c r="A125" s="103"/>
      <c r="B125" s="103"/>
      <c r="C125" s="126"/>
      <c r="D125" s="126"/>
      <c r="E125" s="126"/>
      <c r="F125" s="126"/>
      <c r="G125" s="126"/>
      <c r="H125" s="127"/>
      <c r="I125" s="127"/>
      <c r="J125" s="127"/>
      <c r="K125" s="127"/>
      <c r="L125" s="127"/>
      <c r="M125" s="125"/>
      <c r="N125" s="125"/>
      <c r="O125" s="125"/>
      <c r="P125" s="125"/>
      <c r="Q125" s="125"/>
      <c r="R125" s="115"/>
      <c r="S125" s="115"/>
      <c r="T125" s="115"/>
      <c r="U125" s="115"/>
      <c r="V125" s="115"/>
    </row>
    <row r="126" spans="1:22" ht="15.75" hidden="1" customHeight="1">
      <c r="A126" s="103"/>
      <c r="B126" s="103"/>
      <c r="C126" s="126"/>
      <c r="D126" s="126"/>
      <c r="E126" s="126"/>
      <c r="F126" s="126"/>
      <c r="G126" s="126"/>
      <c r="H126" s="127"/>
      <c r="I126" s="127"/>
      <c r="J126" s="127"/>
      <c r="K126" s="127"/>
      <c r="L126" s="127"/>
      <c r="M126" s="125"/>
      <c r="N126" s="125"/>
      <c r="O126" s="125"/>
      <c r="P126" s="125"/>
      <c r="Q126" s="125"/>
      <c r="R126" s="115"/>
      <c r="S126" s="115"/>
      <c r="T126" s="115"/>
      <c r="U126" s="115"/>
      <c r="V126" s="115"/>
    </row>
    <row r="127" spans="1:22" ht="15.75" hidden="1" customHeight="1">
      <c r="A127" s="103"/>
      <c r="B127" s="103"/>
      <c r="C127" s="126"/>
      <c r="D127" s="126"/>
      <c r="E127" s="126"/>
      <c r="F127" s="126"/>
      <c r="G127" s="126"/>
      <c r="H127" s="127"/>
      <c r="I127" s="127"/>
      <c r="J127" s="127"/>
      <c r="K127" s="127"/>
      <c r="L127" s="127"/>
      <c r="M127" s="125"/>
      <c r="N127" s="125"/>
      <c r="O127" s="125"/>
      <c r="P127" s="125"/>
      <c r="Q127" s="125"/>
      <c r="R127" s="115"/>
      <c r="S127" s="115"/>
      <c r="T127" s="115"/>
      <c r="U127" s="115"/>
      <c r="V127" s="115"/>
    </row>
    <row r="128" spans="1:22" ht="15.75" hidden="1" customHeight="1">
      <c r="A128" s="103"/>
      <c r="B128" s="103"/>
      <c r="C128" s="126"/>
      <c r="D128" s="126"/>
      <c r="E128" s="126"/>
      <c r="F128" s="126"/>
      <c r="G128" s="126"/>
      <c r="H128" s="127"/>
      <c r="I128" s="127"/>
      <c r="J128" s="127"/>
      <c r="K128" s="127"/>
      <c r="L128" s="127"/>
      <c r="M128" s="125"/>
      <c r="N128" s="125"/>
      <c r="O128" s="125"/>
      <c r="P128" s="125"/>
      <c r="Q128" s="125"/>
      <c r="R128" s="115"/>
      <c r="S128" s="115"/>
      <c r="T128" s="115"/>
      <c r="U128" s="115"/>
      <c r="V128" s="115"/>
    </row>
    <row r="129" spans="1:22" ht="15.75" hidden="1" customHeight="1">
      <c r="A129" s="103"/>
      <c r="B129" s="103"/>
      <c r="C129" s="126"/>
      <c r="D129" s="126"/>
      <c r="E129" s="126"/>
      <c r="F129" s="126"/>
      <c r="G129" s="126"/>
      <c r="H129" s="127"/>
      <c r="I129" s="127"/>
      <c r="J129" s="127"/>
      <c r="K129" s="127"/>
      <c r="L129" s="127"/>
      <c r="M129" s="125"/>
      <c r="N129" s="125"/>
      <c r="O129" s="125"/>
      <c r="P129" s="125"/>
      <c r="Q129" s="125"/>
      <c r="R129" s="115"/>
      <c r="S129" s="115"/>
      <c r="T129" s="115"/>
      <c r="U129" s="115"/>
      <c r="V129" s="115"/>
    </row>
    <row r="130" spans="1:22" ht="15.75" hidden="1" customHeight="1">
      <c r="A130" s="103"/>
      <c r="B130" s="103"/>
      <c r="C130" s="126"/>
      <c r="D130" s="126"/>
      <c r="E130" s="126"/>
      <c r="F130" s="126"/>
      <c r="G130" s="126"/>
      <c r="H130" s="127"/>
      <c r="I130" s="127"/>
      <c r="J130" s="127"/>
      <c r="K130" s="127"/>
      <c r="L130" s="127"/>
      <c r="M130" s="125"/>
      <c r="N130" s="125"/>
      <c r="O130" s="125"/>
      <c r="P130" s="125"/>
      <c r="Q130" s="125"/>
      <c r="R130" s="115"/>
      <c r="S130" s="115"/>
      <c r="T130" s="115"/>
      <c r="U130" s="115"/>
      <c r="V130" s="115"/>
    </row>
    <row r="131" spans="1:22" ht="15.75" hidden="1" customHeight="1">
      <c r="A131" s="103"/>
      <c r="B131" s="103"/>
      <c r="C131" s="126"/>
      <c r="D131" s="126"/>
      <c r="E131" s="126"/>
      <c r="F131" s="126"/>
      <c r="G131" s="126"/>
      <c r="H131" s="127"/>
      <c r="I131" s="127"/>
      <c r="J131" s="127"/>
      <c r="K131" s="127"/>
      <c r="L131" s="127"/>
      <c r="M131" s="125"/>
      <c r="N131" s="125"/>
      <c r="O131" s="125"/>
      <c r="P131" s="125"/>
      <c r="Q131" s="125"/>
      <c r="R131" s="115"/>
      <c r="S131" s="115"/>
      <c r="T131" s="115"/>
      <c r="U131" s="115"/>
      <c r="V131" s="115"/>
    </row>
    <row r="132" spans="1:22" ht="15.75" hidden="1" customHeight="1">
      <c r="A132" s="103"/>
      <c r="B132" s="103"/>
      <c r="C132" s="126"/>
      <c r="D132" s="126"/>
      <c r="E132" s="126"/>
      <c r="F132" s="126"/>
      <c r="G132" s="126"/>
      <c r="H132" s="127"/>
      <c r="I132" s="127"/>
      <c r="J132" s="127"/>
      <c r="K132" s="127"/>
      <c r="L132" s="127"/>
      <c r="M132" s="125"/>
      <c r="N132" s="125"/>
      <c r="O132" s="125"/>
      <c r="P132" s="125"/>
      <c r="Q132" s="125"/>
      <c r="R132" s="115"/>
      <c r="S132" s="115"/>
      <c r="T132" s="115"/>
      <c r="U132" s="115"/>
      <c r="V132" s="115"/>
    </row>
    <row r="133" spans="1:22" ht="15.75" hidden="1" customHeight="1">
      <c r="A133" s="103"/>
      <c r="B133" s="103"/>
      <c r="C133" s="126"/>
      <c r="D133" s="126"/>
      <c r="E133" s="126"/>
      <c r="F133" s="126"/>
      <c r="G133" s="126"/>
      <c r="H133" s="127"/>
      <c r="I133" s="127"/>
      <c r="J133" s="127"/>
      <c r="K133" s="127"/>
      <c r="L133" s="127"/>
      <c r="M133" s="125"/>
      <c r="N133" s="125"/>
      <c r="O133" s="125"/>
      <c r="P133" s="125"/>
      <c r="Q133" s="125"/>
      <c r="R133" s="115"/>
      <c r="S133" s="115"/>
      <c r="T133" s="115"/>
      <c r="U133" s="115"/>
      <c r="V133" s="115"/>
    </row>
    <row r="134" spans="1:22" ht="15.75" hidden="1" customHeight="1">
      <c r="A134" s="103"/>
      <c r="B134" s="103"/>
      <c r="C134" s="126"/>
      <c r="D134" s="126"/>
      <c r="E134" s="126"/>
      <c r="F134" s="126"/>
      <c r="G134" s="126"/>
      <c r="H134" s="127"/>
      <c r="I134" s="127"/>
      <c r="J134" s="127"/>
      <c r="K134" s="127"/>
      <c r="L134" s="127"/>
      <c r="M134" s="125"/>
      <c r="N134" s="125"/>
      <c r="O134" s="125"/>
      <c r="P134" s="125"/>
      <c r="Q134" s="125"/>
      <c r="R134" s="115"/>
      <c r="S134" s="115"/>
      <c r="T134" s="115"/>
      <c r="U134" s="115"/>
      <c r="V134" s="115"/>
    </row>
    <row r="135" spans="1:22" ht="15.75" hidden="1" customHeight="1">
      <c r="A135" s="103"/>
      <c r="B135" s="103"/>
      <c r="C135" s="126"/>
      <c r="D135" s="126"/>
      <c r="E135" s="126"/>
      <c r="F135" s="126"/>
      <c r="G135" s="126"/>
      <c r="H135" s="127"/>
      <c r="I135" s="127"/>
      <c r="J135" s="127"/>
      <c r="K135" s="127"/>
      <c r="L135" s="127"/>
      <c r="M135" s="125"/>
      <c r="N135" s="125"/>
      <c r="O135" s="125"/>
      <c r="P135" s="125"/>
      <c r="Q135" s="125"/>
      <c r="R135" s="115"/>
      <c r="S135" s="115"/>
      <c r="T135" s="115"/>
      <c r="U135" s="115"/>
      <c r="V135" s="115"/>
    </row>
    <row r="136" spans="1:22" ht="15.75" hidden="1" customHeight="1">
      <c r="A136" s="103"/>
      <c r="B136" s="103"/>
      <c r="C136" s="126"/>
      <c r="D136" s="126"/>
      <c r="E136" s="126"/>
      <c r="F136" s="126"/>
      <c r="G136" s="126"/>
      <c r="H136" s="127"/>
      <c r="I136" s="127"/>
      <c r="J136" s="127"/>
      <c r="K136" s="127"/>
      <c r="L136" s="127"/>
      <c r="M136" s="125"/>
      <c r="N136" s="125"/>
      <c r="O136" s="125"/>
      <c r="P136" s="125"/>
      <c r="Q136" s="125"/>
      <c r="R136" s="115"/>
      <c r="S136" s="115"/>
      <c r="T136" s="115"/>
      <c r="U136" s="115"/>
      <c r="V136" s="115"/>
    </row>
    <row r="137" spans="1:22" ht="15.75" hidden="1" customHeight="1">
      <c r="A137" s="103"/>
      <c r="B137" s="103"/>
      <c r="C137" s="126"/>
      <c r="D137" s="126"/>
      <c r="E137" s="126"/>
      <c r="F137" s="126"/>
      <c r="G137" s="126"/>
      <c r="H137" s="127"/>
      <c r="I137" s="127"/>
      <c r="J137" s="127"/>
      <c r="K137" s="127"/>
      <c r="L137" s="127"/>
      <c r="M137" s="125"/>
      <c r="N137" s="125"/>
      <c r="O137" s="125"/>
      <c r="P137" s="125"/>
      <c r="Q137" s="125"/>
      <c r="R137" s="115"/>
      <c r="S137" s="115"/>
      <c r="T137" s="115"/>
      <c r="U137" s="115"/>
      <c r="V137" s="115"/>
    </row>
    <row r="138" spans="1:22" ht="15.75" hidden="1" customHeight="1">
      <c r="A138" s="103"/>
      <c r="B138" s="103"/>
      <c r="C138" s="126"/>
      <c r="D138" s="126"/>
      <c r="E138" s="126"/>
      <c r="F138" s="126"/>
      <c r="G138" s="126"/>
      <c r="H138" s="127"/>
      <c r="I138" s="127"/>
      <c r="J138" s="127"/>
      <c r="K138" s="127"/>
      <c r="L138" s="127"/>
      <c r="M138" s="125"/>
      <c r="N138" s="125"/>
      <c r="O138" s="125"/>
      <c r="P138" s="125"/>
      <c r="Q138" s="125"/>
      <c r="R138" s="115"/>
      <c r="S138" s="115"/>
      <c r="T138" s="115"/>
      <c r="U138" s="115"/>
      <c r="V138" s="115"/>
    </row>
    <row r="139" spans="1:22" ht="15.75" hidden="1" customHeight="1">
      <c r="A139" s="103"/>
      <c r="B139" s="103"/>
      <c r="C139" s="126"/>
      <c r="D139" s="126"/>
      <c r="E139" s="126"/>
      <c r="F139" s="126"/>
      <c r="G139" s="126"/>
      <c r="H139" s="127"/>
      <c r="I139" s="127"/>
      <c r="J139" s="127"/>
      <c r="K139" s="127"/>
      <c r="L139" s="127"/>
      <c r="M139" s="125"/>
      <c r="N139" s="125"/>
      <c r="O139" s="125"/>
      <c r="P139" s="125"/>
      <c r="Q139" s="125"/>
      <c r="R139" s="115"/>
      <c r="S139" s="115"/>
      <c r="T139" s="115"/>
      <c r="U139" s="115"/>
      <c r="V139" s="115"/>
    </row>
    <row r="140" spans="1:22" ht="15.75" hidden="1" customHeight="1">
      <c r="A140" s="103"/>
      <c r="B140" s="103"/>
      <c r="C140" s="126"/>
      <c r="D140" s="126"/>
      <c r="E140" s="126"/>
      <c r="F140" s="126"/>
      <c r="G140" s="126"/>
      <c r="H140" s="127"/>
      <c r="I140" s="127"/>
      <c r="J140" s="127"/>
      <c r="K140" s="127"/>
      <c r="L140" s="127"/>
      <c r="M140" s="125"/>
      <c r="N140" s="125"/>
      <c r="O140" s="125"/>
      <c r="P140" s="125"/>
      <c r="Q140" s="125"/>
      <c r="R140" s="115"/>
      <c r="S140" s="115"/>
      <c r="T140" s="115"/>
      <c r="U140" s="115"/>
      <c r="V140" s="115"/>
    </row>
    <row r="141" spans="1:22" ht="15.75" hidden="1" customHeight="1">
      <c r="A141" s="103"/>
      <c r="B141" s="103"/>
      <c r="C141" s="126"/>
      <c r="D141" s="126"/>
      <c r="E141" s="126"/>
      <c r="F141" s="126"/>
      <c r="G141" s="126"/>
      <c r="H141" s="127"/>
      <c r="I141" s="127"/>
      <c r="J141" s="127"/>
      <c r="K141" s="127"/>
      <c r="L141" s="127"/>
      <c r="M141" s="125"/>
      <c r="N141" s="125"/>
      <c r="O141" s="125"/>
      <c r="P141" s="125"/>
      <c r="Q141" s="125"/>
      <c r="R141" s="115"/>
      <c r="S141" s="115"/>
      <c r="T141" s="115"/>
      <c r="U141" s="115"/>
      <c r="V141" s="115"/>
    </row>
    <row r="142" spans="1:22" ht="15.75" hidden="1" customHeight="1">
      <c r="A142" s="103"/>
      <c r="B142" s="103"/>
      <c r="C142" s="126"/>
      <c r="D142" s="126"/>
      <c r="E142" s="126"/>
      <c r="F142" s="126"/>
      <c r="G142" s="126"/>
      <c r="H142" s="127"/>
      <c r="I142" s="127"/>
      <c r="J142" s="127"/>
      <c r="K142" s="127"/>
      <c r="L142" s="127"/>
      <c r="M142" s="125"/>
      <c r="N142" s="125"/>
      <c r="O142" s="125"/>
      <c r="P142" s="125"/>
      <c r="Q142" s="125"/>
      <c r="R142" s="115"/>
      <c r="S142" s="115"/>
      <c r="T142" s="115"/>
      <c r="U142" s="115"/>
      <c r="V142" s="115"/>
    </row>
    <row r="143" spans="1:22" ht="15.75" hidden="1" customHeight="1">
      <c r="A143" s="103"/>
      <c r="B143" s="103"/>
      <c r="C143" s="126"/>
      <c r="D143" s="126"/>
      <c r="E143" s="126"/>
      <c r="F143" s="126"/>
      <c r="G143" s="126"/>
      <c r="H143" s="127"/>
      <c r="I143" s="127"/>
      <c r="J143" s="127"/>
      <c r="K143" s="127"/>
      <c r="L143" s="127"/>
      <c r="M143" s="125"/>
      <c r="N143" s="125"/>
      <c r="O143" s="125"/>
      <c r="P143" s="125"/>
      <c r="Q143" s="125"/>
      <c r="R143" s="115"/>
      <c r="S143" s="115"/>
      <c r="T143" s="115"/>
      <c r="U143" s="115"/>
      <c r="V143" s="115"/>
    </row>
    <row r="144" spans="1:22" ht="15.75" hidden="1" customHeight="1">
      <c r="A144" s="103"/>
      <c r="B144" s="103"/>
      <c r="C144" s="126"/>
      <c r="D144" s="126"/>
      <c r="E144" s="126"/>
      <c r="F144" s="126"/>
      <c r="G144" s="126"/>
      <c r="H144" s="127"/>
      <c r="I144" s="127"/>
      <c r="J144" s="127"/>
      <c r="K144" s="127"/>
      <c r="L144" s="127"/>
      <c r="M144" s="125"/>
      <c r="N144" s="125"/>
      <c r="O144" s="125"/>
      <c r="P144" s="125"/>
      <c r="Q144" s="125"/>
      <c r="R144" s="115"/>
      <c r="S144" s="115"/>
      <c r="T144" s="115"/>
      <c r="U144" s="115"/>
      <c r="V144" s="115"/>
    </row>
    <row r="145" spans="1:22" ht="15.75" hidden="1" customHeight="1">
      <c r="A145" s="103"/>
      <c r="B145" s="103"/>
      <c r="C145" s="126"/>
      <c r="D145" s="126"/>
      <c r="E145" s="126"/>
      <c r="F145" s="126"/>
      <c r="G145" s="126"/>
      <c r="H145" s="127"/>
      <c r="I145" s="127"/>
      <c r="J145" s="127"/>
      <c r="K145" s="127"/>
      <c r="L145" s="127"/>
      <c r="M145" s="125"/>
      <c r="N145" s="125"/>
      <c r="O145" s="125"/>
      <c r="P145" s="125"/>
      <c r="Q145" s="125"/>
      <c r="R145" s="115"/>
      <c r="S145" s="115"/>
      <c r="T145" s="115"/>
      <c r="U145" s="115"/>
      <c r="V145" s="115"/>
    </row>
    <row r="146" spans="1:22" ht="15.75" hidden="1" customHeight="1">
      <c r="A146" s="103"/>
      <c r="B146" s="103"/>
      <c r="C146" s="126"/>
      <c r="D146" s="126"/>
      <c r="E146" s="126"/>
      <c r="F146" s="126"/>
      <c r="G146" s="126"/>
      <c r="H146" s="127"/>
      <c r="I146" s="127"/>
      <c r="J146" s="127"/>
      <c r="K146" s="127"/>
      <c r="L146" s="127"/>
      <c r="M146" s="125"/>
      <c r="N146" s="125"/>
      <c r="O146" s="125"/>
      <c r="P146" s="125"/>
      <c r="Q146" s="125"/>
      <c r="R146" s="115"/>
      <c r="S146" s="115"/>
      <c r="T146" s="115"/>
      <c r="U146" s="115"/>
      <c r="V146" s="115"/>
    </row>
    <row r="147" spans="1:22" ht="15.75" hidden="1" customHeight="1">
      <c r="A147" s="103"/>
      <c r="B147" s="103"/>
      <c r="C147" s="126"/>
      <c r="D147" s="126"/>
      <c r="E147" s="126"/>
      <c r="F147" s="126"/>
      <c r="G147" s="126"/>
      <c r="H147" s="127"/>
      <c r="I147" s="127"/>
      <c r="J147" s="127"/>
      <c r="K147" s="127"/>
      <c r="L147" s="127"/>
      <c r="M147" s="125"/>
      <c r="N147" s="125"/>
      <c r="O147" s="125"/>
      <c r="P147" s="125"/>
      <c r="Q147" s="125"/>
      <c r="R147" s="115"/>
      <c r="S147" s="115"/>
      <c r="T147" s="115"/>
      <c r="U147" s="115"/>
      <c r="V147" s="115"/>
    </row>
    <row r="148" spans="1:22" ht="15.75" hidden="1" customHeight="1">
      <c r="A148" s="103"/>
      <c r="B148" s="103"/>
      <c r="C148" s="126"/>
      <c r="D148" s="126"/>
      <c r="E148" s="126"/>
      <c r="F148" s="126"/>
      <c r="G148" s="126"/>
      <c r="H148" s="127"/>
      <c r="I148" s="127"/>
      <c r="J148" s="127"/>
      <c r="K148" s="127"/>
      <c r="L148" s="127"/>
      <c r="M148" s="125"/>
      <c r="N148" s="125"/>
      <c r="O148" s="125"/>
      <c r="P148" s="125"/>
      <c r="Q148" s="125"/>
      <c r="R148" s="115"/>
      <c r="S148" s="115"/>
      <c r="T148" s="115"/>
      <c r="U148" s="115"/>
      <c r="V148" s="115"/>
    </row>
    <row r="149" spans="1:22" ht="15.75" hidden="1" customHeight="1">
      <c r="A149" s="103"/>
      <c r="B149" s="103"/>
      <c r="C149" s="126"/>
      <c r="D149" s="126"/>
      <c r="E149" s="126"/>
      <c r="F149" s="126"/>
      <c r="G149" s="126"/>
      <c r="H149" s="127"/>
      <c r="I149" s="127"/>
      <c r="J149" s="127"/>
      <c r="K149" s="127"/>
      <c r="L149" s="127"/>
      <c r="M149" s="125"/>
      <c r="N149" s="125"/>
      <c r="O149" s="125"/>
      <c r="P149" s="125"/>
      <c r="Q149" s="125"/>
      <c r="R149" s="115"/>
      <c r="S149" s="115"/>
      <c r="T149" s="115"/>
      <c r="U149" s="115"/>
      <c r="V149" s="115"/>
    </row>
    <row r="150" spans="1:22" ht="15.75" hidden="1" customHeight="1">
      <c r="A150" s="103"/>
      <c r="B150" s="103"/>
      <c r="C150" s="126"/>
      <c r="D150" s="126"/>
      <c r="E150" s="126"/>
      <c r="F150" s="126"/>
      <c r="G150" s="126"/>
      <c r="H150" s="127"/>
      <c r="I150" s="127"/>
      <c r="J150" s="127"/>
      <c r="K150" s="127"/>
      <c r="L150" s="127"/>
      <c r="M150" s="125"/>
      <c r="N150" s="125"/>
      <c r="O150" s="125"/>
      <c r="P150" s="125"/>
      <c r="Q150" s="125"/>
      <c r="R150" s="115"/>
      <c r="S150" s="115"/>
      <c r="T150" s="115"/>
      <c r="U150" s="115"/>
      <c r="V150" s="115"/>
    </row>
    <row r="151" spans="1:22" ht="15.75" hidden="1" customHeight="1">
      <c r="A151" s="103"/>
      <c r="B151" s="103"/>
      <c r="C151" s="126"/>
      <c r="D151" s="126"/>
      <c r="E151" s="126"/>
      <c r="F151" s="126"/>
      <c r="G151" s="126"/>
      <c r="H151" s="127"/>
      <c r="I151" s="127"/>
      <c r="J151" s="127"/>
      <c r="K151" s="127"/>
      <c r="L151" s="127"/>
      <c r="M151" s="125"/>
      <c r="N151" s="125"/>
      <c r="O151" s="125"/>
      <c r="P151" s="125"/>
      <c r="Q151" s="125"/>
      <c r="R151" s="115"/>
      <c r="S151" s="115"/>
      <c r="T151" s="115"/>
      <c r="U151" s="115"/>
      <c r="V151" s="115"/>
    </row>
    <row r="152" spans="1:22" ht="15.75" hidden="1" customHeight="1">
      <c r="A152" s="103"/>
      <c r="B152" s="103"/>
      <c r="C152" s="126"/>
      <c r="D152" s="126"/>
      <c r="E152" s="126"/>
      <c r="F152" s="126"/>
      <c r="G152" s="126"/>
      <c r="H152" s="127"/>
      <c r="I152" s="127"/>
      <c r="J152" s="127"/>
      <c r="K152" s="127"/>
      <c r="L152" s="127"/>
      <c r="M152" s="125"/>
      <c r="N152" s="125"/>
      <c r="O152" s="125"/>
      <c r="P152" s="125"/>
      <c r="Q152" s="125"/>
      <c r="R152" s="115"/>
      <c r="S152" s="115"/>
      <c r="T152" s="115"/>
      <c r="U152" s="115"/>
      <c r="V152" s="115"/>
    </row>
    <row r="153" spans="1:22" ht="15.75" hidden="1" customHeight="1">
      <c r="A153" s="103"/>
      <c r="B153" s="103"/>
      <c r="C153" s="126"/>
      <c r="D153" s="126"/>
      <c r="E153" s="126"/>
      <c r="F153" s="126"/>
      <c r="G153" s="126"/>
      <c r="H153" s="127"/>
      <c r="I153" s="127"/>
      <c r="J153" s="127"/>
      <c r="K153" s="127"/>
      <c r="L153" s="127"/>
      <c r="M153" s="125"/>
      <c r="N153" s="125"/>
      <c r="O153" s="125"/>
      <c r="P153" s="125"/>
      <c r="Q153" s="125"/>
      <c r="R153" s="115"/>
      <c r="S153" s="115"/>
      <c r="T153" s="115"/>
      <c r="U153" s="115"/>
      <c r="V153" s="115"/>
    </row>
    <row r="154" spans="1:22" ht="15.75" hidden="1" customHeight="1">
      <c r="A154" s="103"/>
      <c r="B154" s="103"/>
      <c r="C154" s="126"/>
      <c r="D154" s="126"/>
      <c r="E154" s="126"/>
      <c r="F154" s="126"/>
      <c r="G154" s="126"/>
      <c r="H154" s="127"/>
      <c r="I154" s="127"/>
      <c r="J154" s="127"/>
      <c r="K154" s="127"/>
      <c r="L154" s="127"/>
      <c r="M154" s="125"/>
      <c r="N154" s="125"/>
      <c r="O154" s="125"/>
      <c r="P154" s="125"/>
      <c r="Q154" s="125"/>
      <c r="R154" s="115"/>
      <c r="S154" s="115"/>
      <c r="T154" s="115"/>
      <c r="U154" s="115"/>
      <c r="V154" s="115"/>
    </row>
    <row r="155" spans="1:22" ht="15.75" hidden="1" customHeight="1">
      <c r="A155" s="103"/>
      <c r="B155" s="103"/>
      <c r="C155" s="126"/>
      <c r="D155" s="126"/>
      <c r="E155" s="126"/>
      <c r="F155" s="126"/>
      <c r="G155" s="126"/>
      <c r="H155" s="127"/>
      <c r="I155" s="127"/>
      <c r="J155" s="127"/>
      <c r="K155" s="127"/>
      <c r="L155" s="127"/>
      <c r="M155" s="125"/>
      <c r="N155" s="125"/>
      <c r="O155" s="125"/>
      <c r="P155" s="125"/>
      <c r="Q155" s="125"/>
      <c r="R155" s="115"/>
      <c r="S155" s="115"/>
      <c r="T155" s="115"/>
      <c r="U155" s="115"/>
      <c r="V155" s="115"/>
    </row>
    <row r="156" spans="1:22" ht="15.75" hidden="1" customHeight="1">
      <c r="A156" s="103"/>
      <c r="B156" s="103"/>
      <c r="C156" s="126"/>
      <c r="D156" s="126"/>
      <c r="E156" s="126"/>
      <c r="F156" s="126"/>
      <c r="G156" s="126"/>
      <c r="H156" s="127"/>
      <c r="I156" s="127"/>
      <c r="J156" s="127"/>
      <c r="K156" s="127"/>
      <c r="L156" s="127"/>
      <c r="M156" s="125"/>
      <c r="N156" s="125"/>
      <c r="O156" s="125"/>
      <c r="P156" s="125"/>
      <c r="Q156" s="125"/>
      <c r="R156" s="115"/>
      <c r="S156" s="115"/>
      <c r="T156" s="115"/>
      <c r="U156" s="115"/>
      <c r="V156" s="115"/>
    </row>
    <row r="157" spans="1:22" ht="15.75" hidden="1" customHeight="1">
      <c r="A157" s="103"/>
      <c r="B157" s="103"/>
      <c r="C157" s="126"/>
      <c r="D157" s="126"/>
      <c r="E157" s="126"/>
      <c r="F157" s="126"/>
      <c r="G157" s="126"/>
      <c r="H157" s="127"/>
      <c r="I157" s="127"/>
      <c r="J157" s="127"/>
      <c r="K157" s="127"/>
      <c r="L157" s="127"/>
      <c r="M157" s="125"/>
      <c r="N157" s="125"/>
      <c r="O157" s="125"/>
      <c r="P157" s="125"/>
      <c r="Q157" s="125"/>
      <c r="R157" s="115"/>
      <c r="S157" s="115"/>
      <c r="T157" s="115"/>
      <c r="U157" s="115"/>
      <c r="V157" s="115"/>
    </row>
    <row r="158" spans="1:22" ht="15.75" hidden="1" customHeight="1">
      <c r="A158" s="103"/>
      <c r="B158" s="103"/>
      <c r="C158" s="126"/>
      <c r="D158" s="126"/>
      <c r="E158" s="126"/>
      <c r="F158" s="126"/>
      <c r="G158" s="126"/>
      <c r="H158" s="127"/>
      <c r="I158" s="127"/>
      <c r="J158" s="127"/>
      <c r="K158" s="127"/>
      <c r="L158" s="127"/>
      <c r="M158" s="125"/>
      <c r="N158" s="125"/>
      <c r="O158" s="125"/>
      <c r="P158" s="125"/>
      <c r="Q158" s="125"/>
      <c r="R158" s="115"/>
      <c r="S158" s="115"/>
      <c r="T158" s="115"/>
      <c r="U158" s="115"/>
      <c r="V158" s="115"/>
    </row>
    <row r="159" spans="1:22" ht="15.75" hidden="1" customHeight="1">
      <c r="A159" s="103"/>
      <c r="B159" s="103"/>
      <c r="C159" s="126"/>
      <c r="D159" s="126"/>
      <c r="E159" s="126"/>
      <c r="F159" s="126"/>
      <c r="G159" s="126"/>
      <c r="H159" s="127"/>
      <c r="I159" s="127"/>
      <c r="J159" s="127"/>
      <c r="K159" s="127"/>
      <c r="L159" s="127"/>
      <c r="M159" s="125"/>
      <c r="N159" s="125"/>
      <c r="O159" s="125"/>
      <c r="P159" s="125"/>
      <c r="Q159" s="125"/>
      <c r="R159" s="115"/>
      <c r="S159" s="115"/>
      <c r="T159" s="115"/>
      <c r="U159" s="115"/>
      <c r="V159" s="115"/>
    </row>
    <row r="160" spans="1:22" ht="15.75" hidden="1" customHeight="1">
      <c r="A160" s="103"/>
      <c r="B160" s="103"/>
      <c r="C160" s="126"/>
      <c r="D160" s="126"/>
      <c r="E160" s="126"/>
      <c r="F160" s="126"/>
      <c r="G160" s="126"/>
      <c r="H160" s="127"/>
      <c r="I160" s="127"/>
      <c r="J160" s="127"/>
      <c r="K160" s="127"/>
      <c r="L160" s="127"/>
      <c r="M160" s="125"/>
      <c r="N160" s="125"/>
      <c r="O160" s="125"/>
      <c r="P160" s="125"/>
      <c r="Q160" s="125"/>
      <c r="R160" s="115"/>
      <c r="S160" s="115"/>
      <c r="T160" s="115"/>
      <c r="U160" s="115"/>
      <c r="V160" s="115"/>
    </row>
    <row r="161" spans="1:22" ht="15.75" hidden="1" customHeight="1">
      <c r="A161" s="103"/>
      <c r="B161" s="103"/>
      <c r="C161" s="126"/>
      <c r="D161" s="126"/>
      <c r="E161" s="126"/>
      <c r="F161" s="126"/>
      <c r="G161" s="126"/>
      <c r="H161" s="127"/>
      <c r="I161" s="127"/>
      <c r="J161" s="127"/>
      <c r="K161" s="127"/>
      <c r="L161" s="127"/>
      <c r="M161" s="125"/>
      <c r="N161" s="125"/>
      <c r="O161" s="125"/>
      <c r="P161" s="125"/>
      <c r="Q161" s="125"/>
      <c r="R161" s="115"/>
      <c r="S161" s="115"/>
      <c r="T161" s="115"/>
      <c r="U161" s="115"/>
      <c r="V161" s="115"/>
    </row>
    <row r="162" spans="1:22" ht="15.75" hidden="1" customHeight="1">
      <c r="A162" s="103"/>
      <c r="B162" s="103"/>
      <c r="C162" s="126"/>
      <c r="D162" s="126"/>
      <c r="E162" s="126"/>
      <c r="F162" s="126"/>
      <c r="G162" s="126"/>
      <c r="H162" s="127"/>
      <c r="I162" s="127"/>
      <c r="J162" s="127"/>
      <c r="K162" s="127"/>
      <c r="L162" s="127"/>
      <c r="M162" s="125"/>
      <c r="N162" s="125"/>
      <c r="O162" s="125"/>
      <c r="P162" s="125"/>
      <c r="Q162" s="125"/>
      <c r="R162" s="115"/>
      <c r="S162" s="115"/>
      <c r="T162" s="115"/>
      <c r="U162" s="115"/>
      <c r="V162" s="115"/>
    </row>
    <row r="163" spans="1:22" ht="15.75" hidden="1" customHeight="1">
      <c r="A163" s="103"/>
      <c r="B163" s="103"/>
      <c r="C163" s="126"/>
      <c r="D163" s="126"/>
      <c r="E163" s="126"/>
      <c r="F163" s="126"/>
      <c r="G163" s="126"/>
      <c r="H163" s="127"/>
      <c r="I163" s="127"/>
      <c r="J163" s="127"/>
      <c r="K163" s="127"/>
      <c r="L163" s="127"/>
      <c r="M163" s="125"/>
      <c r="N163" s="125"/>
      <c r="O163" s="125"/>
      <c r="P163" s="125"/>
      <c r="Q163" s="125"/>
      <c r="R163" s="115"/>
      <c r="S163" s="115"/>
      <c r="T163" s="115"/>
      <c r="U163" s="115"/>
      <c r="V163" s="115"/>
    </row>
    <row r="164" spans="1:22" ht="15.75" hidden="1" customHeight="1">
      <c r="A164" s="103"/>
      <c r="B164" s="103"/>
      <c r="C164" s="126"/>
      <c r="D164" s="126"/>
      <c r="E164" s="126"/>
      <c r="F164" s="126"/>
      <c r="G164" s="126"/>
      <c r="H164" s="127"/>
      <c r="I164" s="127"/>
      <c r="J164" s="127"/>
      <c r="K164" s="127"/>
      <c r="L164" s="127"/>
      <c r="M164" s="125"/>
      <c r="N164" s="125"/>
      <c r="O164" s="125"/>
      <c r="P164" s="125"/>
      <c r="Q164" s="125"/>
      <c r="R164" s="115"/>
      <c r="S164" s="115"/>
      <c r="T164" s="115"/>
      <c r="U164" s="115"/>
      <c r="V164" s="115"/>
    </row>
    <row r="165" spans="1:22" ht="15.75" hidden="1" customHeight="1">
      <c r="A165" s="103"/>
      <c r="B165" s="103"/>
      <c r="C165" s="126"/>
      <c r="D165" s="126"/>
      <c r="E165" s="126"/>
      <c r="F165" s="126"/>
      <c r="G165" s="126"/>
      <c r="H165" s="127"/>
      <c r="I165" s="127"/>
      <c r="J165" s="127"/>
      <c r="K165" s="127"/>
      <c r="L165" s="127"/>
      <c r="M165" s="125"/>
      <c r="N165" s="125"/>
      <c r="O165" s="125"/>
      <c r="P165" s="125"/>
      <c r="Q165" s="125"/>
      <c r="R165" s="115"/>
      <c r="S165" s="115"/>
      <c r="T165" s="115"/>
      <c r="U165" s="115"/>
      <c r="V165" s="115"/>
    </row>
    <row r="166" spans="1:22" ht="15.75" hidden="1" customHeight="1">
      <c r="A166" s="103"/>
      <c r="B166" s="103"/>
      <c r="C166" s="126"/>
      <c r="D166" s="126"/>
      <c r="E166" s="126"/>
      <c r="F166" s="126"/>
      <c r="G166" s="126"/>
      <c r="H166" s="127"/>
      <c r="I166" s="127"/>
      <c r="J166" s="127"/>
      <c r="K166" s="127"/>
      <c r="L166" s="127"/>
      <c r="M166" s="125"/>
      <c r="N166" s="125"/>
      <c r="O166" s="125"/>
      <c r="P166" s="125"/>
      <c r="Q166" s="125"/>
      <c r="R166" s="115"/>
      <c r="S166" s="115"/>
      <c r="T166" s="115"/>
      <c r="U166" s="115"/>
      <c r="V166" s="115"/>
    </row>
    <row r="167" spans="1:22" ht="15.75" hidden="1" customHeight="1">
      <c r="A167" s="103"/>
      <c r="B167" s="103"/>
      <c r="C167" s="126"/>
      <c r="D167" s="126"/>
      <c r="E167" s="126"/>
      <c r="F167" s="126"/>
      <c r="G167" s="126"/>
      <c r="H167" s="127"/>
      <c r="I167" s="127"/>
      <c r="J167" s="127"/>
      <c r="K167" s="127"/>
      <c r="L167" s="127"/>
      <c r="M167" s="125"/>
      <c r="N167" s="125"/>
      <c r="O167" s="125"/>
      <c r="P167" s="125"/>
      <c r="Q167" s="125"/>
      <c r="R167" s="115"/>
      <c r="S167" s="115"/>
      <c r="T167" s="115"/>
      <c r="U167" s="115"/>
      <c r="V167" s="115"/>
    </row>
    <row r="168" spans="1:22" ht="15.75" hidden="1" customHeight="1">
      <c r="A168" s="103"/>
      <c r="B168" s="103"/>
      <c r="C168" s="126"/>
      <c r="D168" s="126"/>
      <c r="E168" s="126"/>
      <c r="F168" s="126"/>
      <c r="G168" s="126"/>
      <c r="H168" s="127"/>
      <c r="I168" s="127"/>
      <c r="J168" s="127"/>
      <c r="K168" s="127"/>
      <c r="L168" s="127"/>
      <c r="M168" s="125"/>
      <c r="N168" s="125"/>
      <c r="O168" s="125"/>
      <c r="P168" s="125"/>
      <c r="Q168" s="125"/>
      <c r="R168" s="115"/>
      <c r="S168" s="115"/>
      <c r="T168" s="115"/>
      <c r="U168" s="115"/>
      <c r="V168" s="115"/>
    </row>
    <row r="169" spans="1:22" ht="15.75" hidden="1" customHeight="1">
      <c r="A169" s="103"/>
      <c r="B169" s="103"/>
      <c r="C169" s="126"/>
      <c r="D169" s="126"/>
      <c r="E169" s="126"/>
      <c r="F169" s="126"/>
      <c r="G169" s="126"/>
      <c r="H169" s="127"/>
      <c r="I169" s="127"/>
      <c r="J169" s="127"/>
      <c r="K169" s="127"/>
      <c r="L169" s="127"/>
      <c r="M169" s="125"/>
      <c r="N169" s="125"/>
      <c r="O169" s="125"/>
      <c r="P169" s="125"/>
      <c r="Q169" s="125"/>
      <c r="R169" s="115"/>
      <c r="S169" s="115"/>
      <c r="T169" s="115"/>
      <c r="U169" s="115"/>
      <c r="V169" s="115"/>
    </row>
    <row r="170" spans="1:22" ht="15.75" hidden="1" customHeight="1">
      <c r="A170" s="103"/>
      <c r="B170" s="103"/>
      <c r="C170" s="126"/>
      <c r="D170" s="126"/>
      <c r="E170" s="126"/>
      <c r="F170" s="126"/>
      <c r="G170" s="126"/>
      <c r="H170" s="127"/>
      <c r="I170" s="127"/>
      <c r="J170" s="127"/>
      <c r="K170" s="127"/>
      <c r="L170" s="127"/>
      <c r="M170" s="125"/>
      <c r="N170" s="125"/>
      <c r="O170" s="125"/>
      <c r="P170" s="125"/>
      <c r="Q170" s="125"/>
      <c r="R170" s="115"/>
      <c r="S170" s="115"/>
      <c r="T170" s="115"/>
      <c r="U170" s="115"/>
      <c r="V170" s="115"/>
    </row>
    <row r="171" spans="1:22" ht="15.75" hidden="1" customHeight="1">
      <c r="A171" s="103"/>
      <c r="B171" s="103"/>
      <c r="C171" s="126"/>
      <c r="D171" s="126"/>
      <c r="E171" s="126"/>
      <c r="F171" s="126"/>
      <c r="G171" s="126"/>
      <c r="H171" s="127"/>
      <c r="I171" s="127"/>
      <c r="J171" s="127"/>
      <c r="K171" s="127"/>
      <c r="L171" s="127"/>
      <c r="M171" s="125"/>
      <c r="N171" s="125"/>
      <c r="O171" s="125"/>
      <c r="P171" s="125"/>
      <c r="Q171" s="125"/>
      <c r="R171" s="115"/>
      <c r="S171" s="115"/>
      <c r="T171" s="115"/>
      <c r="U171" s="115"/>
      <c r="V171" s="115"/>
    </row>
    <row r="172" spans="1:22" ht="15.75" hidden="1" customHeight="1">
      <c r="A172" s="103"/>
      <c r="B172" s="103"/>
      <c r="C172" s="126"/>
      <c r="D172" s="126"/>
      <c r="E172" s="126"/>
      <c r="F172" s="126"/>
      <c r="G172" s="126"/>
      <c r="H172" s="127"/>
      <c r="I172" s="127"/>
      <c r="J172" s="127"/>
      <c r="K172" s="127"/>
      <c r="L172" s="127"/>
      <c r="M172" s="125"/>
      <c r="N172" s="125"/>
      <c r="O172" s="125"/>
      <c r="P172" s="125"/>
      <c r="Q172" s="125"/>
      <c r="R172" s="115"/>
      <c r="S172" s="115"/>
      <c r="T172" s="115"/>
      <c r="U172" s="115"/>
      <c r="V172" s="115"/>
    </row>
    <row r="173" spans="1:22" ht="15.75" hidden="1" customHeight="1">
      <c r="A173" s="103"/>
      <c r="B173" s="103"/>
      <c r="C173" s="126"/>
      <c r="D173" s="126"/>
      <c r="E173" s="126"/>
      <c r="F173" s="126"/>
      <c r="G173" s="126"/>
      <c r="H173" s="127"/>
      <c r="I173" s="127"/>
      <c r="J173" s="127"/>
      <c r="K173" s="127"/>
      <c r="L173" s="127"/>
      <c r="M173" s="125"/>
      <c r="N173" s="125"/>
      <c r="O173" s="125"/>
      <c r="P173" s="125"/>
      <c r="Q173" s="125"/>
      <c r="R173" s="115"/>
      <c r="S173" s="115"/>
      <c r="T173" s="115"/>
      <c r="U173" s="115"/>
      <c r="V173" s="115"/>
    </row>
    <row r="174" spans="1:22" ht="15.75" hidden="1" customHeight="1">
      <c r="A174" s="103"/>
      <c r="B174" s="103"/>
      <c r="C174" s="126"/>
      <c r="D174" s="126"/>
      <c r="E174" s="126"/>
      <c r="F174" s="126"/>
      <c r="G174" s="126"/>
      <c r="H174" s="127"/>
      <c r="I174" s="127"/>
      <c r="J174" s="127"/>
      <c r="K174" s="127"/>
      <c r="L174" s="127"/>
      <c r="M174" s="125"/>
      <c r="N174" s="125"/>
      <c r="O174" s="125"/>
      <c r="P174" s="125"/>
      <c r="Q174" s="125"/>
      <c r="R174" s="115"/>
      <c r="S174" s="115"/>
      <c r="T174" s="115"/>
      <c r="U174" s="115"/>
      <c r="V174" s="115"/>
    </row>
    <row r="175" spans="1:22" ht="15.75" hidden="1" customHeight="1">
      <c r="A175" s="103"/>
      <c r="B175" s="103"/>
      <c r="C175" s="126"/>
      <c r="D175" s="126"/>
      <c r="E175" s="126"/>
      <c r="F175" s="126"/>
      <c r="G175" s="126"/>
      <c r="H175" s="127"/>
      <c r="I175" s="127"/>
      <c r="J175" s="127"/>
      <c r="K175" s="127"/>
      <c r="L175" s="127"/>
      <c r="M175" s="125"/>
      <c r="N175" s="125"/>
      <c r="O175" s="125"/>
      <c r="P175" s="125"/>
      <c r="Q175" s="125"/>
      <c r="R175" s="115"/>
      <c r="S175" s="115"/>
      <c r="T175" s="115"/>
      <c r="U175" s="115"/>
      <c r="V175" s="115"/>
    </row>
    <row r="176" spans="1:22" ht="15.75" hidden="1" customHeight="1">
      <c r="A176" s="103"/>
      <c r="B176" s="103"/>
      <c r="C176" s="126"/>
      <c r="D176" s="126"/>
      <c r="E176" s="126"/>
      <c r="F176" s="126"/>
      <c r="G176" s="126"/>
      <c r="H176" s="127"/>
      <c r="I176" s="127"/>
      <c r="J176" s="127"/>
      <c r="K176" s="127"/>
      <c r="L176" s="127"/>
      <c r="M176" s="125"/>
      <c r="N176" s="125"/>
      <c r="O176" s="125"/>
      <c r="P176" s="125"/>
      <c r="Q176" s="125"/>
      <c r="R176" s="115"/>
      <c r="S176" s="115"/>
      <c r="T176" s="115"/>
      <c r="U176" s="115"/>
      <c r="V176" s="115"/>
    </row>
    <row r="177" spans="1:22" ht="15.75" hidden="1" customHeight="1">
      <c r="A177" s="103"/>
      <c r="B177" s="103"/>
      <c r="C177" s="126"/>
      <c r="D177" s="126"/>
      <c r="E177" s="126"/>
      <c r="F177" s="126"/>
      <c r="G177" s="126"/>
      <c r="H177" s="127"/>
      <c r="I177" s="127"/>
      <c r="J177" s="127"/>
      <c r="K177" s="127"/>
      <c r="L177" s="127"/>
      <c r="M177" s="125"/>
      <c r="N177" s="125"/>
      <c r="O177" s="125"/>
      <c r="P177" s="125"/>
      <c r="Q177" s="125"/>
      <c r="R177" s="115"/>
      <c r="S177" s="115"/>
      <c r="T177" s="115"/>
      <c r="U177" s="115"/>
      <c r="V177" s="115"/>
    </row>
    <row r="178" spans="1:22" ht="15.75" hidden="1" customHeight="1">
      <c r="A178" s="103"/>
      <c r="B178" s="103"/>
      <c r="C178" s="126"/>
      <c r="D178" s="126"/>
      <c r="E178" s="126"/>
      <c r="F178" s="126"/>
      <c r="G178" s="126"/>
      <c r="H178" s="127"/>
      <c r="I178" s="127"/>
      <c r="J178" s="127"/>
      <c r="K178" s="127"/>
      <c r="L178" s="127"/>
      <c r="M178" s="125"/>
      <c r="N178" s="125"/>
      <c r="O178" s="125"/>
      <c r="P178" s="125"/>
      <c r="Q178" s="125"/>
      <c r="R178" s="115"/>
      <c r="S178" s="115"/>
      <c r="T178" s="115"/>
      <c r="U178" s="115"/>
      <c r="V178" s="115"/>
    </row>
    <row r="179" spans="1:22" ht="15.75" hidden="1" customHeight="1">
      <c r="A179" s="103"/>
      <c r="B179" s="103"/>
      <c r="C179" s="126"/>
      <c r="D179" s="126"/>
      <c r="E179" s="126"/>
      <c r="F179" s="126"/>
      <c r="G179" s="126"/>
      <c r="H179" s="127"/>
      <c r="I179" s="127"/>
      <c r="J179" s="127"/>
      <c r="K179" s="127"/>
      <c r="L179" s="127"/>
      <c r="M179" s="125"/>
      <c r="N179" s="125"/>
      <c r="O179" s="125"/>
      <c r="P179" s="125"/>
      <c r="Q179" s="125"/>
      <c r="R179" s="115"/>
      <c r="S179" s="115"/>
      <c r="T179" s="115"/>
      <c r="U179" s="115"/>
      <c r="V179" s="115"/>
    </row>
    <row r="180" spans="1:22" ht="15.75" hidden="1" customHeight="1">
      <c r="A180" s="103"/>
      <c r="B180" s="103"/>
      <c r="C180" s="126"/>
      <c r="D180" s="126"/>
      <c r="E180" s="126"/>
      <c r="F180" s="126"/>
      <c r="G180" s="126"/>
      <c r="H180" s="127"/>
      <c r="I180" s="127"/>
      <c r="J180" s="127"/>
      <c r="K180" s="127"/>
      <c r="L180" s="127"/>
      <c r="M180" s="125"/>
      <c r="N180" s="125"/>
      <c r="O180" s="125"/>
      <c r="P180" s="125"/>
      <c r="Q180" s="125"/>
      <c r="R180" s="115"/>
      <c r="S180" s="115"/>
      <c r="T180" s="115"/>
      <c r="U180" s="115"/>
      <c r="V180" s="115"/>
    </row>
    <row r="181" spans="1:22" ht="15.75" hidden="1" customHeight="1">
      <c r="A181" s="103"/>
      <c r="B181" s="103"/>
      <c r="C181" s="126"/>
      <c r="D181" s="126"/>
      <c r="E181" s="126"/>
      <c r="F181" s="126"/>
      <c r="G181" s="126"/>
      <c r="H181" s="127"/>
      <c r="I181" s="127"/>
      <c r="J181" s="127"/>
      <c r="K181" s="127"/>
      <c r="L181" s="127"/>
      <c r="M181" s="125"/>
      <c r="N181" s="125"/>
      <c r="O181" s="125"/>
      <c r="P181" s="125"/>
      <c r="Q181" s="125"/>
      <c r="R181" s="115"/>
      <c r="S181" s="115"/>
      <c r="T181" s="115"/>
      <c r="U181" s="115"/>
      <c r="V181" s="115"/>
    </row>
    <row r="182" spans="1:22" ht="15.75" hidden="1" customHeight="1">
      <c r="A182" s="103"/>
      <c r="B182" s="103"/>
      <c r="C182" s="126"/>
      <c r="D182" s="126"/>
      <c r="E182" s="126"/>
      <c r="F182" s="126"/>
      <c r="G182" s="126"/>
      <c r="H182" s="127"/>
      <c r="I182" s="127"/>
      <c r="J182" s="127"/>
      <c r="K182" s="127"/>
      <c r="L182" s="127"/>
      <c r="M182" s="125"/>
      <c r="N182" s="125"/>
      <c r="O182" s="125"/>
      <c r="P182" s="125"/>
      <c r="Q182" s="125"/>
      <c r="R182" s="115"/>
      <c r="S182" s="115"/>
      <c r="T182" s="115"/>
      <c r="U182" s="115"/>
      <c r="V182" s="115"/>
    </row>
    <row r="183" spans="1:22" ht="15.75" hidden="1" customHeight="1">
      <c r="A183" s="103"/>
      <c r="B183" s="103"/>
      <c r="C183" s="126"/>
      <c r="D183" s="126"/>
      <c r="E183" s="126"/>
      <c r="F183" s="126"/>
      <c r="G183" s="126"/>
      <c r="H183" s="127"/>
      <c r="I183" s="127"/>
      <c r="J183" s="127"/>
      <c r="K183" s="127"/>
      <c r="L183" s="127"/>
      <c r="M183" s="125"/>
      <c r="N183" s="125"/>
      <c r="O183" s="125"/>
      <c r="P183" s="125"/>
      <c r="Q183" s="125"/>
      <c r="R183" s="115"/>
      <c r="S183" s="115"/>
      <c r="T183" s="115"/>
      <c r="U183" s="115"/>
      <c r="V183" s="115"/>
    </row>
    <row r="184" spans="1:22" ht="15.75" hidden="1" customHeight="1">
      <c r="A184" s="103"/>
      <c r="B184" s="103"/>
      <c r="C184" s="126"/>
      <c r="D184" s="126"/>
      <c r="E184" s="126"/>
      <c r="F184" s="126"/>
      <c r="G184" s="126"/>
      <c r="H184" s="127"/>
      <c r="I184" s="127"/>
      <c r="J184" s="127"/>
      <c r="K184" s="127"/>
      <c r="L184" s="127"/>
      <c r="M184" s="125"/>
      <c r="N184" s="125"/>
      <c r="O184" s="125"/>
      <c r="P184" s="125"/>
      <c r="Q184" s="125"/>
      <c r="R184" s="115"/>
      <c r="S184" s="115"/>
      <c r="T184" s="115"/>
      <c r="U184" s="115"/>
      <c r="V184" s="115"/>
    </row>
    <row r="185" spans="1:22" ht="15.75" hidden="1" customHeight="1">
      <c r="A185" s="103"/>
      <c r="B185" s="103"/>
      <c r="C185" s="126"/>
      <c r="D185" s="126"/>
      <c r="E185" s="126"/>
      <c r="F185" s="126"/>
      <c r="G185" s="126"/>
      <c r="H185" s="127"/>
      <c r="I185" s="127"/>
      <c r="J185" s="127"/>
      <c r="K185" s="127"/>
      <c r="L185" s="127"/>
      <c r="M185" s="125"/>
      <c r="N185" s="125"/>
      <c r="O185" s="125"/>
      <c r="P185" s="125"/>
      <c r="Q185" s="125"/>
      <c r="R185" s="115"/>
      <c r="S185" s="115"/>
      <c r="T185" s="115"/>
      <c r="U185" s="115"/>
      <c r="V185" s="115"/>
    </row>
    <row r="186" spans="1:22" ht="15.75" hidden="1" customHeight="1">
      <c r="A186" s="103"/>
      <c r="B186" s="103"/>
      <c r="C186" s="126"/>
      <c r="D186" s="126"/>
      <c r="E186" s="126"/>
      <c r="F186" s="126"/>
      <c r="G186" s="126"/>
      <c r="H186" s="127"/>
      <c r="I186" s="127"/>
      <c r="J186" s="127"/>
      <c r="K186" s="127"/>
      <c r="L186" s="127"/>
      <c r="M186" s="125"/>
      <c r="N186" s="125"/>
      <c r="O186" s="125"/>
      <c r="P186" s="125"/>
      <c r="Q186" s="125"/>
      <c r="R186" s="115"/>
      <c r="S186" s="115"/>
      <c r="T186" s="115"/>
      <c r="U186" s="115"/>
      <c r="V186" s="115"/>
    </row>
    <row r="187" spans="1:22" ht="15.75" hidden="1" customHeight="1">
      <c r="A187" s="103"/>
      <c r="B187" s="103"/>
      <c r="C187" s="126"/>
      <c r="D187" s="126"/>
      <c r="E187" s="126"/>
      <c r="F187" s="126"/>
      <c r="G187" s="126"/>
      <c r="H187" s="127"/>
      <c r="I187" s="127"/>
      <c r="J187" s="127"/>
      <c r="K187" s="127"/>
      <c r="L187" s="127"/>
      <c r="M187" s="125"/>
      <c r="N187" s="125"/>
      <c r="O187" s="125"/>
      <c r="P187" s="125"/>
      <c r="Q187" s="125"/>
      <c r="R187" s="115"/>
      <c r="S187" s="115"/>
      <c r="T187" s="115"/>
      <c r="U187" s="115"/>
      <c r="V187" s="115"/>
    </row>
    <row r="188" spans="1:22" ht="15.75" hidden="1" customHeight="1">
      <c r="A188" s="103"/>
      <c r="B188" s="103"/>
      <c r="C188" s="126"/>
      <c r="D188" s="126"/>
      <c r="E188" s="126"/>
      <c r="F188" s="126"/>
      <c r="G188" s="126"/>
      <c r="H188" s="127"/>
      <c r="I188" s="127"/>
      <c r="J188" s="127"/>
      <c r="K188" s="127"/>
      <c r="L188" s="127"/>
      <c r="M188" s="125"/>
      <c r="N188" s="125"/>
      <c r="O188" s="125"/>
      <c r="P188" s="125"/>
      <c r="Q188" s="125"/>
      <c r="R188" s="115"/>
      <c r="S188" s="115"/>
      <c r="T188" s="115"/>
      <c r="U188" s="115"/>
      <c r="V188" s="115"/>
    </row>
    <row r="189" spans="1:22" ht="15.75" hidden="1" customHeight="1">
      <c r="A189" s="103"/>
      <c r="B189" s="103"/>
      <c r="C189" s="126"/>
      <c r="D189" s="126"/>
      <c r="E189" s="126"/>
      <c r="F189" s="126"/>
      <c r="G189" s="126"/>
      <c r="H189" s="127"/>
      <c r="I189" s="127"/>
      <c r="J189" s="127"/>
      <c r="K189" s="127"/>
      <c r="L189" s="127"/>
      <c r="M189" s="125"/>
      <c r="N189" s="125"/>
      <c r="O189" s="125"/>
      <c r="P189" s="125"/>
      <c r="Q189" s="125"/>
      <c r="R189" s="115"/>
      <c r="S189" s="115"/>
      <c r="T189" s="115"/>
      <c r="U189" s="115"/>
      <c r="V189" s="115"/>
    </row>
    <row r="190" spans="1:22" ht="15.75" hidden="1" customHeight="1">
      <c r="A190" s="103"/>
      <c r="B190" s="103"/>
      <c r="C190" s="126"/>
      <c r="D190" s="126"/>
      <c r="E190" s="126"/>
      <c r="F190" s="126"/>
      <c r="G190" s="126"/>
      <c r="H190" s="127"/>
      <c r="I190" s="127"/>
      <c r="J190" s="127"/>
      <c r="K190" s="127"/>
      <c r="L190" s="127"/>
      <c r="M190" s="125"/>
      <c r="N190" s="125"/>
      <c r="O190" s="125"/>
      <c r="P190" s="125"/>
      <c r="Q190" s="125"/>
      <c r="R190" s="115"/>
      <c r="S190" s="115"/>
      <c r="T190" s="115"/>
      <c r="U190" s="115"/>
      <c r="V190" s="115"/>
    </row>
    <row r="191" spans="1:22" ht="15.75" hidden="1" customHeight="1">
      <c r="A191" s="103"/>
      <c r="B191" s="103"/>
      <c r="C191" s="126"/>
      <c r="D191" s="126"/>
      <c r="E191" s="126"/>
      <c r="F191" s="126"/>
      <c r="G191" s="126"/>
      <c r="H191" s="127"/>
      <c r="I191" s="127"/>
      <c r="J191" s="127"/>
      <c r="K191" s="127"/>
      <c r="L191" s="127"/>
      <c r="M191" s="125"/>
      <c r="N191" s="125"/>
      <c r="O191" s="125"/>
      <c r="P191" s="125"/>
      <c r="Q191" s="125"/>
      <c r="R191" s="115"/>
      <c r="S191" s="115"/>
      <c r="T191" s="115"/>
      <c r="U191" s="115"/>
      <c r="V191" s="115"/>
    </row>
    <row r="192" spans="1:22" ht="15.75" hidden="1" customHeight="1">
      <c r="A192" s="103"/>
      <c r="B192" s="103"/>
      <c r="C192" s="126"/>
      <c r="D192" s="126"/>
      <c r="E192" s="126"/>
      <c r="F192" s="126"/>
      <c r="G192" s="126"/>
      <c r="H192" s="127"/>
      <c r="I192" s="127"/>
      <c r="J192" s="127"/>
      <c r="K192" s="127"/>
      <c r="L192" s="127"/>
      <c r="M192" s="125"/>
      <c r="N192" s="125"/>
      <c r="O192" s="125"/>
      <c r="P192" s="125"/>
      <c r="Q192" s="125"/>
      <c r="R192" s="115"/>
      <c r="S192" s="115"/>
      <c r="T192" s="115"/>
      <c r="U192" s="115"/>
      <c r="V192" s="115"/>
    </row>
    <row r="193" spans="1:22" ht="15.75" hidden="1" customHeight="1">
      <c r="A193" s="103"/>
      <c r="B193" s="103"/>
      <c r="C193" s="126"/>
      <c r="D193" s="126"/>
      <c r="E193" s="126"/>
      <c r="F193" s="126"/>
      <c r="G193" s="126"/>
      <c r="H193" s="127"/>
      <c r="I193" s="127"/>
      <c r="J193" s="127"/>
      <c r="K193" s="127"/>
      <c r="L193" s="127"/>
      <c r="M193" s="125"/>
      <c r="N193" s="125"/>
      <c r="O193" s="125"/>
      <c r="P193" s="125"/>
      <c r="Q193" s="125"/>
      <c r="R193" s="115"/>
      <c r="S193" s="115"/>
      <c r="T193" s="115"/>
      <c r="U193" s="115"/>
      <c r="V193" s="115"/>
    </row>
    <row r="194" spans="1:22" ht="15.75" hidden="1" customHeight="1">
      <c r="A194" s="103"/>
      <c r="B194" s="103"/>
      <c r="C194" s="126"/>
      <c r="D194" s="126"/>
      <c r="E194" s="126"/>
      <c r="F194" s="126"/>
      <c r="G194" s="126"/>
      <c r="H194" s="127"/>
      <c r="I194" s="127"/>
      <c r="J194" s="127"/>
      <c r="K194" s="127"/>
      <c r="L194" s="127"/>
      <c r="M194" s="125"/>
      <c r="N194" s="125"/>
      <c r="O194" s="125"/>
      <c r="P194" s="125"/>
      <c r="Q194" s="125"/>
      <c r="R194" s="115"/>
      <c r="S194" s="115"/>
      <c r="T194" s="115"/>
      <c r="U194" s="115"/>
      <c r="V194" s="115"/>
    </row>
    <row r="195" spans="1:22" ht="15.75" hidden="1" customHeight="1">
      <c r="A195" s="103"/>
      <c r="B195" s="103"/>
      <c r="C195" s="126"/>
      <c r="D195" s="126"/>
      <c r="E195" s="126"/>
      <c r="F195" s="126"/>
      <c r="G195" s="126"/>
      <c r="H195" s="127"/>
      <c r="I195" s="127"/>
      <c r="J195" s="127"/>
      <c r="K195" s="127"/>
      <c r="L195" s="127"/>
      <c r="M195" s="125"/>
      <c r="N195" s="125"/>
      <c r="O195" s="125"/>
      <c r="P195" s="125"/>
      <c r="Q195" s="125"/>
      <c r="R195" s="115"/>
      <c r="S195" s="115"/>
      <c r="T195" s="115"/>
      <c r="U195" s="115"/>
      <c r="V195" s="115"/>
    </row>
    <row r="196" spans="1:22" ht="15.75" hidden="1" customHeight="1">
      <c r="A196" s="103"/>
      <c r="B196" s="103"/>
      <c r="C196" s="126"/>
      <c r="D196" s="126"/>
      <c r="E196" s="126"/>
      <c r="F196" s="126"/>
      <c r="G196" s="126"/>
      <c r="H196" s="127"/>
      <c r="I196" s="127"/>
      <c r="J196" s="127"/>
      <c r="K196" s="127"/>
      <c r="L196" s="127"/>
      <c r="M196" s="125"/>
      <c r="N196" s="125"/>
      <c r="O196" s="125"/>
      <c r="P196" s="125"/>
      <c r="Q196" s="125"/>
      <c r="R196" s="115"/>
      <c r="S196" s="115"/>
      <c r="T196" s="115"/>
      <c r="U196" s="115"/>
      <c r="V196" s="115"/>
    </row>
    <row r="197" spans="1:22" ht="15.75" hidden="1" customHeight="1">
      <c r="A197" s="103"/>
      <c r="B197" s="103"/>
      <c r="C197" s="126"/>
      <c r="D197" s="126"/>
      <c r="E197" s="126"/>
      <c r="F197" s="126"/>
      <c r="G197" s="126"/>
      <c r="H197" s="127"/>
      <c r="I197" s="127"/>
      <c r="J197" s="127"/>
      <c r="K197" s="127"/>
      <c r="L197" s="127"/>
      <c r="M197" s="125"/>
      <c r="N197" s="125"/>
      <c r="O197" s="125"/>
      <c r="P197" s="125"/>
      <c r="Q197" s="125"/>
      <c r="R197" s="115"/>
      <c r="S197" s="115"/>
      <c r="T197" s="115"/>
      <c r="U197" s="115"/>
      <c r="V197" s="115"/>
    </row>
    <row r="198" spans="1:22" ht="15.75" hidden="1" customHeight="1">
      <c r="A198" s="103"/>
      <c r="B198" s="103"/>
      <c r="C198" s="126"/>
      <c r="D198" s="126"/>
      <c r="E198" s="126"/>
      <c r="F198" s="126"/>
      <c r="G198" s="126"/>
      <c r="H198" s="127"/>
      <c r="I198" s="127"/>
      <c r="J198" s="127"/>
      <c r="K198" s="127"/>
      <c r="L198" s="127"/>
      <c r="M198" s="125"/>
      <c r="N198" s="125"/>
      <c r="O198" s="125"/>
      <c r="P198" s="125"/>
      <c r="Q198" s="125"/>
      <c r="R198" s="115"/>
      <c r="S198" s="115"/>
      <c r="T198" s="115"/>
      <c r="U198" s="115"/>
      <c r="V198" s="115"/>
    </row>
    <row r="199" spans="1:22" ht="15.75" hidden="1" customHeight="1">
      <c r="A199" s="103"/>
      <c r="B199" s="103"/>
      <c r="C199" s="126"/>
      <c r="D199" s="126"/>
      <c r="E199" s="126"/>
      <c r="F199" s="126"/>
      <c r="G199" s="126"/>
      <c r="H199" s="127"/>
      <c r="I199" s="127"/>
      <c r="J199" s="127"/>
      <c r="K199" s="127"/>
      <c r="L199" s="127"/>
      <c r="M199" s="125"/>
      <c r="N199" s="125"/>
      <c r="O199" s="125"/>
      <c r="P199" s="125"/>
      <c r="Q199" s="125"/>
      <c r="R199" s="115"/>
      <c r="S199" s="115"/>
      <c r="T199" s="115"/>
      <c r="U199" s="115"/>
      <c r="V199" s="115"/>
    </row>
    <row r="200" spans="1:22" ht="15.75" hidden="1" customHeight="1">
      <c r="A200" s="103"/>
      <c r="B200" s="103"/>
      <c r="C200" s="126"/>
      <c r="D200" s="126"/>
      <c r="E200" s="126"/>
      <c r="F200" s="126"/>
      <c r="G200" s="126"/>
      <c r="H200" s="127"/>
      <c r="I200" s="127"/>
      <c r="J200" s="127"/>
      <c r="K200" s="127"/>
      <c r="L200" s="127"/>
      <c r="M200" s="125"/>
      <c r="N200" s="125"/>
      <c r="O200" s="125"/>
      <c r="P200" s="125"/>
      <c r="Q200" s="125"/>
      <c r="R200" s="115"/>
      <c r="S200" s="115"/>
      <c r="T200" s="115"/>
      <c r="U200" s="115"/>
      <c r="V200" s="115"/>
    </row>
    <row r="201" spans="1:22" ht="15.75" hidden="1" customHeight="1">
      <c r="A201" s="103"/>
      <c r="B201" s="103"/>
      <c r="C201" s="126"/>
      <c r="D201" s="126"/>
      <c r="E201" s="126"/>
      <c r="F201" s="126"/>
      <c r="G201" s="126"/>
      <c r="H201" s="127"/>
      <c r="I201" s="127"/>
      <c r="J201" s="127"/>
      <c r="K201" s="127"/>
      <c r="L201" s="127"/>
      <c r="M201" s="125"/>
      <c r="N201" s="125"/>
      <c r="O201" s="125"/>
      <c r="P201" s="125"/>
      <c r="Q201" s="125"/>
      <c r="R201" s="115"/>
      <c r="S201" s="115"/>
      <c r="T201" s="115"/>
      <c r="U201" s="115"/>
      <c r="V201" s="115"/>
    </row>
    <row r="202" spans="1:22" ht="15.75" hidden="1" customHeight="1">
      <c r="A202" s="103"/>
      <c r="B202" s="103"/>
      <c r="C202" s="126"/>
      <c r="D202" s="126"/>
      <c r="E202" s="126"/>
      <c r="F202" s="126"/>
      <c r="G202" s="126"/>
      <c r="H202" s="127"/>
      <c r="I202" s="127"/>
      <c r="J202" s="127"/>
      <c r="K202" s="127"/>
      <c r="L202" s="127"/>
      <c r="M202" s="125"/>
      <c r="N202" s="125"/>
      <c r="O202" s="125"/>
      <c r="P202" s="125"/>
      <c r="Q202" s="125"/>
      <c r="R202" s="115"/>
      <c r="S202" s="115"/>
      <c r="T202" s="115"/>
      <c r="U202" s="115"/>
      <c r="V202" s="115"/>
    </row>
    <row r="203" spans="1:22" ht="15.75" hidden="1" customHeight="1">
      <c r="A203" s="103"/>
      <c r="B203" s="103"/>
      <c r="C203" s="126"/>
      <c r="D203" s="126"/>
      <c r="E203" s="126"/>
      <c r="F203" s="126"/>
      <c r="G203" s="126"/>
      <c r="H203" s="127"/>
      <c r="I203" s="127"/>
      <c r="J203" s="127"/>
      <c r="K203" s="127"/>
      <c r="L203" s="127"/>
      <c r="M203" s="125"/>
      <c r="N203" s="125"/>
      <c r="O203" s="125"/>
      <c r="P203" s="125"/>
      <c r="Q203" s="125"/>
      <c r="R203" s="115"/>
      <c r="S203" s="115"/>
      <c r="T203" s="115"/>
      <c r="U203" s="115"/>
      <c r="V203" s="115"/>
    </row>
    <row r="204" spans="1:22" ht="15.75" hidden="1" customHeight="1">
      <c r="A204" s="103"/>
      <c r="B204" s="103"/>
      <c r="C204" s="126"/>
      <c r="D204" s="126"/>
      <c r="E204" s="126"/>
      <c r="F204" s="126"/>
      <c r="G204" s="126"/>
      <c r="H204" s="127"/>
      <c r="I204" s="127"/>
      <c r="J204" s="127"/>
      <c r="K204" s="127"/>
      <c r="L204" s="127"/>
      <c r="M204" s="125"/>
      <c r="N204" s="125"/>
      <c r="O204" s="125"/>
      <c r="P204" s="125"/>
      <c r="Q204" s="125"/>
      <c r="R204" s="115"/>
      <c r="S204" s="115"/>
      <c r="T204" s="115"/>
      <c r="U204" s="115"/>
      <c r="V204" s="115"/>
    </row>
    <row r="205" spans="1:22" ht="15.75" hidden="1" customHeight="1">
      <c r="A205" s="103"/>
      <c r="B205" s="103"/>
      <c r="C205" s="126"/>
      <c r="D205" s="126"/>
      <c r="E205" s="126"/>
      <c r="F205" s="126"/>
      <c r="G205" s="126"/>
      <c r="H205" s="127"/>
      <c r="I205" s="127"/>
      <c r="J205" s="127"/>
      <c r="K205" s="127"/>
      <c r="L205" s="127"/>
      <c r="M205" s="125"/>
      <c r="N205" s="125"/>
      <c r="O205" s="125"/>
      <c r="P205" s="125"/>
      <c r="Q205" s="125"/>
      <c r="R205" s="115"/>
      <c r="S205" s="115"/>
      <c r="T205" s="115"/>
      <c r="U205" s="115"/>
      <c r="V205" s="115"/>
    </row>
    <row r="206" spans="1:22" ht="15.75" hidden="1" customHeight="1">
      <c r="A206" s="103"/>
      <c r="B206" s="103"/>
      <c r="C206" s="126"/>
      <c r="D206" s="126"/>
      <c r="E206" s="126"/>
      <c r="F206" s="126"/>
      <c r="G206" s="126"/>
      <c r="H206" s="127"/>
      <c r="I206" s="127"/>
      <c r="J206" s="127"/>
      <c r="K206" s="127"/>
      <c r="L206" s="127"/>
      <c r="M206" s="125"/>
      <c r="N206" s="125"/>
      <c r="O206" s="125"/>
      <c r="P206" s="125"/>
      <c r="Q206" s="125"/>
      <c r="R206" s="115"/>
      <c r="S206" s="115"/>
      <c r="T206" s="115"/>
      <c r="U206" s="115"/>
      <c r="V206" s="115"/>
    </row>
    <row r="207" spans="1:22" ht="15.75" hidden="1" customHeight="1">
      <c r="A207" s="103"/>
      <c r="B207" s="103"/>
      <c r="C207" s="126"/>
      <c r="D207" s="126"/>
      <c r="E207" s="126"/>
      <c r="F207" s="126"/>
      <c r="G207" s="126"/>
      <c r="H207" s="127"/>
      <c r="I207" s="127"/>
      <c r="J207" s="127"/>
      <c r="K207" s="127"/>
      <c r="L207" s="127"/>
      <c r="M207" s="125"/>
      <c r="N207" s="125"/>
      <c r="O207" s="125"/>
      <c r="P207" s="125"/>
      <c r="Q207" s="125"/>
      <c r="R207" s="115"/>
      <c r="S207" s="115"/>
      <c r="T207" s="115"/>
      <c r="U207" s="115"/>
      <c r="V207" s="115"/>
    </row>
    <row r="208" spans="1:22" ht="15.75" hidden="1" customHeight="1">
      <c r="A208" s="103"/>
      <c r="B208" s="103"/>
      <c r="C208" s="126"/>
      <c r="D208" s="126"/>
      <c r="E208" s="126"/>
      <c r="F208" s="126"/>
      <c r="G208" s="126"/>
      <c r="H208" s="127"/>
      <c r="I208" s="127"/>
      <c r="J208" s="127"/>
      <c r="K208" s="127"/>
      <c r="L208" s="127"/>
      <c r="M208" s="125"/>
      <c r="N208" s="125"/>
      <c r="O208" s="125"/>
      <c r="P208" s="125"/>
      <c r="Q208" s="125"/>
      <c r="R208" s="115"/>
      <c r="S208" s="115"/>
      <c r="T208" s="115"/>
      <c r="U208" s="115"/>
      <c r="V208" s="115"/>
    </row>
    <row r="209" spans="1:22" ht="15.75" hidden="1" customHeight="1">
      <c r="A209" s="103"/>
      <c r="B209" s="103"/>
      <c r="C209" s="126"/>
      <c r="D209" s="126"/>
      <c r="E209" s="126"/>
      <c r="F209" s="126"/>
      <c r="G209" s="126"/>
      <c r="H209" s="127"/>
      <c r="I209" s="127"/>
      <c r="J209" s="127"/>
      <c r="K209" s="127"/>
      <c r="L209" s="127"/>
      <c r="M209" s="125"/>
      <c r="N209" s="125"/>
      <c r="O209" s="125"/>
      <c r="P209" s="125"/>
      <c r="Q209" s="125"/>
      <c r="R209" s="115"/>
      <c r="S209" s="115"/>
      <c r="T209" s="115"/>
      <c r="U209" s="115"/>
      <c r="V209" s="115"/>
    </row>
    <row r="210" spans="1:22" ht="15.75" hidden="1" customHeight="1">
      <c r="A210" s="103"/>
      <c r="B210" s="103"/>
      <c r="C210" s="126"/>
      <c r="D210" s="126"/>
      <c r="E210" s="126"/>
      <c r="F210" s="126"/>
      <c r="G210" s="126"/>
      <c r="H210" s="127"/>
      <c r="I210" s="127"/>
      <c r="J210" s="127"/>
      <c r="K210" s="127"/>
      <c r="L210" s="127"/>
      <c r="M210" s="125"/>
      <c r="N210" s="125"/>
      <c r="O210" s="125"/>
      <c r="P210" s="125"/>
      <c r="Q210" s="125"/>
      <c r="R210" s="115"/>
      <c r="S210" s="115"/>
      <c r="T210" s="115"/>
      <c r="U210" s="115"/>
      <c r="V210" s="115"/>
    </row>
    <row r="211" spans="1:22" ht="15.75" hidden="1" customHeight="1">
      <c r="A211" s="103"/>
      <c r="B211" s="103"/>
      <c r="C211" s="126"/>
      <c r="D211" s="126"/>
      <c r="E211" s="126"/>
      <c r="F211" s="126"/>
      <c r="G211" s="126"/>
      <c r="H211" s="127"/>
      <c r="I211" s="127"/>
      <c r="J211" s="127"/>
      <c r="K211" s="127"/>
      <c r="L211" s="127"/>
      <c r="M211" s="125"/>
      <c r="N211" s="125"/>
      <c r="O211" s="125"/>
      <c r="P211" s="125"/>
      <c r="Q211" s="125"/>
      <c r="R211" s="115"/>
      <c r="S211" s="115"/>
      <c r="T211" s="115"/>
      <c r="U211" s="115"/>
      <c r="V211" s="115"/>
    </row>
    <row r="212" spans="1:22" ht="15.75" hidden="1" customHeight="1">
      <c r="A212" s="103"/>
      <c r="B212" s="103"/>
      <c r="C212" s="126"/>
      <c r="D212" s="126"/>
      <c r="E212" s="126"/>
      <c r="F212" s="126"/>
      <c r="G212" s="126"/>
      <c r="H212" s="127"/>
      <c r="I212" s="127"/>
      <c r="J212" s="127"/>
      <c r="K212" s="127"/>
      <c r="L212" s="127"/>
      <c r="M212" s="125"/>
      <c r="N212" s="125"/>
      <c r="O212" s="125"/>
      <c r="P212" s="125"/>
      <c r="Q212" s="125"/>
      <c r="R212" s="115"/>
      <c r="S212" s="115"/>
      <c r="T212" s="115"/>
      <c r="U212" s="115"/>
      <c r="V212" s="115"/>
    </row>
    <row r="213" spans="1:22" ht="15.75" hidden="1" customHeight="1">
      <c r="A213" s="103"/>
      <c r="B213" s="103"/>
      <c r="C213" s="126"/>
      <c r="D213" s="126"/>
      <c r="E213" s="126"/>
      <c r="F213" s="126"/>
      <c r="G213" s="126"/>
      <c r="H213" s="127"/>
      <c r="I213" s="127"/>
      <c r="J213" s="127"/>
      <c r="K213" s="127"/>
      <c r="L213" s="127"/>
      <c r="M213" s="125"/>
      <c r="N213" s="125"/>
      <c r="O213" s="125"/>
      <c r="P213" s="125"/>
      <c r="Q213" s="125"/>
      <c r="R213" s="115"/>
      <c r="S213" s="115"/>
      <c r="T213" s="115"/>
      <c r="U213" s="115"/>
      <c r="V213" s="115"/>
    </row>
    <row r="214" spans="1:22" ht="15.75" hidden="1" customHeight="1">
      <c r="A214" s="103"/>
      <c r="B214" s="103"/>
      <c r="C214" s="126"/>
      <c r="D214" s="126"/>
      <c r="E214" s="126"/>
      <c r="F214" s="126"/>
      <c r="G214" s="126"/>
      <c r="H214" s="127"/>
      <c r="I214" s="127"/>
      <c r="J214" s="127"/>
      <c r="K214" s="127"/>
      <c r="L214" s="127"/>
      <c r="M214" s="125"/>
      <c r="N214" s="125"/>
      <c r="O214" s="125"/>
      <c r="P214" s="125"/>
      <c r="Q214" s="125"/>
      <c r="R214" s="115"/>
      <c r="S214" s="115"/>
      <c r="T214" s="115"/>
      <c r="U214" s="115"/>
      <c r="V214" s="115"/>
    </row>
    <row r="215" spans="1:22" ht="15.75" hidden="1" customHeight="1">
      <c r="A215" s="103"/>
      <c r="B215" s="103"/>
      <c r="C215" s="126"/>
      <c r="D215" s="126"/>
      <c r="E215" s="126"/>
      <c r="F215" s="126"/>
      <c r="G215" s="126"/>
      <c r="H215" s="127"/>
      <c r="I215" s="127"/>
      <c r="J215" s="127"/>
      <c r="K215" s="127"/>
      <c r="L215" s="127"/>
      <c r="M215" s="125"/>
      <c r="N215" s="125"/>
      <c r="O215" s="125"/>
      <c r="P215" s="125"/>
      <c r="Q215" s="125"/>
      <c r="R215" s="115"/>
      <c r="S215" s="115"/>
      <c r="T215" s="115"/>
      <c r="U215" s="115"/>
      <c r="V215" s="115"/>
    </row>
    <row r="216" spans="1:22" ht="15.75" hidden="1" customHeight="1">
      <c r="A216" s="103"/>
      <c r="B216" s="103"/>
      <c r="C216" s="126"/>
      <c r="D216" s="126"/>
      <c r="E216" s="126"/>
      <c r="F216" s="126"/>
      <c r="G216" s="126"/>
      <c r="H216" s="127"/>
      <c r="I216" s="127"/>
      <c r="J216" s="127"/>
      <c r="K216" s="127"/>
      <c r="L216" s="127"/>
      <c r="M216" s="125"/>
      <c r="N216" s="125"/>
      <c r="O216" s="125"/>
      <c r="P216" s="125"/>
      <c r="Q216" s="125"/>
      <c r="R216" s="115"/>
      <c r="S216" s="115"/>
      <c r="T216" s="115"/>
      <c r="U216" s="115"/>
      <c r="V216" s="115"/>
    </row>
    <row r="217" spans="1:22" ht="15.75" hidden="1" customHeight="1">
      <c r="A217" s="103"/>
      <c r="B217" s="103"/>
      <c r="C217" s="126"/>
      <c r="D217" s="126"/>
      <c r="E217" s="126"/>
      <c r="F217" s="126"/>
      <c r="G217" s="126"/>
      <c r="H217" s="127"/>
      <c r="I217" s="127"/>
      <c r="J217" s="127"/>
      <c r="K217" s="127"/>
      <c r="L217" s="127"/>
      <c r="M217" s="125"/>
      <c r="N217" s="125"/>
      <c r="O217" s="125"/>
      <c r="P217" s="125"/>
      <c r="Q217" s="125"/>
      <c r="R217" s="115"/>
      <c r="S217" s="115"/>
      <c r="T217" s="115"/>
      <c r="U217" s="115"/>
      <c r="V217" s="115"/>
    </row>
    <row r="218" spans="1:22" ht="15.75" hidden="1" customHeight="1">
      <c r="A218" s="103"/>
      <c r="B218" s="103"/>
      <c r="C218" s="126"/>
      <c r="D218" s="126"/>
      <c r="E218" s="126"/>
      <c r="F218" s="126"/>
      <c r="G218" s="126"/>
      <c r="H218" s="127"/>
      <c r="I218" s="127"/>
      <c r="J218" s="127"/>
      <c r="K218" s="127"/>
      <c r="L218" s="127"/>
      <c r="M218" s="125"/>
      <c r="N218" s="125"/>
      <c r="O218" s="125"/>
      <c r="P218" s="125"/>
      <c r="Q218" s="125"/>
      <c r="R218" s="115"/>
      <c r="S218" s="115"/>
      <c r="T218" s="115"/>
      <c r="U218" s="115"/>
      <c r="V218" s="115"/>
    </row>
    <row r="219" spans="1:22" ht="15.75" hidden="1" customHeight="1">
      <c r="A219" s="103"/>
      <c r="B219" s="103"/>
      <c r="C219" s="126"/>
      <c r="D219" s="126"/>
      <c r="E219" s="126"/>
      <c r="F219" s="126"/>
      <c r="G219" s="126"/>
      <c r="H219" s="127"/>
      <c r="I219" s="127"/>
      <c r="J219" s="127"/>
      <c r="K219" s="127"/>
      <c r="L219" s="127"/>
      <c r="M219" s="125"/>
      <c r="N219" s="125"/>
      <c r="O219" s="125"/>
      <c r="P219" s="125"/>
      <c r="Q219" s="125"/>
      <c r="R219" s="115"/>
      <c r="S219" s="115"/>
      <c r="T219" s="115"/>
      <c r="U219" s="115"/>
      <c r="V219" s="115"/>
    </row>
    <row r="220" spans="1:22" ht="15.75" hidden="1" customHeight="1">
      <c r="A220" s="103"/>
      <c r="B220" s="103"/>
      <c r="C220" s="126"/>
      <c r="D220" s="126"/>
      <c r="E220" s="126"/>
      <c r="F220" s="126"/>
      <c r="G220" s="126"/>
      <c r="H220" s="127"/>
      <c r="I220" s="127"/>
      <c r="J220" s="127"/>
      <c r="K220" s="127"/>
      <c r="L220" s="127"/>
      <c r="M220" s="125"/>
      <c r="N220" s="125"/>
      <c r="O220" s="125"/>
      <c r="P220" s="125"/>
      <c r="Q220" s="125"/>
      <c r="R220" s="115"/>
      <c r="S220" s="115"/>
      <c r="T220" s="115"/>
      <c r="U220" s="115"/>
      <c r="V220" s="115"/>
    </row>
    <row r="221" spans="1:22" ht="15.75" hidden="1" customHeight="1">
      <c r="A221" s="103"/>
      <c r="B221" s="103"/>
      <c r="C221" s="126"/>
      <c r="D221" s="126"/>
      <c r="E221" s="126"/>
      <c r="F221" s="126"/>
      <c r="G221" s="126"/>
      <c r="H221" s="127"/>
      <c r="I221" s="127"/>
      <c r="J221" s="127"/>
      <c r="K221" s="127"/>
      <c r="L221" s="127"/>
      <c r="M221" s="125"/>
      <c r="N221" s="125"/>
      <c r="O221" s="125"/>
      <c r="P221" s="125"/>
      <c r="Q221" s="125"/>
      <c r="R221" s="115"/>
      <c r="S221" s="115"/>
      <c r="T221" s="115"/>
      <c r="U221" s="115"/>
      <c r="V221" s="115"/>
    </row>
    <row r="222" spans="1:22" ht="15.75" hidden="1" customHeight="1">
      <c r="A222" s="103"/>
      <c r="B222" s="103"/>
      <c r="C222" s="126"/>
      <c r="D222" s="126"/>
      <c r="E222" s="126"/>
      <c r="F222" s="126"/>
      <c r="G222" s="126"/>
      <c r="H222" s="127"/>
      <c r="I222" s="127"/>
      <c r="J222" s="127"/>
      <c r="K222" s="127"/>
      <c r="L222" s="127"/>
      <c r="M222" s="125"/>
      <c r="N222" s="125"/>
      <c r="O222" s="125"/>
      <c r="P222" s="125"/>
      <c r="Q222" s="125"/>
      <c r="R222" s="115"/>
      <c r="S222" s="115"/>
      <c r="T222" s="115"/>
      <c r="U222" s="115"/>
      <c r="V222" s="115"/>
    </row>
    <row r="223" spans="1:22" ht="15.75" hidden="1" customHeight="1">
      <c r="A223" s="103"/>
      <c r="B223" s="103"/>
      <c r="C223" s="126"/>
      <c r="D223" s="126"/>
      <c r="E223" s="126"/>
      <c r="F223" s="126"/>
      <c r="G223" s="126"/>
      <c r="H223" s="127"/>
      <c r="I223" s="127"/>
      <c r="J223" s="127"/>
      <c r="K223" s="127"/>
      <c r="L223" s="127"/>
      <c r="M223" s="125"/>
      <c r="N223" s="125"/>
      <c r="O223" s="125"/>
      <c r="P223" s="125"/>
      <c r="Q223" s="125"/>
      <c r="R223" s="115"/>
      <c r="S223" s="115"/>
      <c r="T223" s="115"/>
      <c r="U223" s="115"/>
      <c r="V223" s="115"/>
    </row>
    <row r="224" spans="1:22" ht="15.75" hidden="1" customHeight="1">
      <c r="A224" s="103"/>
      <c r="B224" s="103"/>
      <c r="C224" s="126"/>
      <c r="D224" s="126"/>
      <c r="E224" s="126"/>
      <c r="F224" s="126"/>
      <c r="G224" s="126"/>
      <c r="H224" s="127"/>
      <c r="I224" s="127"/>
      <c r="J224" s="127"/>
      <c r="K224" s="127"/>
      <c r="L224" s="127"/>
      <c r="M224" s="125"/>
      <c r="N224" s="125"/>
      <c r="O224" s="125"/>
      <c r="P224" s="125"/>
      <c r="Q224" s="125"/>
      <c r="R224" s="115"/>
      <c r="S224" s="115"/>
      <c r="T224" s="115"/>
      <c r="U224" s="115"/>
      <c r="V224" s="115"/>
    </row>
    <row r="225" spans="1:22" ht="15.75" hidden="1" customHeight="1">
      <c r="A225" s="103"/>
      <c r="B225" s="103"/>
      <c r="C225" s="126"/>
      <c r="D225" s="126"/>
      <c r="E225" s="126"/>
      <c r="F225" s="126"/>
      <c r="G225" s="126"/>
      <c r="H225" s="127"/>
      <c r="I225" s="127"/>
      <c r="J225" s="127"/>
      <c r="K225" s="127"/>
      <c r="L225" s="127"/>
      <c r="M225" s="125"/>
      <c r="N225" s="125"/>
      <c r="O225" s="125"/>
      <c r="P225" s="125"/>
      <c r="Q225" s="125"/>
      <c r="R225" s="115"/>
      <c r="S225" s="115"/>
      <c r="T225" s="115"/>
      <c r="U225" s="115"/>
      <c r="V225" s="115"/>
    </row>
    <row r="226" spans="1:22" ht="15.75" hidden="1" customHeight="1">
      <c r="A226" s="103"/>
      <c r="B226" s="103"/>
      <c r="C226" s="126"/>
      <c r="D226" s="126"/>
      <c r="E226" s="126"/>
      <c r="F226" s="126"/>
      <c r="G226" s="126"/>
      <c r="H226" s="127"/>
      <c r="I226" s="127"/>
      <c r="J226" s="127"/>
      <c r="K226" s="127"/>
      <c r="L226" s="127"/>
      <c r="M226" s="125"/>
      <c r="N226" s="125"/>
      <c r="O226" s="125"/>
      <c r="P226" s="125"/>
      <c r="Q226" s="125"/>
      <c r="R226" s="115"/>
      <c r="S226" s="115"/>
      <c r="T226" s="115"/>
      <c r="U226" s="115"/>
      <c r="V226" s="115"/>
    </row>
    <row r="227" spans="1:22" ht="15.75" hidden="1" customHeight="1">
      <c r="A227" s="103"/>
      <c r="B227" s="103"/>
      <c r="C227" s="126"/>
      <c r="D227" s="126"/>
      <c r="E227" s="126"/>
      <c r="F227" s="126"/>
      <c r="G227" s="126"/>
      <c r="H227" s="127"/>
      <c r="I227" s="127"/>
      <c r="J227" s="127"/>
      <c r="K227" s="127"/>
      <c r="L227" s="127"/>
      <c r="M227" s="125"/>
      <c r="N227" s="125"/>
      <c r="O227" s="125"/>
      <c r="P227" s="125"/>
      <c r="Q227" s="125"/>
      <c r="R227" s="115"/>
      <c r="S227" s="115"/>
      <c r="T227" s="115"/>
      <c r="U227" s="115"/>
      <c r="V227" s="115"/>
    </row>
    <row r="228" spans="1:22" ht="15.75" hidden="1" customHeight="1">
      <c r="A228" s="103"/>
      <c r="B228" s="103"/>
      <c r="C228" s="126"/>
      <c r="D228" s="126"/>
      <c r="E228" s="126"/>
      <c r="F228" s="126"/>
      <c r="G228" s="126"/>
      <c r="H228" s="127"/>
      <c r="I228" s="127"/>
      <c r="J228" s="127"/>
      <c r="K228" s="127"/>
      <c r="L228" s="127"/>
      <c r="M228" s="125"/>
      <c r="N228" s="125"/>
      <c r="O228" s="125"/>
      <c r="P228" s="125"/>
      <c r="Q228" s="125"/>
      <c r="R228" s="115"/>
      <c r="S228" s="115"/>
      <c r="T228" s="115"/>
      <c r="U228" s="115"/>
      <c r="V228" s="115"/>
    </row>
    <row r="229" spans="1:22" ht="15.75" hidden="1" customHeight="1">
      <c r="A229" s="103"/>
      <c r="B229" s="103"/>
      <c r="C229" s="126"/>
      <c r="D229" s="126"/>
      <c r="E229" s="126"/>
      <c r="F229" s="126"/>
      <c r="G229" s="126"/>
      <c r="H229" s="127"/>
      <c r="I229" s="127"/>
      <c r="J229" s="127"/>
      <c r="K229" s="127"/>
      <c r="L229" s="127"/>
      <c r="M229" s="125"/>
      <c r="N229" s="125"/>
      <c r="O229" s="125"/>
      <c r="P229" s="125"/>
      <c r="Q229" s="125"/>
      <c r="R229" s="115"/>
      <c r="S229" s="115"/>
      <c r="T229" s="115"/>
      <c r="U229" s="115"/>
      <c r="V229" s="115"/>
    </row>
    <row r="230" spans="1:22" ht="15.75" hidden="1" customHeight="1">
      <c r="A230" s="103"/>
      <c r="B230" s="103"/>
      <c r="C230" s="126"/>
      <c r="D230" s="126"/>
      <c r="E230" s="126"/>
      <c r="F230" s="126"/>
      <c r="G230" s="126"/>
      <c r="H230" s="127"/>
      <c r="I230" s="127"/>
      <c r="J230" s="127"/>
      <c r="K230" s="127"/>
      <c r="L230" s="127"/>
      <c r="M230" s="125"/>
      <c r="N230" s="125"/>
      <c r="O230" s="125"/>
      <c r="P230" s="125"/>
      <c r="Q230" s="125"/>
      <c r="R230" s="115"/>
      <c r="S230" s="115"/>
      <c r="T230" s="115"/>
      <c r="U230" s="115"/>
      <c r="V230" s="115"/>
    </row>
    <row r="231" spans="1:22" ht="15.75" hidden="1" customHeight="1">
      <c r="A231" s="103"/>
      <c r="B231" s="103"/>
      <c r="C231" s="126"/>
      <c r="D231" s="126"/>
      <c r="E231" s="126"/>
      <c r="F231" s="126"/>
      <c r="G231" s="126"/>
      <c r="H231" s="127"/>
      <c r="I231" s="127"/>
      <c r="J231" s="127"/>
      <c r="K231" s="127"/>
      <c r="L231" s="127"/>
      <c r="M231" s="125"/>
      <c r="N231" s="125"/>
      <c r="O231" s="125"/>
      <c r="P231" s="125"/>
      <c r="Q231" s="125"/>
      <c r="R231" s="115"/>
      <c r="S231" s="115"/>
      <c r="T231" s="115"/>
      <c r="U231" s="115"/>
      <c r="V231" s="115"/>
    </row>
    <row r="232" spans="1:22" ht="15.75" hidden="1" customHeight="1">
      <c r="A232" s="103"/>
      <c r="B232" s="103"/>
      <c r="C232" s="126"/>
      <c r="D232" s="126"/>
      <c r="E232" s="126"/>
      <c r="F232" s="126"/>
      <c r="G232" s="126"/>
      <c r="H232" s="127"/>
      <c r="I232" s="127"/>
      <c r="J232" s="127"/>
      <c r="K232" s="127"/>
      <c r="L232" s="127"/>
      <c r="M232" s="125"/>
      <c r="N232" s="125"/>
      <c r="O232" s="125"/>
      <c r="P232" s="125"/>
      <c r="Q232" s="125"/>
      <c r="R232" s="115"/>
      <c r="S232" s="115"/>
      <c r="T232" s="115"/>
      <c r="U232" s="115"/>
      <c r="V232" s="115"/>
    </row>
    <row r="233" spans="1:22" ht="15.75" hidden="1" customHeight="1">
      <c r="A233" s="103"/>
      <c r="B233" s="103"/>
      <c r="C233" s="126"/>
      <c r="D233" s="126"/>
      <c r="E233" s="126"/>
      <c r="F233" s="126"/>
      <c r="G233" s="126"/>
      <c r="H233" s="127"/>
      <c r="I233" s="127"/>
      <c r="J233" s="127"/>
      <c r="K233" s="127"/>
      <c r="L233" s="127"/>
      <c r="M233" s="125"/>
      <c r="N233" s="125"/>
      <c r="O233" s="125"/>
      <c r="P233" s="125"/>
      <c r="Q233" s="125"/>
      <c r="R233" s="115"/>
      <c r="S233" s="115"/>
      <c r="T233" s="115"/>
      <c r="U233" s="115"/>
      <c r="V233" s="115"/>
    </row>
    <row r="234" spans="1:22" ht="15.75" hidden="1" customHeight="1">
      <c r="A234" s="103"/>
      <c r="B234" s="103"/>
      <c r="C234" s="126"/>
      <c r="D234" s="126"/>
      <c r="E234" s="126"/>
      <c r="F234" s="126"/>
      <c r="G234" s="126"/>
      <c r="H234" s="127"/>
      <c r="I234" s="127"/>
      <c r="J234" s="127"/>
      <c r="K234" s="127"/>
      <c r="L234" s="127"/>
      <c r="M234" s="125"/>
      <c r="N234" s="125"/>
      <c r="O234" s="125"/>
      <c r="P234" s="125"/>
      <c r="Q234" s="125"/>
      <c r="R234" s="115"/>
      <c r="S234" s="115"/>
      <c r="T234" s="115"/>
      <c r="U234" s="115"/>
      <c r="V234" s="115"/>
    </row>
    <row r="235" spans="1:22" ht="15.75" hidden="1" customHeight="1">
      <c r="A235" s="103"/>
      <c r="B235" s="103"/>
      <c r="C235" s="126"/>
      <c r="D235" s="126"/>
      <c r="E235" s="126"/>
      <c r="F235" s="126"/>
      <c r="G235" s="126"/>
      <c r="H235" s="127"/>
      <c r="I235" s="127"/>
      <c r="J235" s="127"/>
      <c r="K235" s="127"/>
      <c r="L235" s="127"/>
      <c r="M235" s="125"/>
      <c r="N235" s="125"/>
      <c r="O235" s="125"/>
      <c r="P235" s="125"/>
      <c r="Q235" s="125"/>
      <c r="R235" s="115"/>
      <c r="S235" s="115"/>
      <c r="T235" s="115"/>
      <c r="U235" s="115"/>
      <c r="V235" s="115"/>
    </row>
    <row r="236" spans="1:22" ht="15.75" hidden="1" customHeight="1">
      <c r="A236" s="103"/>
      <c r="B236" s="103"/>
      <c r="C236" s="126"/>
      <c r="D236" s="126"/>
      <c r="E236" s="126"/>
      <c r="F236" s="126"/>
      <c r="G236" s="126"/>
      <c r="H236" s="127"/>
      <c r="I236" s="127"/>
      <c r="J236" s="127"/>
      <c r="K236" s="127"/>
      <c r="L236" s="127"/>
      <c r="M236" s="125"/>
      <c r="N236" s="125"/>
      <c r="O236" s="125"/>
      <c r="P236" s="125"/>
      <c r="Q236" s="125"/>
      <c r="R236" s="115"/>
      <c r="S236" s="115"/>
      <c r="T236" s="115"/>
      <c r="U236" s="115"/>
      <c r="V236" s="115"/>
    </row>
    <row r="237" spans="1:22" ht="15.75" hidden="1" customHeight="1">
      <c r="A237" s="103"/>
      <c r="B237" s="103"/>
      <c r="C237" s="126"/>
      <c r="D237" s="126"/>
      <c r="E237" s="126"/>
      <c r="F237" s="126"/>
      <c r="G237" s="126"/>
      <c r="H237" s="127"/>
      <c r="I237" s="127"/>
      <c r="J237" s="127"/>
      <c r="K237" s="127"/>
      <c r="L237" s="127"/>
      <c r="M237" s="125"/>
      <c r="N237" s="125"/>
      <c r="O237" s="125"/>
      <c r="P237" s="125"/>
      <c r="Q237" s="125"/>
      <c r="R237" s="115"/>
      <c r="S237" s="115"/>
      <c r="T237" s="115"/>
      <c r="U237" s="115"/>
      <c r="V237" s="115"/>
    </row>
    <row r="238" spans="1:22" ht="15.75" hidden="1" customHeight="1">
      <c r="A238" s="103"/>
      <c r="B238" s="103"/>
      <c r="C238" s="126"/>
      <c r="D238" s="126"/>
      <c r="E238" s="126"/>
      <c r="F238" s="126"/>
      <c r="G238" s="126"/>
      <c r="H238" s="127"/>
      <c r="I238" s="127"/>
      <c r="J238" s="127"/>
      <c r="K238" s="127"/>
      <c r="L238" s="127"/>
      <c r="M238" s="125"/>
      <c r="N238" s="125"/>
      <c r="O238" s="125"/>
      <c r="P238" s="125"/>
      <c r="Q238" s="125"/>
      <c r="R238" s="115"/>
      <c r="S238" s="115"/>
      <c r="T238" s="115"/>
      <c r="U238" s="115"/>
      <c r="V238" s="115"/>
    </row>
    <row r="239" spans="1:22" ht="15.75" hidden="1" customHeight="1">
      <c r="A239" s="103"/>
      <c r="B239" s="103"/>
      <c r="C239" s="126"/>
      <c r="D239" s="126"/>
      <c r="E239" s="126"/>
      <c r="F239" s="126"/>
      <c r="G239" s="126"/>
      <c r="H239" s="127"/>
      <c r="I239" s="127"/>
      <c r="J239" s="127"/>
      <c r="K239" s="127"/>
      <c r="L239" s="127"/>
      <c r="M239" s="125"/>
      <c r="N239" s="125"/>
      <c r="O239" s="125"/>
      <c r="P239" s="125"/>
      <c r="Q239" s="125"/>
      <c r="R239" s="115"/>
      <c r="S239" s="115"/>
      <c r="T239" s="115"/>
      <c r="U239" s="115"/>
      <c r="V239" s="115"/>
    </row>
    <row r="240" spans="1:22" ht="15.75" hidden="1" customHeight="1">
      <c r="A240" s="103"/>
      <c r="B240" s="103"/>
      <c r="C240" s="126"/>
      <c r="D240" s="126"/>
      <c r="E240" s="126"/>
      <c r="F240" s="126"/>
      <c r="G240" s="126"/>
      <c r="H240" s="127"/>
      <c r="I240" s="127"/>
      <c r="J240" s="127"/>
      <c r="K240" s="127"/>
      <c r="L240" s="127"/>
      <c r="M240" s="125"/>
      <c r="N240" s="125"/>
      <c r="O240" s="125"/>
      <c r="P240" s="125"/>
      <c r="Q240" s="125"/>
      <c r="R240" s="115"/>
      <c r="S240" s="115"/>
      <c r="T240" s="115"/>
      <c r="U240" s="115"/>
      <c r="V240" s="115"/>
    </row>
    <row r="241" spans="1:22" ht="15.75" hidden="1" customHeight="1">
      <c r="A241" s="103"/>
      <c r="B241" s="103"/>
      <c r="C241" s="126"/>
      <c r="D241" s="126"/>
      <c r="E241" s="126"/>
      <c r="F241" s="126"/>
      <c r="G241" s="126"/>
      <c r="H241" s="127"/>
      <c r="I241" s="127"/>
      <c r="J241" s="127"/>
      <c r="K241" s="127"/>
      <c r="L241" s="127"/>
      <c r="M241" s="125"/>
      <c r="N241" s="125"/>
      <c r="O241" s="125"/>
      <c r="P241" s="125"/>
      <c r="Q241" s="125"/>
      <c r="R241" s="115"/>
      <c r="S241" s="115"/>
      <c r="T241" s="115"/>
      <c r="U241" s="115"/>
      <c r="V241" s="115"/>
    </row>
    <row r="242" spans="1:22" ht="15.75" hidden="1" customHeight="1">
      <c r="A242" s="103"/>
      <c r="B242" s="103"/>
      <c r="C242" s="126"/>
      <c r="D242" s="126"/>
      <c r="E242" s="126"/>
      <c r="F242" s="126"/>
      <c r="G242" s="126"/>
      <c r="H242" s="127"/>
      <c r="I242" s="127"/>
      <c r="J242" s="127"/>
      <c r="K242" s="127"/>
      <c r="L242" s="127"/>
      <c r="M242" s="125"/>
      <c r="N242" s="125"/>
      <c r="O242" s="125"/>
      <c r="P242" s="125"/>
      <c r="Q242" s="125"/>
      <c r="R242" s="115"/>
      <c r="S242" s="115"/>
      <c r="T242" s="115"/>
      <c r="U242" s="115"/>
      <c r="V242" s="115"/>
    </row>
    <row r="243" spans="1:22" ht="15.75" hidden="1" customHeight="1">
      <c r="A243" s="103"/>
      <c r="B243" s="103"/>
      <c r="C243" s="126"/>
      <c r="D243" s="126"/>
      <c r="E243" s="126"/>
      <c r="F243" s="126"/>
      <c r="G243" s="126"/>
      <c r="H243" s="127"/>
      <c r="I243" s="127"/>
      <c r="J243" s="127"/>
      <c r="K243" s="127"/>
      <c r="L243" s="127"/>
      <c r="M243" s="125"/>
      <c r="N243" s="125"/>
      <c r="O243" s="125"/>
      <c r="P243" s="125"/>
      <c r="Q243" s="125"/>
      <c r="R243" s="115"/>
      <c r="S243" s="115"/>
      <c r="T243" s="115"/>
      <c r="U243" s="115"/>
      <c r="V243" s="115"/>
    </row>
    <row r="244" spans="1:22" ht="15.75" hidden="1" customHeight="1">
      <c r="A244" s="103"/>
      <c r="B244" s="103"/>
      <c r="C244" s="126"/>
      <c r="D244" s="126"/>
      <c r="E244" s="126"/>
      <c r="F244" s="126"/>
      <c r="G244" s="126"/>
      <c r="H244" s="127"/>
      <c r="I244" s="127"/>
      <c r="J244" s="127"/>
      <c r="K244" s="127"/>
      <c r="L244" s="127"/>
      <c r="M244" s="125"/>
      <c r="N244" s="125"/>
      <c r="O244" s="125"/>
      <c r="P244" s="125"/>
      <c r="Q244" s="125"/>
      <c r="R244" s="115"/>
      <c r="S244" s="115"/>
      <c r="T244" s="115"/>
      <c r="U244" s="115"/>
      <c r="V244" s="115"/>
    </row>
    <row r="245" spans="1:22" ht="15.75" hidden="1" customHeight="1">
      <c r="A245" s="103"/>
      <c r="B245" s="103"/>
      <c r="C245" s="126"/>
      <c r="D245" s="126"/>
      <c r="E245" s="126"/>
      <c r="F245" s="126"/>
      <c r="G245" s="126"/>
      <c r="H245" s="127"/>
      <c r="I245" s="127"/>
      <c r="J245" s="127"/>
      <c r="K245" s="127"/>
      <c r="L245" s="127"/>
      <c r="M245" s="125"/>
      <c r="N245" s="125"/>
      <c r="O245" s="125"/>
      <c r="P245" s="125"/>
      <c r="Q245" s="125"/>
      <c r="R245" s="115"/>
      <c r="S245" s="115"/>
      <c r="T245" s="115"/>
      <c r="U245" s="115"/>
      <c r="V245" s="115"/>
    </row>
    <row r="246" spans="1:22" ht="15.75" hidden="1" customHeight="1">
      <c r="A246" s="103"/>
      <c r="B246" s="103"/>
      <c r="C246" s="126"/>
      <c r="D246" s="126"/>
      <c r="E246" s="126"/>
      <c r="F246" s="126"/>
      <c r="G246" s="126"/>
      <c r="H246" s="127"/>
      <c r="I246" s="127"/>
      <c r="J246" s="127"/>
      <c r="K246" s="127"/>
      <c r="L246" s="127"/>
      <c r="M246" s="125"/>
      <c r="N246" s="125"/>
      <c r="O246" s="125"/>
      <c r="P246" s="125"/>
      <c r="Q246" s="125"/>
      <c r="R246" s="115"/>
      <c r="S246" s="115"/>
      <c r="T246" s="115"/>
      <c r="U246" s="115"/>
      <c r="V246" s="115"/>
    </row>
    <row r="247" spans="1:22" ht="15.75" hidden="1" customHeight="1">
      <c r="A247" s="103"/>
      <c r="B247" s="103"/>
      <c r="C247" s="126"/>
      <c r="D247" s="126"/>
      <c r="E247" s="126"/>
      <c r="F247" s="126"/>
      <c r="G247" s="126"/>
      <c r="H247" s="127"/>
      <c r="I247" s="127"/>
      <c r="J247" s="127"/>
      <c r="K247" s="127"/>
      <c r="L247" s="127"/>
      <c r="M247" s="125"/>
      <c r="N247" s="125"/>
      <c r="O247" s="125"/>
      <c r="P247" s="125"/>
      <c r="Q247" s="125"/>
      <c r="R247" s="115"/>
      <c r="S247" s="115"/>
      <c r="T247" s="115"/>
      <c r="U247" s="115"/>
      <c r="V247" s="115"/>
    </row>
    <row r="248" spans="1:22" ht="15.75" hidden="1" customHeight="1">
      <c r="A248" s="103"/>
      <c r="B248" s="103"/>
      <c r="C248" s="126"/>
      <c r="D248" s="126"/>
      <c r="E248" s="126"/>
      <c r="F248" s="126"/>
      <c r="G248" s="126"/>
      <c r="H248" s="127"/>
      <c r="I248" s="127"/>
      <c r="J248" s="127"/>
      <c r="K248" s="127"/>
      <c r="L248" s="127"/>
      <c r="M248" s="125"/>
      <c r="N248" s="125"/>
      <c r="O248" s="125"/>
      <c r="P248" s="125"/>
      <c r="Q248" s="125"/>
      <c r="R248" s="115"/>
      <c r="S248" s="115"/>
      <c r="T248" s="115"/>
      <c r="U248" s="115"/>
      <c r="V248" s="115"/>
    </row>
    <row r="249" spans="1:22" ht="15.75" hidden="1" customHeight="1">
      <c r="A249" s="103"/>
      <c r="B249" s="103"/>
      <c r="C249" s="126"/>
      <c r="D249" s="126"/>
      <c r="E249" s="126"/>
      <c r="F249" s="126"/>
      <c r="G249" s="126"/>
      <c r="H249" s="127"/>
      <c r="I249" s="127"/>
      <c r="J249" s="127"/>
      <c r="K249" s="127"/>
      <c r="L249" s="127"/>
      <c r="M249" s="125"/>
      <c r="N249" s="125"/>
      <c r="O249" s="125"/>
      <c r="P249" s="125"/>
      <c r="Q249" s="125"/>
      <c r="R249" s="115"/>
      <c r="S249" s="115"/>
      <c r="T249" s="115"/>
      <c r="U249" s="115"/>
      <c r="V249" s="115"/>
    </row>
    <row r="250" spans="1:22" ht="15.75" hidden="1" customHeight="1">
      <c r="A250" s="103"/>
      <c r="B250" s="103"/>
      <c r="C250" s="126"/>
      <c r="D250" s="126"/>
      <c r="E250" s="126"/>
      <c r="F250" s="126"/>
      <c r="G250" s="126"/>
      <c r="H250" s="127"/>
      <c r="I250" s="127"/>
      <c r="J250" s="127"/>
      <c r="K250" s="127"/>
      <c r="L250" s="127"/>
      <c r="M250" s="125"/>
      <c r="N250" s="125"/>
      <c r="O250" s="125"/>
      <c r="P250" s="125"/>
      <c r="Q250" s="125"/>
      <c r="R250" s="115"/>
      <c r="S250" s="115"/>
      <c r="T250" s="115"/>
      <c r="U250" s="115"/>
      <c r="V250" s="115"/>
    </row>
    <row r="251" spans="1:22" ht="15.75" hidden="1" customHeight="1">
      <c r="A251" s="103"/>
      <c r="B251" s="103"/>
      <c r="C251" s="126"/>
      <c r="D251" s="126"/>
      <c r="E251" s="126"/>
      <c r="F251" s="126"/>
      <c r="G251" s="126"/>
      <c r="H251" s="127"/>
      <c r="I251" s="127"/>
      <c r="J251" s="127"/>
      <c r="K251" s="127"/>
      <c r="L251" s="127"/>
      <c r="M251" s="125"/>
      <c r="N251" s="125"/>
      <c r="O251" s="125"/>
      <c r="P251" s="125"/>
      <c r="Q251" s="125"/>
      <c r="R251" s="115"/>
      <c r="S251" s="115"/>
      <c r="T251" s="115"/>
      <c r="U251" s="115"/>
      <c r="V251" s="115"/>
    </row>
    <row r="252" spans="1:22" ht="15.75" hidden="1" customHeight="1">
      <c r="A252" s="103"/>
      <c r="B252" s="103"/>
      <c r="C252" s="126"/>
      <c r="D252" s="126"/>
      <c r="E252" s="126"/>
      <c r="F252" s="126"/>
      <c r="G252" s="126"/>
      <c r="H252" s="127"/>
      <c r="I252" s="127"/>
      <c r="J252" s="127"/>
      <c r="K252" s="127"/>
      <c r="L252" s="127"/>
      <c r="M252" s="125"/>
      <c r="N252" s="125"/>
      <c r="O252" s="125"/>
      <c r="P252" s="125"/>
      <c r="Q252" s="125"/>
      <c r="R252" s="115"/>
      <c r="S252" s="115"/>
      <c r="T252" s="115"/>
      <c r="U252" s="115"/>
      <c r="V252" s="115"/>
    </row>
    <row r="253" spans="1:22" ht="15.75" hidden="1" customHeight="1">
      <c r="A253" s="103"/>
      <c r="B253" s="103"/>
      <c r="C253" s="126"/>
      <c r="D253" s="126"/>
      <c r="E253" s="126"/>
      <c r="F253" s="126"/>
      <c r="G253" s="126"/>
      <c r="H253" s="127"/>
      <c r="I253" s="127"/>
      <c r="J253" s="127"/>
      <c r="K253" s="127"/>
      <c r="L253" s="127"/>
      <c r="M253" s="125"/>
      <c r="N253" s="125"/>
      <c r="O253" s="125"/>
      <c r="P253" s="125"/>
      <c r="Q253" s="125"/>
      <c r="R253" s="115"/>
      <c r="S253" s="115"/>
      <c r="T253" s="115"/>
      <c r="U253" s="115"/>
      <c r="V253" s="115"/>
    </row>
    <row r="254" spans="1:22" ht="15.75" hidden="1" customHeight="1">
      <c r="A254" s="103"/>
      <c r="B254" s="103"/>
      <c r="C254" s="126"/>
      <c r="D254" s="126"/>
      <c r="E254" s="126"/>
      <c r="F254" s="126"/>
      <c r="G254" s="126"/>
      <c r="H254" s="127"/>
      <c r="I254" s="127"/>
      <c r="J254" s="127"/>
      <c r="K254" s="127"/>
      <c r="L254" s="127"/>
      <c r="M254" s="125"/>
      <c r="N254" s="125"/>
      <c r="O254" s="125"/>
      <c r="P254" s="125"/>
      <c r="Q254" s="125"/>
      <c r="R254" s="115"/>
      <c r="S254" s="115"/>
      <c r="T254" s="115"/>
      <c r="U254" s="115"/>
      <c r="V254" s="115"/>
    </row>
    <row r="255" spans="1:22" ht="15.75" hidden="1" customHeight="1">
      <c r="A255" s="103"/>
      <c r="B255" s="103"/>
      <c r="C255" s="126"/>
      <c r="D255" s="126"/>
      <c r="E255" s="126"/>
      <c r="F255" s="126"/>
      <c r="G255" s="126"/>
      <c r="H255" s="127"/>
      <c r="I255" s="127"/>
      <c r="J255" s="127"/>
      <c r="K255" s="127"/>
      <c r="L255" s="127"/>
      <c r="M255" s="125"/>
      <c r="N255" s="125"/>
      <c r="O255" s="125"/>
      <c r="P255" s="125"/>
      <c r="Q255" s="125"/>
      <c r="R255" s="115"/>
      <c r="S255" s="115"/>
      <c r="T255" s="115"/>
      <c r="U255" s="115"/>
      <c r="V255" s="115"/>
    </row>
    <row r="256" spans="1:22" ht="15.75" hidden="1" customHeight="1">
      <c r="A256" s="103"/>
      <c r="B256" s="103"/>
      <c r="C256" s="126"/>
      <c r="D256" s="126"/>
      <c r="E256" s="126"/>
      <c r="F256" s="126"/>
      <c r="G256" s="126"/>
      <c r="H256" s="127"/>
      <c r="I256" s="127"/>
      <c r="J256" s="127"/>
      <c r="K256" s="127"/>
      <c r="L256" s="127"/>
      <c r="M256" s="125"/>
      <c r="N256" s="125"/>
      <c r="O256" s="125"/>
      <c r="P256" s="125"/>
      <c r="Q256" s="125"/>
      <c r="R256" s="115"/>
      <c r="S256" s="115"/>
      <c r="T256" s="115"/>
      <c r="U256" s="115"/>
      <c r="V256" s="115"/>
    </row>
    <row r="257" spans="1:22" ht="15.75" hidden="1" customHeight="1">
      <c r="A257" s="103"/>
      <c r="B257" s="103"/>
      <c r="C257" s="126"/>
      <c r="D257" s="126"/>
      <c r="E257" s="126"/>
      <c r="F257" s="126"/>
      <c r="G257" s="126"/>
      <c r="H257" s="127"/>
      <c r="I257" s="127"/>
      <c r="J257" s="127"/>
      <c r="K257" s="127"/>
      <c r="L257" s="127"/>
      <c r="M257" s="125"/>
      <c r="N257" s="125"/>
      <c r="O257" s="125"/>
      <c r="P257" s="125"/>
      <c r="Q257" s="125"/>
      <c r="R257" s="115"/>
      <c r="S257" s="115"/>
      <c r="T257" s="115"/>
      <c r="U257" s="115"/>
      <c r="V257" s="115"/>
    </row>
    <row r="258" spans="1:22" ht="15.75" hidden="1" customHeight="1">
      <c r="A258" s="103"/>
      <c r="B258" s="103"/>
      <c r="C258" s="126"/>
      <c r="D258" s="126"/>
      <c r="E258" s="126"/>
      <c r="F258" s="126"/>
      <c r="G258" s="126"/>
      <c r="H258" s="127"/>
      <c r="I258" s="127"/>
      <c r="J258" s="127"/>
      <c r="K258" s="127"/>
      <c r="L258" s="127"/>
      <c r="M258" s="125"/>
      <c r="N258" s="125"/>
      <c r="O258" s="125"/>
      <c r="P258" s="125"/>
      <c r="Q258" s="125"/>
      <c r="R258" s="115"/>
      <c r="S258" s="115"/>
      <c r="T258" s="115"/>
      <c r="U258" s="115"/>
      <c r="V258" s="115"/>
    </row>
    <row r="259" spans="1:22" ht="15.75" hidden="1" customHeight="1">
      <c r="A259" s="103"/>
      <c r="B259" s="103"/>
      <c r="C259" s="126"/>
      <c r="D259" s="126"/>
      <c r="E259" s="126"/>
      <c r="F259" s="126"/>
      <c r="G259" s="126"/>
      <c r="H259" s="127"/>
      <c r="I259" s="127"/>
      <c r="J259" s="127"/>
      <c r="K259" s="127"/>
      <c r="L259" s="127"/>
      <c r="M259" s="125"/>
      <c r="N259" s="125"/>
      <c r="O259" s="125"/>
      <c r="P259" s="125"/>
      <c r="Q259" s="125"/>
      <c r="R259" s="115"/>
      <c r="S259" s="115"/>
      <c r="T259" s="115"/>
      <c r="U259" s="115"/>
      <c r="V259" s="115"/>
    </row>
    <row r="260" spans="1:22" ht="15.75" hidden="1" customHeight="1">
      <c r="A260" s="103"/>
      <c r="B260" s="103"/>
      <c r="C260" s="126"/>
      <c r="D260" s="126"/>
      <c r="E260" s="126"/>
      <c r="F260" s="126"/>
      <c r="G260" s="126"/>
      <c r="H260" s="127"/>
      <c r="I260" s="127"/>
      <c r="J260" s="127"/>
      <c r="K260" s="127"/>
      <c r="L260" s="127"/>
      <c r="M260" s="125"/>
      <c r="N260" s="125"/>
      <c r="O260" s="125"/>
      <c r="P260" s="125"/>
      <c r="Q260" s="125"/>
      <c r="R260" s="115"/>
      <c r="S260" s="115"/>
      <c r="T260" s="115"/>
      <c r="U260" s="115"/>
      <c r="V260" s="115"/>
    </row>
    <row r="261" spans="1:22" ht="15.75" hidden="1" customHeight="1">
      <c r="A261" s="103"/>
      <c r="B261" s="103"/>
      <c r="C261" s="126"/>
      <c r="D261" s="126"/>
      <c r="E261" s="126"/>
      <c r="F261" s="126"/>
      <c r="G261" s="126"/>
      <c r="H261" s="127"/>
      <c r="I261" s="127"/>
      <c r="J261" s="127"/>
      <c r="K261" s="127"/>
      <c r="L261" s="127"/>
      <c r="M261" s="125"/>
      <c r="N261" s="125"/>
      <c r="O261" s="125"/>
      <c r="P261" s="125"/>
      <c r="Q261" s="125"/>
      <c r="R261" s="115"/>
      <c r="S261" s="115"/>
      <c r="T261" s="115"/>
      <c r="U261" s="115"/>
      <c r="V261" s="115"/>
    </row>
    <row r="262" spans="1:22" ht="15.75" hidden="1" customHeight="1">
      <c r="A262" s="103"/>
      <c r="B262" s="103"/>
      <c r="C262" s="126"/>
      <c r="D262" s="126"/>
      <c r="E262" s="126"/>
      <c r="F262" s="126"/>
      <c r="G262" s="126"/>
      <c r="H262" s="127"/>
      <c r="I262" s="127"/>
      <c r="J262" s="127"/>
      <c r="K262" s="127"/>
      <c r="L262" s="127"/>
      <c r="M262" s="125"/>
      <c r="N262" s="125"/>
      <c r="O262" s="125"/>
      <c r="P262" s="125"/>
      <c r="Q262" s="125"/>
      <c r="R262" s="115"/>
      <c r="S262" s="115"/>
      <c r="T262" s="115"/>
      <c r="U262" s="115"/>
      <c r="V262" s="115"/>
    </row>
    <row r="263" spans="1:22" ht="15.75" hidden="1" customHeight="1">
      <c r="A263" s="103"/>
      <c r="B263" s="103"/>
      <c r="C263" s="126"/>
      <c r="D263" s="126"/>
      <c r="E263" s="126"/>
      <c r="F263" s="126"/>
      <c r="G263" s="126"/>
      <c r="H263" s="127"/>
      <c r="I263" s="127"/>
      <c r="J263" s="127"/>
      <c r="K263" s="127"/>
      <c r="L263" s="127"/>
      <c r="M263" s="125"/>
      <c r="N263" s="125"/>
      <c r="O263" s="125"/>
      <c r="P263" s="125"/>
      <c r="Q263" s="125"/>
      <c r="R263" s="115"/>
      <c r="S263" s="115"/>
      <c r="T263" s="115"/>
      <c r="U263" s="115"/>
      <c r="V263" s="115"/>
    </row>
    <row r="264" spans="1:22" ht="15.75" hidden="1" customHeight="1">
      <c r="A264" s="103"/>
      <c r="B264" s="103"/>
      <c r="C264" s="126"/>
      <c r="D264" s="126"/>
      <c r="E264" s="126"/>
      <c r="F264" s="126"/>
      <c r="G264" s="126"/>
      <c r="H264" s="127"/>
      <c r="I264" s="127"/>
      <c r="J264" s="127"/>
      <c r="K264" s="127"/>
      <c r="L264" s="127"/>
      <c r="M264" s="125"/>
      <c r="N264" s="125"/>
      <c r="O264" s="125"/>
      <c r="P264" s="125"/>
      <c r="Q264" s="125"/>
      <c r="R264" s="115"/>
      <c r="S264" s="115"/>
      <c r="T264" s="115"/>
      <c r="U264" s="115"/>
      <c r="V264" s="115"/>
    </row>
    <row r="265" spans="1:22" ht="15.75" hidden="1" customHeight="1">
      <c r="A265" s="103"/>
      <c r="B265" s="103"/>
      <c r="C265" s="126"/>
      <c r="D265" s="126"/>
      <c r="E265" s="126"/>
      <c r="F265" s="126"/>
      <c r="G265" s="126"/>
      <c r="H265" s="127"/>
      <c r="I265" s="127"/>
      <c r="J265" s="127"/>
      <c r="K265" s="127"/>
      <c r="L265" s="127"/>
      <c r="M265" s="125"/>
      <c r="N265" s="125"/>
      <c r="O265" s="125"/>
      <c r="P265" s="125"/>
      <c r="Q265" s="125"/>
      <c r="R265" s="115"/>
      <c r="S265" s="115"/>
      <c r="T265" s="115"/>
      <c r="U265" s="115"/>
      <c r="V265" s="115"/>
    </row>
    <row r="266" spans="1:22" ht="15.75" hidden="1" customHeight="1">
      <c r="A266" s="103"/>
      <c r="B266" s="103"/>
      <c r="C266" s="126"/>
      <c r="D266" s="126"/>
      <c r="E266" s="126"/>
      <c r="F266" s="126"/>
      <c r="G266" s="126"/>
      <c r="H266" s="127"/>
      <c r="I266" s="127"/>
      <c r="J266" s="127"/>
      <c r="K266" s="127"/>
      <c r="L266" s="127"/>
      <c r="M266" s="125"/>
      <c r="N266" s="125"/>
      <c r="O266" s="125"/>
      <c r="P266" s="125"/>
      <c r="Q266" s="125"/>
      <c r="R266" s="115"/>
      <c r="S266" s="115"/>
      <c r="T266" s="115"/>
      <c r="U266" s="115"/>
      <c r="V266" s="115"/>
    </row>
    <row r="267" spans="1:22" ht="15.75" hidden="1" customHeight="1">
      <c r="A267" s="103"/>
      <c r="B267" s="103"/>
      <c r="C267" s="126"/>
      <c r="D267" s="126"/>
      <c r="E267" s="126"/>
      <c r="F267" s="126"/>
      <c r="G267" s="126"/>
      <c r="H267" s="127"/>
      <c r="I267" s="127"/>
      <c r="J267" s="127"/>
      <c r="K267" s="127"/>
      <c r="L267" s="127"/>
      <c r="M267" s="125"/>
      <c r="N267" s="125"/>
      <c r="O267" s="125"/>
      <c r="P267" s="125"/>
      <c r="Q267" s="125"/>
      <c r="R267" s="115"/>
      <c r="S267" s="115"/>
      <c r="T267" s="115"/>
      <c r="U267" s="115"/>
      <c r="V267" s="115"/>
    </row>
    <row r="268" spans="1:22" ht="15.75" hidden="1" customHeight="1">
      <c r="A268" s="103"/>
      <c r="B268" s="103"/>
      <c r="C268" s="126"/>
      <c r="D268" s="126"/>
      <c r="E268" s="126"/>
      <c r="F268" s="126"/>
      <c r="G268" s="126"/>
      <c r="H268" s="127"/>
      <c r="I268" s="127"/>
      <c r="J268" s="127"/>
      <c r="K268" s="127"/>
      <c r="L268" s="127"/>
      <c r="M268" s="125"/>
      <c r="N268" s="125"/>
      <c r="O268" s="125"/>
      <c r="P268" s="125"/>
      <c r="Q268" s="125"/>
      <c r="R268" s="115"/>
      <c r="S268" s="115"/>
      <c r="T268" s="115"/>
      <c r="U268" s="115"/>
      <c r="V268" s="115"/>
    </row>
    <row r="269" spans="1:22" ht="15.75" hidden="1" customHeight="1">
      <c r="A269" s="103"/>
      <c r="B269" s="103"/>
      <c r="C269" s="126"/>
      <c r="D269" s="126"/>
      <c r="E269" s="126"/>
      <c r="F269" s="126"/>
      <c r="G269" s="126"/>
      <c r="H269" s="127"/>
      <c r="I269" s="127"/>
      <c r="J269" s="127"/>
      <c r="K269" s="127"/>
      <c r="L269" s="127"/>
      <c r="M269" s="125"/>
      <c r="N269" s="125"/>
      <c r="O269" s="125"/>
      <c r="P269" s="125"/>
      <c r="Q269" s="125"/>
      <c r="R269" s="115"/>
      <c r="S269" s="115"/>
      <c r="T269" s="115"/>
      <c r="U269" s="115"/>
      <c r="V269" s="115"/>
    </row>
    <row r="270" spans="1:22" ht="15.75" hidden="1" customHeight="1">
      <c r="A270" s="103"/>
      <c r="B270" s="103"/>
      <c r="C270" s="126"/>
      <c r="D270" s="126"/>
      <c r="E270" s="126"/>
      <c r="F270" s="126"/>
      <c r="G270" s="126"/>
      <c r="H270" s="127"/>
      <c r="I270" s="127"/>
      <c r="J270" s="127"/>
      <c r="K270" s="127"/>
      <c r="L270" s="127"/>
      <c r="M270" s="125"/>
      <c r="N270" s="125"/>
      <c r="O270" s="125"/>
      <c r="P270" s="125"/>
      <c r="Q270" s="125"/>
      <c r="R270" s="115"/>
      <c r="S270" s="115"/>
      <c r="T270" s="115"/>
      <c r="U270" s="115"/>
      <c r="V270" s="115"/>
    </row>
    <row r="271" spans="1:22" ht="15.75" hidden="1" customHeight="1">
      <c r="A271" s="103"/>
      <c r="B271" s="103"/>
      <c r="C271" s="126"/>
      <c r="D271" s="126"/>
      <c r="E271" s="126"/>
      <c r="F271" s="126"/>
      <c r="G271" s="126"/>
      <c r="H271" s="127"/>
      <c r="I271" s="127"/>
      <c r="J271" s="127"/>
      <c r="K271" s="127"/>
      <c r="L271" s="127"/>
      <c r="M271" s="125"/>
      <c r="N271" s="125"/>
      <c r="O271" s="125"/>
      <c r="P271" s="125"/>
      <c r="Q271" s="125"/>
      <c r="R271" s="115"/>
      <c r="S271" s="115"/>
      <c r="T271" s="115"/>
      <c r="U271" s="115"/>
      <c r="V271" s="115"/>
    </row>
    <row r="272" spans="1:22" ht="15.75" hidden="1" customHeight="1">
      <c r="A272" s="103"/>
      <c r="B272" s="103"/>
      <c r="C272" s="126"/>
      <c r="D272" s="126"/>
      <c r="E272" s="126"/>
      <c r="F272" s="126"/>
      <c r="G272" s="126"/>
      <c r="H272" s="127"/>
      <c r="I272" s="127"/>
      <c r="J272" s="127"/>
      <c r="K272" s="127"/>
      <c r="L272" s="127"/>
      <c r="M272" s="125"/>
      <c r="N272" s="125"/>
      <c r="O272" s="125"/>
      <c r="P272" s="125"/>
      <c r="Q272" s="125"/>
      <c r="R272" s="115"/>
      <c r="S272" s="115"/>
      <c r="T272" s="115"/>
      <c r="U272" s="115"/>
      <c r="V272" s="115"/>
    </row>
    <row r="273" spans="1:22" ht="15.75" hidden="1" customHeight="1">
      <c r="A273" s="103"/>
      <c r="B273" s="103"/>
      <c r="C273" s="126"/>
      <c r="D273" s="126"/>
      <c r="E273" s="126"/>
      <c r="F273" s="126"/>
      <c r="G273" s="126"/>
      <c r="H273" s="127"/>
      <c r="I273" s="127"/>
      <c r="J273" s="127"/>
      <c r="K273" s="127"/>
      <c r="L273" s="127"/>
      <c r="M273" s="125"/>
      <c r="N273" s="125"/>
      <c r="O273" s="125"/>
      <c r="P273" s="125"/>
      <c r="Q273" s="125"/>
      <c r="R273" s="115"/>
      <c r="S273" s="115"/>
      <c r="T273" s="115"/>
      <c r="U273" s="115"/>
      <c r="V273" s="115"/>
    </row>
    <row r="274" spans="1:22" ht="15.75" hidden="1" customHeight="1">
      <c r="A274" s="103"/>
      <c r="B274" s="103"/>
      <c r="C274" s="126"/>
      <c r="D274" s="126"/>
      <c r="E274" s="126"/>
      <c r="F274" s="126"/>
      <c r="G274" s="126"/>
      <c r="H274" s="127"/>
      <c r="I274" s="127"/>
      <c r="J274" s="127"/>
      <c r="K274" s="127"/>
      <c r="L274" s="127"/>
      <c r="M274" s="125"/>
      <c r="N274" s="125"/>
      <c r="O274" s="125"/>
      <c r="P274" s="125"/>
      <c r="Q274" s="125"/>
      <c r="R274" s="115"/>
      <c r="S274" s="115"/>
      <c r="T274" s="115"/>
      <c r="U274" s="115"/>
      <c r="V274" s="115"/>
    </row>
    <row r="275" spans="1:22" ht="15.75" hidden="1" customHeight="1">
      <c r="A275" s="103"/>
      <c r="B275" s="103"/>
      <c r="C275" s="126"/>
      <c r="D275" s="126"/>
      <c r="E275" s="126"/>
      <c r="F275" s="126"/>
      <c r="G275" s="126"/>
      <c r="H275" s="127"/>
      <c r="I275" s="127"/>
      <c r="J275" s="127"/>
      <c r="K275" s="127"/>
      <c r="L275" s="127"/>
      <c r="M275" s="125"/>
      <c r="N275" s="125"/>
      <c r="O275" s="125"/>
      <c r="P275" s="125"/>
      <c r="Q275" s="125"/>
      <c r="R275" s="115"/>
      <c r="S275" s="115"/>
      <c r="T275" s="115"/>
      <c r="U275" s="115"/>
      <c r="V275" s="115"/>
    </row>
    <row r="276" spans="1:22" ht="15.75" hidden="1" customHeight="1">
      <c r="A276" s="103"/>
      <c r="B276" s="103"/>
      <c r="C276" s="126"/>
      <c r="D276" s="126"/>
      <c r="E276" s="126"/>
      <c r="F276" s="126"/>
      <c r="G276" s="126"/>
      <c r="H276" s="127"/>
      <c r="I276" s="127"/>
      <c r="J276" s="127"/>
      <c r="K276" s="127"/>
      <c r="L276" s="127"/>
      <c r="M276" s="125"/>
      <c r="N276" s="125"/>
      <c r="O276" s="125"/>
      <c r="P276" s="125"/>
      <c r="Q276" s="125"/>
      <c r="R276" s="115"/>
      <c r="S276" s="115"/>
      <c r="T276" s="115"/>
      <c r="U276" s="115"/>
      <c r="V276" s="115"/>
    </row>
    <row r="277" spans="1:22" ht="15.75" hidden="1" customHeight="1">
      <c r="A277" s="103"/>
      <c r="B277" s="103"/>
      <c r="C277" s="126"/>
      <c r="D277" s="126"/>
      <c r="E277" s="126"/>
      <c r="F277" s="126"/>
      <c r="G277" s="126"/>
      <c r="H277" s="127"/>
      <c r="I277" s="127"/>
      <c r="J277" s="127"/>
      <c r="K277" s="127"/>
      <c r="L277" s="127"/>
      <c r="M277" s="125"/>
      <c r="N277" s="125"/>
      <c r="O277" s="125"/>
      <c r="P277" s="125"/>
      <c r="Q277" s="125"/>
      <c r="R277" s="115"/>
      <c r="S277" s="115"/>
      <c r="T277" s="115"/>
      <c r="U277" s="115"/>
      <c r="V277" s="115"/>
    </row>
    <row r="278" spans="1:22" ht="15.75" hidden="1" customHeight="1">
      <c r="A278" s="103"/>
      <c r="B278" s="103"/>
      <c r="C278" s="126"/>
      <c r="D278" s="126"/>
      <c r="E278" s="126"/>
      <c r="F278" s="126"/>
      <c r="G278" s="126"/>
      <c r="H278" s="127"/>
      <c r="I278" s="127"/>
      <c r="J278" s="127"/>
      <c r="K278" s="127"/>
      <c r="L278" s="127"/>
      <c r="M278" s="125"/>
      <c r="N278" s="125"/>
      <c r="O278" s="125"/>
      <c r="P278" s="125"/>
      <c r="Q278" s="125"/>
      <c r="R278" s="115"/>
      <c r="S278" s="115"/>
      <c r="T278" s="115"/>
      <c r="U278" s="115"/>
      <c r="V278" s="115"/>
    </row>
    <row r="279" spans="1:22" ht="15.75" hidden="1" customHeight="1">
      <c r="A279" s="103"/>
      <c r="B279" s="103"/>
      <c r="C279" s="126"/>
      <c r="D279" s="126"/>
      <c r="E279" s="126"/>
      <c r="F279" s="126"/>
      <c r="G279" s="126"/>
      <c r="H279" s="127"/>
      <c r="I279" s="127"/>
      <c r="J279" s="127"/>
      <c r="K279" s="127"/>
      <c r="L279" s="127"/>
      <c r="M279" s="125"/>
      <c r="N279" s="125"/>
      <c r="O279" s="125"/>
      <c r="P279" s="125"/>
      <c r="Q279" s="125"/>
      <c r="R279" s="115"/>
      <c r="S279" s="115"/>
      <c r="T279" s="115"/>
      <c r="U279" s="115"/>
      <c r="V279" s="115"/>
    </row>
    <row r="280" spans="1:22" ht="15.75" hidden="1" customHeight="1">
      <c r="A280" s="103"/>
      <c r="B280" s="103"/>
      <c r="C280" s="126"/>
      <c r="D280" s="126"/>
      <c r="E280" s="126"/>
      <c r="F280" s="126"/>
      <c r="G280" s="126"/>
      <c r="H280" s="127"/>
      <c r="I280" s="127"/>
      <c r="J280" s="127"/>
      <c r="K280" s="127"/>
      <c r="L280" s="127"/>
      <c r="M280" s="125"/>
      <c r="N280" s="125"/>
      <c r="O280" s="125"/>
      <c r="P280" s="125"/>
      <c r="Q280" s="125"/>
      <c r="R280" s="115"/>
      <c r="S280" s="115"/>
      <c r="T280" s="115"/>
      <c r="U280" s="115"/>
      <c r="V280" s="115"/>
    </row>
    <row r="281" spans="1:22" ht="15.75" hidden="1" customHeight="1">
      <c r="A281" s="103"/>
      <c r="B281" s="103"/>
      <c r="C281" s="126"/>
      <c r="D281" s="126"/>
      <c r="E281" s="126"/>
      <c r="F281" s="126"/>
      <c r="G281" s="126"/>
      <c r="H281" s="127"/>
      <c r="I281" s="127"/>
      <c r="J281" s="127"/>
      <c r="K281" s="127"/>
      <c r="L281" s="127"/>
      <c r="M281" s="125"/>
      <c r="N281" s="125"/>
      <c r="O281" s="125"/>
      <c r="P281" s="125"/>
      <c r="Q281" s="125"/>
      <c r="R281" s="115"/>
      <c r="S281" s="115"/>
      <c r="T281" s="115"/>
      <c r="U281" s="115"/>
      <c r="V281" s="115"/>
    </row>
    <row r="282" spans="1:22" ht="15.75" hidden="1" customHeight="1">
      <c r="A282" s="103"/>
      <c r="B282" s="103"/>
      <c r="C282" s="126"/>
      <c r="D282" s="126"/>
      <c r="E282" s="126"/>
      <c r="F282" s="126"/>
      <c r="G282" s="126"/>
      <c r="H282" s="127"/>
      <c r="I282" s="127"/>
      <c r="J282" s="127"/>
      <c r="K282" s="127"/>
      <c r="L282" s="127"/>
      <c r="M282" s="125"/>
      <c r="N282" s="125"/>
      <c r="O282" s="125"/>
      <c r="P282" s="125"/>
      <c r="Q282" s="125"/>
      <c r="R282" s="115"/>
      <c r="S282" s="115"/>
      <c r="T282" s="115"/>
      <c r="U282" s="115"/>
      <c r="V282" s="115"/>
    </row>
    <row r="283" spans="1:22" ht="15.75" hidden="1" customHeight="1">
      <c r="A283" s="103"/>
      <c r="B283" s="103"/>
      <c r="C283" s="126"/>
      <c r="D283" s="126"/>
      <c r="E283" s="126"/>
      <c r="F283" s="126"/>
      <c r="G283" s="126"/>
      <c r="H283" s="127"/>
      <c r="I283" s="127"/>
      <c r="J283" s="127"/>
      <c r="K283" s="127"/>
      <c r="L283" s="127"/>
      <c r="M283" s="125"/>
      <c r="N283" s="125"/>
      <c r="O283" s="125"/>
      <c r="P283" s="125"/>
      <c r="Q283" s="125"/>
      <c r="R283" s="115"/>
      <c r="S283" s="115"/>
      <c r="T283" s="115"/>
      <c r="U283" s="115"/>
      <c r="V283" s="115"/>
    </row>
    <row r="284" spans="1:22" ht="15.75" hidden="1" customHeight="1">
      <c r="A284" s="103"/>
      <c r="B284" s="103"/>
      <c r="C284" s="126"/>
      <c r="D284" s="126"/>
      <c r="E284" s="126"/>
      <c r="F284" s="126"/>
      <c r="G284" s="126"/>
      <c r="H284" s="127"/>
      <c r="I284" s="127"/>
      <c r="J284" s="127"/>
      <c r="K284" s="127"/>
      <c r="L284" s="127"/>
      <c r="M284" s="125"/>
      <c r="N284" s="125"/>
      <c r="O284" s="125"/>
      <c r="P284" s="125"/>
      <c r="Q284" s="125"/>
      <c r="R284" s="115"/>
      <c r="S284" s="115"/>
      <c r="T284" s="115"/>
      <c r="U284" s="115"/>
      <c r="V284" s="115"/>
    </row>
    <row r="285" spans="1:22" ht="15.75" hidden="1" customHeight="1">
      <c r="A285" s="103"/>
      <c r="B285" s="103"/>
      <c r="C285" s="126"/>
      <c r="D285" s="126"/>
      <c r="E285" s="126"/>
      <c r="F285" s="126"/>
      <c r="G285" s="126"/>
      <c r="H285" s="127"/>
      <c r="I285" s="127"/>
      <c r="J285" s="127"/>
      <c r="K285" s="127"/>
      <c r="L285" s="127"/>
      <c r="M285" s="125"/>
      <c r="N285" s="125"/>
      <c r="O285" s="125"/>
      <c r="P285" s="125"/>
      <c r="Q285" s="125"/>
      <c r="R285" s="115"/>
      <c r="S285" s="115"/>
      <c r="T285" s="115"/>
      <c r="U285" s="115"/>
      <c r="V285" s="115"/>
    </row>
    <row r="286" spans="1:22" ht="15.75" hidden="1" customHeight="1">
      <c r="A286" s="103"/>
      <c r="B286" s="103"/>
      <c r="C286" s="126"/>
      <c r="D286" s="126"/>
      <c r="E286" s="126"/>
      <c r="F286" s="126"/>
      <c r="G286" s="126"/>
      <c r="H286" s="127"/>
      <c r="I286" s="127"/>
      <c r="J286" s="127"/>
      <c r="K286" s="127"/>
      <c r="L286" s="127"/>
      <c r="M286" s="125"/>
      <c r="N286" s="125"/>
      <c r="O286" s="125"/>
      <c r="P286" s="125"/>
      <c r="Q286" s="125"/>
      <c r="R286" s="115"/>
      <c r="S286" s="115"/>
      <c r="T286" s="115"/>
      <c r="U286" s="115"/>
      <c r="V286" s="115"/>
    </row>
    <row r="287" spans="1:22" ht="15.75" hidden="1" customHeight="1">
      <c r="A287" s="103"/>
      <c r="B287" s="103"/>
      <c r="C287" s="126"/>
      <c r="D287" s="126"/>
      <c r="E287" s="126"/>
      <c r="F287" s="126"/>
      <c r="G287" s="126"/>
      <c r="H287" s="127"/>
      <c r="I287" s="127"/>
      <c r="J287" s="127"/>
      <c r="K287" s="127"/>
      <c r="L287" s="127"/>
      <c r="M287" s="125"/>
      <c r="N287" s="125"/>
      <c r="O287" s="125"/>
      <c r="P287" s="125"/>
      <c r="Q287" s="125"/>
      <c r="R287" s="115"/>
      <c r="S287" s="115"/>
      <c r="T287" s="115"/>
      <c r="U287" s="115"/>
      <c r="V287" s="115"/>
    </row>
    <row r="288" spans="1:22" ht="15.75" hidden="1" customHeight="1">
      <c r="A288" s="103"/>
      <c r="B288" s="103"/>
      <c r="C288" s="126"/>
      <c r="D288" s="126"/>
      <c r="E288" s="126"/>
      <c r="F288" s="126"/>
      <c r="G288" s="126"/>
      <c r="H288" s="127"/>
      <c r="I288" s="127"/>
      <c r="J288" s="127"/>
      <c r="K288" s="127"/>
      <c r="L288" s="127"/>
      <c r="M288" s="125"/>
      <c r="N288" s="125"/>
      <c r="O288" s="125"/>
      <c r="P288" s="125"/>
      <c r="Q288" s="125"/>
      <c r="R288" s="115"/>
      <c r="S288" s="115"/>
      <c r="T288" s="115"/>
      <c r="U288" s="115"/>
      <c r="V288" s="115"/>
    </row>
    <row r="289" spans="1:22" ht="15.75" hidden="1" customHeight="1">
      <c r="A289" s="103"/>
      <c r="B289" s="103"/>
      <c r="C289" s="126"/>
      <c r="D289" s="126"/>
      <c r="E289" s="126"/>
      <c r="F289" s="126"/>
      <c r="G289" s="126"/>
      <c r="H289" s="127"/>
      <c r="I289" s="127"/>
      <c r="J289" s="127"/>
      <c r="K289" s="127"/>
      <c r="L289" s="127"/>
      <c r="M289" s="125"/>
      <c r="N289" s="125"/>
      <c r="O289" s="125"/>
      <c r="P289" s="125"/>
      <c r="Q289" s="125"/>
      <c r="R289" s="115"/>
      <c r="S289" s="115"/>
      <c r="T289" s="115"/>
      <c r="U289" s="115"/>
      <c r="V289" s="115"/>
    </row>
    <row r="290" spans="1:22" ht="15.75" hidden="1" customHeight="1">
      <c r="A290" s="103"/>
      <c r="B290" s="103"/>
      <c r="C290" s="126"/>
      <c r="D290" s="126"/>
      <c r="E290" s="126"/>
      <c r="F290" s="126"/>
      <c r="G290" s="126"/>
      <c r="H290" s="127"/>
      <c r="I290" s="127"/>
      <c r="J290" s="127"/>
      <c r="K290" s="127"/>
      <c r="L290" s="127"/>
      <c r="M290" s="125"/>
      <c r="N290" s="125"/>
      <c r="O290" s="125"/>
      <c r="P290" s="125"/>
      <c r="Q290" s="125"/>
      <c r="R290" s="115"/>
      <c r="S290" s="115"/>
      <c r="T290" s="115"/>
      <c r="U290" s="115"/>
      <c r="V290" s="115"/>
    </row>
    <row r="291" spans="1:22" ht="15.75" hidden="1" customHeight="1">
      <c r="A291" s="103"/>
      <c r="B291" s="103"/>
      <c r="C291" s="126"/>
      <c r="D291" s="126"/>
      <c r="E291" s="126"/>
      <c r="F291" s="126"/>
      <c r="G291" s="126"/>
      <c r="H291" s="127"/>
      <c r="I291" s="127"/>
      <c r="J291" s="127"/>
      <c r="K291" s="127"/>
      <c r="L291" s="127"/>
      <c r="M291" s="125"/>
      <c r="N291" s="125"/>
      <c r="O291" s="125"/>
      <c r="P291" s="125"/>
      <c r="Q291" s="125"/>
      <c r="R291" s="115"/>
      <c r="S291" s="115"/>
      <c r="T291" s="115"/>
      <c r="U291" s="115"/>
      <c r="V291" s="115"/>
    </row>
    <row r="292" spans="1:22" ht="15.75" hidden="1" customHeight="1"/>
    <row r="293" spans="1:22" ht="15.75" hidden="1" customHeight="1"/>
    <row r="294" spans="1:22" ht="15.75" hidden="1" customHeight="1"/>
    <row r="295" spans="1:22" ht="15.75" hidden="1" customHeight="1"/>
    <row r="296" spans="1:22" ht="15.75" hidden="1" customHeight="1"/>
    <row r="297" spans="1:22" ht="15.75" hidden="1" customHeight="1"/>
    <row r="298" spans="1:22" ht="15.75" hidden="1" customHeight="1"/>
    <row r="299" spans="1:22" ht="15.75" hidden="1" customHeight="1"/>
    <row r="300" spans="1:22" ht="15.75" hidden="1" customHeight="1"/>
    <row r="301" spans="1:22" ht="15.75" hidden="1" customHeight="1"/>
    <row r="302" spans="1:22" ht="15.75" hidden="1" customHeight="1"/>
    <row r="303" spans="1:22" ht="15.75" hidden="1" customHeight="1"/>
    <row r="304" spans="1:22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topLeftCell="A16" workbookViewId="0">
      <selection activeCell="K52" sqref="K52:N52"/>
    </sheetView>
  </sheetViews>
  <sheetFormatPr defaultColWidth="14.42578125" defaultRowHeight="15" customHeight="1"/>
  <cols>
    <col min="1" max="1" width="6.140625" customWidth="1"/>
    <col min="2" max="2" width="11.7109375" customWidth="1"/>
    <col min="3" max="3" width="8" customWidth="1"/>
    <col min="4" max="4" width="9.28515625" customWidth="1"/>
    <col min="5" max="5" width="8" customWidth="1"/>
    <col min="6" max="6" width="11.28515625" customWidth="1"/>
    <col min="7" max="8" width="8" customWidth="1"/>
    <col min="9" max="9" width="12.42578125" customWidth="1"/>
    <col min="10" max="10" width="9.7109375" customWidth="1"/>
    <col min="11" max="11" width="9.5703125" customWidth="1"/>
    <col min="12" max="17" width="8" customWidth="1"/>
    <col min="18" max="18" width="14" customWidth="1"/>
    <col min="19" max="19" width="12.28515625" customWidth="1"/>
    <col min="20" max="22" width="8" customWidth="1"/>
    <col min="23" max="26" width="14.42578125" customWidth="1"/>
  </cols>
  <sheetData>
    <row r="1" spans="1:26" ht="26.25" customHeight="1">
      <c r="A1" s="232"/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128"/>
      <c r="X1" s="129" t="str">
        <f>CONCATENATE("CO Attainment Level ",'Final Attainment'!H7,": ",'Final Attainment'!K7,CHAR(10),"CO Attainment Level ",'Final Attainment'!H8,": ",'Final Attainment'!K8,CHAR(10),"CO Attainment Level ",'Final Attainment'!H9,": ",'Final Attainment'!K9,,CHAR(10),"CO Attainment Level ",'Final Attainment'!H10,": ",'Final Attainment'!K10)</f>
        <v>CO Attainment Level 0: &lt;50% of students scoring less than the target marks
CO Attainment Level 1: 50% of students scoring more than the target marks
CO Attainment Level 2: 60% of students scoring more than the target marks
CO Attainment Level 3: 70% of students scoring more than the target marks</v>
      </c>
      <c r="Y1" s="69"/>
      <c r="Z1" s="69"/>
    </row>
    <row r="2" spans="1:26" ht="19.5" customHeight="1">
      <c r="A2" s="233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130"/>
      <c r="X2" s="130"/>
    </row>
    <row r="3" spans="1:26" ht="15.75" customHeight="1">
      <c r="A3" s="70"/>
      <c r="B3" s="70"/>
      <c r="C3" s="70"/>
      <c r="D3" s="70"/>
      <c r="I3" s="70"/>
      <c r="J3" s="70"/>
      <c r="K3" s="71"/>
      <c r="L3" s="70"/>
      <c r="O3" s="70"/>
      <c r="R3" s="70"/>
      <c r="S3" s="70"/>
      <c r="V3" s="70"/>
      <c r="W3" s="70"/>
      <c r="X3" s="70"/>
      <c r="Y3" s="71"/>
      <c r="Z3" s="71"/>
    </row>
    <row r="4" spans="1:26" ht="39" customHeight="1">
      <c r="A4" s="234" t="s">
        <v>202</v>
      </c>
      <c r="B4" s="224"/>
      <c r="C4" s="131" t="s">
        <v>230</v>
      </c>
      <c r="D4" s="70"/>
      <c r="F4" s="132" t="s">
        <v>203</v>
      </c>
      <c r="G4" s="133" t="s">
        <v>231</v>
      </c>
      <c r="H4" s="235" t="s">
        <v>204</v>
      </c>
      <c r="I4" s="224"/>
      <c r="J4" s="224"/>
      <c r="K4" s="236" t="str">
        <f>Theory!C3</f>
        <v>22EE401 &amp; POWER GENERATION, TRANSMISSION AND DISTRIBUTION</v>
      </c>
      <c r="L4" s="224"/>
      <c r="M4" s="224"/>
      <c r="N4" s="224"/>
      <c r="O4" s="224"/>
      <c r="P4" s="224"/>
      <c r="Q4" s="224"/>
      <c r="R4" s="132" t="s">
        <v>232</v>
      </c>
      <c r="S4" s="134" t="str">
        <f>Theory!C4</f>
        <v>Dr.SIVARAMAN P / EE1329</v>
      </c>
      <c r="U4" s="74"/>
      <c r="V4" s="74"/>
      <c r="W4" s="70"/>
      <c r="X4" s="70"/>
      <c r="Y4" s="71"/>
      <c r="Z4" s="71"/>
    </row>
    <row r="5" spans="1:26" ht="15.75" customHeight="1">
      <c r="A5" s="70"/>
      <c r="B5" s="70"/>
      <c r="C5" s="70"/>
      <c r="D5" s="76"/>
      <c r="I5" s="70"/>
      <c r="J5" s="70"/>
      <c r="K5" s="71"/>
      <c r="L5" s="135"/>
      <c r="O5" s="70"/>
      <c r="R5" s="135"/>
      <c r="S5" s="135"/>
      <c r="V5" s="70"/>
      <c r="W5" s="70"/>
      <c r="X5" s="70"/>
      <c r="Y5" s="71"/>
      <c r="Z5" s="71"/>
    </row>
    <row r="6" spans="1:26" ht="24.75" customHeight="1">
      <c r="A6" s="70"/>
      <c r="B6" s="70"/>
      <c r="C6" s="70"/>
      <c r="D6" s="76"/>
      <c r="G6" s="136" t="s">
        <v>12</v>
      </c>
      <c r="H6" s="137" t="s">
        <v>233</v>
      </c>
      <c r="I6" s="70" t="s">
        <v>234</v>
      </c>
      <c r="J6" s="70" t="s">
        <v>235</v>
      </c>
      <c r="K6" s="71"/>
      <c r="L6" s="77"/>
      <c r="O6" s="70"/>
      <c r="R6" s="77"/>
      <c r="S6" s="77"/>
      <c r="V6" s="70"/>
      <c r="W6" s="70"/>
      <c r="X6" s="70"/>
      <c r="Y6" s="71"/>
      <c r="Z6" s="71"/>
    </row>
    <row r="7" spans="1:26" ht="15.75" customHeight="1">
      <c r="A7" s="70"/>
      <c r="B7" s="275" t="s">
        <v>236</v>
      </c>
      <c r="C7" s="224"/>
      <c r="D7" s="224"/>
      <c r="E7" s="138">
        <v>58</v>
      </c>
      <c r="G7" s="136" t="s">
        <v>237</v>
      </c>
      <c r="H7" s="136">
        <v>0</v>
      </c>
      <c r="I7" s="70">
        <v>0</v>
      </c>
      <c r="J7" s="70">
        <v>50</v>
      </c>
      <c r="K7" s="139" t="s">
        <v>238</v>
      </c>
      <c r="L7" s="135"/>
      <c r="O7" s="70"/>
      <c r="R7" s="135"/>
      <c r="S7" s="135"/>
      <c r="V7" s="70"/>
      <c r="W7" s="70"/>
      <c r="X7" s="70"/>
      <c r="Y7" s="71"/>
      <c r="Z7" s="71"/>
    </row>
    <row r="8" spans="1:26" ht="15.75" customHeight="1">
      <c r="A8" s="70"/>
      <c r="B8" s="135"/>
      <c r="C8" s="135"/>
      <c r="D8" s="140"/>
      <c r="E8" s="141"/>
      <c r="G8" s="136" t="s">
        <v>239</v>
      </c>
      <c r="H8" s="136">
        <v>1</v>
      </c>
      <c r="I8" s="70">
        <v>50</v>
      </c>
      <c r="J8" s="70">
        <v>60</v>
      </c>
      <c r="K8" s="142" t="s">
        <v>240</v>
      </c>
      <c r="L8" s="135"/>
      <c r="O8" s="70"/>
      <c r="R8" s="135"/>
      <c r="S8" s="135"/>
      <c r="V8" s="70"/>
      <c r="W8" s="70"/>
      <c r="X8" s="70"/>
      <c r="Y8" s="71"/>
      <c r="Z8" s="71"/>
    </row>
    <row r="9" spans="1:26" ht="15.75" customHeight="1">
      <c r="A9" s="70"/>
      <c r="B9" s="70"/>
      <c r="C9" s="70"/>
      <c r="D9" s="76"/>
      <c r="G9" s="136" t="s">
        <v>241</v>
      </c>
      <c r="H9" s="136">
        <v>2</v>
      </c>
      <c r="I9" s="70">
        <v>60</v>
      </c>
      <c r="J9" s="70">
        <v>70</v>
      </c>
      <c r="K9" s="143" t="s">
        <v>242</v>
      </c>
      <c r="L9" s="135"/>
      <c r="O9" s="70"/>
      <c r="R9" s="135"/>
      <c r="S9" s="135"/>
      <c r="V9" s="70"/>
      <c r="W9" s="70"/>
      <c r="X9" s="70"/>
      <c r="Y9" s="71"/>
      <c r="Z9" s="71"/>
    </row>
    <row r="10" spans="1:26" ht="15.75" customHeight="1">
      <c r="A10" s="70"/>
      <c r="B10" s="70"/>
      <c r="C10" s="70"/>
      <c r="D10" s="76"/>
      <c r="G10" s="136" t="s">
        <v>243</v>
      </c>
      <c r="H10" s="136">
        <v>3</v>
      </c>
      <c r="I10" s="70">
        <v>70</v>
      </c>
      <c r="J10" s="70">
        <v>100</v>
      </c>
      <c r="K10" s="143" t="s">
        <v>244</v>
      </c>
      <c r="L10" s="135"/>
      <c r="O10" s="70"/>
      <c r="R10" s="135"/>
      <c r="S10" s="135"/>
      <c r="V10" s="70"/>
      <c r="W10" s="70"/>
      <c r="X10" s="70"/>
      <c r="Y10" s="71"/>
      <c r="Z10" s="71"/>
    </row>
    <row r="11" spans="1:26" ht="15.75" customHeight="1">
      <c r="A11" s="70"/>
      <c r="B11" s="70"/>
      <c r="C11" s="70"/>
      <c r="D11" s="76"/>
      <c r="G11" s="136"/>
      <c r="H11" s="136"/>
      <c r="I11" s="70"/>
      <c r="J11" s="70"/>
      <c r="K11" s="71"/>
      <c r="L11" s="135"/>
      <c r="O11" s="70"/>
      <c r="R11" s="135"/>
      <c r="S11" s="135"/>
      <c r="V11" s="70"/>
      <c r="W11" s="144"/>
      <c r="X11" s="70"/>
      <c r="Y11" s="71"/>
      <c r="Z11" s="71"/>
    </row>
    <row r="12" spans="1:26" ht="15.75" customHeight="1">
      <c r="A12" s="70"/>
      <c r="B12" s="70"/>
      <c r="C12" s="70"/>
      <c r="D12" s="76"/>
      <c r="G12" s="136"/>
      <c r="H12" s="136"/>
      <c r="I12" s="70"/>
      <c r="J12" s="70"/>
      <c r="K12" s="71"/>
      <c r="L12" s="135"/>
      <c r="O12" s="70"/>
      <c r="R12" s="135"/>
      <c r="S12" s="135"/>
      <c r="V12" s="70"/>
      <c r="W12" s="70"/>
      <c r="X12" s="70"/>
      <c r="Y12" s="71"/>
      <c r="Z12" s="71"/>
    </row>
    <row r="13" spans="1:26" ht="15.75" customHeight="1">
      <c r="A13" s="70"/>
      <c r="B13" s="70"/>
      <c r="C13" s="70"/>
      <c r="D13" s="76"/>
      <c r="I13" s="70"/>
      <c r="J13" s="70"/>
      <c r="K13" s="71"/>
      <c r="L13" s="135"/>
      <c r="O13" s="70"/>
      <c r="R13" s="135"/>
      <c r="S13" s="135"/>
      <c r="V13" s="70"/>
      <c r="W13" s="70"/>
      <c r="X13" s="70"/>
      <c r="Y13" s="71"/>
      <c r="Z13" s="71"/>
    </row>
    <row r="14" spans="1:26" ht="15.75" customHeight="1">
      <c r="A14" s="70"/>
      <c r="B14" s="70"/>
      <c r="C14" s="70"/>
      <c r="D14" s="76"/>
      <c r="I14" s="70"/>
      <c r="J14" s="70"/>
      <c r="K14" s="71"/>
      <c r="L14" s="135"/>
      <c r="O14" s="70"/>
      <c r="R14" s="135"/>
      <c r="S14" s="135"/>
      <c r="V14" s="70"/>
      <c r="W14" s="70"/>
      <c r="X14" s="70"/>
      <c r="Y14" s="71"/>
      <c r="Z14" s="71"/>
    </row>
    <row r="15" spans="1:26" ht="15.75" customHeight="1">
      <c r="A15" s="70"/>
      <c r="B15" s="70"/>
      <c r="C15" s="70"/>
      <c r="D15" s="76"/>
      <c r="I15" s="70"/>
      <c r="J15" s="70"/>
      <c r="K15" s="71"/>
      <c r="L15" s="135"/>
      <c r="O15" s="70"/>
      <c r="R15" s="135"/>
      <c r="S15" s="135"/>
      <c r="V15" s="70"/>
      <c r="W15" s="70"/>
      <c r="X15" s="70"/>
      <c r="Y15" s="71"/>
      <c r="Z15" s="71"/>
    </row>
    <row r="16" spans="1:26" ht="15.75" customHeight="1">
      <c r="A16" s="70"/>
      <c r="B16" s="70"/>
      <c r="C16" s="70"/>
      <c r="D16" s="76"/>
      <c r="I16" s="70"/>
      <c r="J16" s="70"/>
      <c r="K16" s="71"/>
      <c r="L16" s="135"/>
      <c r="O16" s="70"/>
      <c r="R16" s="135"/>
      <c r="S16" s="135"/>
      <c r="V16" s="70"/>
      <c r="W16" s="70"/>
      <c r="X16" s="70"/>
      <c r="Y16" s="71"/>
      <c r="Z16" s="71"/>
    </row>
    <row r="17" spans="1:26" ht="15.75" customHeight="1">
      <c r="A17" s="276" t="s">
        <v>245</v>
      </c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8"/>
      <c r="W17" s="70"/>
      <c r="X17" s="70"/>
      <c r="Y17" s="71"/>
      <c r="Z17" s="71"/>
    </row>
    <row r="18" spans="1:26" ht="15.75" customHeight="1">
      <c r="A18" s="277"/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8"/>
      <c r="U18" s="278"/>
      <c r="V18" s="279"/>
      <c r="W18" s="70"/>
      <c r="X18" s="70"/>
      <c r="Y18" s="71"/>
      <c r="Z18" s="71"/>
    </row>
    <row r="19" spans="1:26" ht="10.5" customHeight="1">
      <c r="A19" s="145"/>
      <c r="B19" s="146"/>
      <c r="C19" s="146"/>
      <c r="D19" s="146"/>
      <c r="E19" s="146"/>
      <c r="F19" s="146"/>
      <c r="G19" s="146"/>
      <c r="H19" s="146"/>
      <c r="I19" s="146"/>
      <c r="J19" s="146"/>
      <c r="K19" s="130"/>
      <c r="M19" s="146"/>
      <c r="N19" s="146"/>
      <c r="O19" s="146"/>
      <c r="P19" s="146"/>
      <c r="Q19" s="146"/>
      <c r="R19" s="146"/>
      <c r="S19" s="146"/>
      <c r="T19" s="146"/>
      <c r="U19" s="146"/>
      <c r="V19" s="147"/>
      <c r="W19" s="70"/>
      <c r="X19" s="70"/>
      <c r="Y19" s="71"/>
      <c r="Z19" s="71"/>
    </row>
    <row r="20" spans="1:26" ht="15.75" customHeight="1">
      <c r="A20" s="145"/>
      <c r="B20" s="98"/>
      <c r="C20" s="98"/>
      <c r="D20" s="98"/>
      <c r="E20" s="86"/>
      <c r="F20" s="280" t="s">
        <v>246</v>
      </c>
      <c r="G20" s="212"/>
      <c r="H20" s="212"/>
      <c r="I20" s="212"/>
      <c r="J20" s="212"/>
      <c r="K20" s="213"/>
      <c r="L20" s="148"/>
      <c r="M20" s="148" t="s">
        <v>209</v>
      </c>
      <c r="N20" s="148" t="s">
        <v>210</v>
      </c>
      <c r="O20" s="148" t="s">
        <v>211</v>
      </c>
      <c r="P20" s="148" t="s">
        <v>212</v>
      </c>
      <c r="Q20" s="148" t="s">
        <v>213</v>
      </c>
      <c r="R20" s="149"/>
      <c r="S20" s="98"/>
      <c r="T20" s="98"/>
      <c r="U20" s="98"/>
      <c r="V20" s="150"/>
      <c r="W20" s="70"/>
      <c r="X20" s="70"/>
      <c r="Y20" s="71"/>
      <c r="Z20" s="71"/>
    </row>
    <row r="21" spans="1:26" ht="15.75" customHeight="1">
      <c r="A21" s="145"/>
      <c r="B21" s="98"/>
      <c r="C21" s="98"/>
      <c r="D21" s="98"/>
      <c r="E21" s="86"/>
      <c r="F21" s="281" t="s">
        <v>247</v>
      </c>
      <c r="G21" s="212"/>
      <c r="H21" s="212"/>
      <c r="I21" s="212"/>
      <c r="J21" s="212"/>
      <c r="K21" s="213"/>
      <c r="L21" s="151">
        <v>0.12</v>
      </c>
      <c r="M21" s="81">
        <f t="shared" ref="M21:M24" ca="1" si="0">INDIRECT("'"&amp;$F21&amp;"'!R11")</f>
        <v>2</v>
      </c>
      <c r="N21" s="81">
        <f t="shared" ref="N21:N24" ca="1" si="1">INDIRECT("'"&amp;$F21&amp;"'!S11")</f>
        <v>2</v>
      </c>
      <c r="O21" s="81">
        <f t="shared" ref="O21:O24" ca="1" si="2">INDIRECT("'"&amp;$F21&amp;"'!T11")</f>
        <v>3</v>
      </c>
      <c r="P21" s="81"/>
      <c r="Q21" s="81"/>
      <c r="R21" s="149"/>
      <c r="S21" s="98"/>
      <c r="T21" s="98"/>
      <c r="U21" s="98"/>
      <c r="V21" s="150"/>
      <c r="W21" s="70"/>
      <c r="X21" s="70"/>
      <c r="Y21" s="71"/>
      <c r="Z21" s="71"/>
    </row>
    <row r="22" spans="1:26" ht="15.75" customHeight="1">
      <c r="A22" s="145"/>
      <c r="B22" s="98"/>
      <c r="C22" s="98"/>
      <c r="D22" s="98"/>
      <c r="E22" s="86"/>
      <c r="F22" s="281" t="s">
        <v>248</v>
      </c>
      <c r="G22" s="212"/>
      <c r="H22" s="212"/>
      <c r="I22" s="212"/>
      <c r="J22" s="212"/>
      <c r="K22" s="213"/>
      <c r="L22" s="152">
        <v>0.12</v>
      </c>
      <c r="M22" s="81" t="str">
        <f t="shared" ca="1" si="0"/>
        <v/>
      </c>
      <c r="N22" s="81" t="str">
        <f t="shared" ca="1" si="1"/>
        <v/>
      </c>
      <c r="O22" s="81">
        <f t="shared" ca="1" si="2"/>
        <v>3</v>
      </c>
      <c r="P22" s="81">
        <f t="shared" ref="P22:P24" ca="1" si="3">INDIRECT("'"&amp;F22&amp;"'!U11")</f>
        <v>2</v>
      </c>
      <c r="Q22" s="81">
        <f t="shared" ref="Q22:Q24" ca="1" si="4">INDIRECT("'"&amp;$F22&amp;"'!V11")</f>
        <v>2</v>
      </c>
      <c r="R22" s="153"/>
      <c r="S22" s="100"/>
      <c r="T22" s="100"/>
      <c r="U22" s="100"/>
      <c r="V22" s="147"/>
      <c r="W22" s="70"/>
      <c r="X22" s="70"/>
      <c r="Y22" s="71"/>
      <c r="Z22" s="71"/>
    </row>
    <row r="23" spans="1:26" ht="15.75" customHeight="1">
      <c r="A23" s="145"/>
      <c r="B23" s="98"/>
      <c r="C23" s="98"/>
      <c r="D23" s="98"/>
      <c r="E23" s="86"/>
      <c r="F23" s="282" t="s">
        <v>200</v>
      </c>
      <c r="G23" s="212"/>
      <c r="H23" s="212"/>
      <c r="I23" s="212"/>
      <c r="J23" s="212"/>
      <c r="K23" s="213"/>
      <c r="L23" s="154">
        <v>0.08</v>
      </c>
      <c r="M23" s="81">
        <f t="shared" ca="1" si="0"/>
        <v>3</v>
      </c>
      <c r="N23" s="81" t="str">
        <f t="shared" ca="1" si="1"/>
        <v/>
      </c>
      <c r="O23" s="81" t="str">
        <f t="shared" ca="1" si="2"/>
        <v/>
      </c>
      <c r="P23" s="81" t="str">
        <f t="shared" ca="1" si="3"/>
        <v/>
      </c>
      <c r="Q23" s="81" t="str">
        <f t="shared" ca="1" si="4"/>
        <v/>
      </c>
      <c r="R23" s="153"/>
      <c r="S23" s="100"/>
      <c r="T23" s="100"/>
      <c r="U23" s="100"/>
      <c r="V23" s="147"/>
      <c r="W23" s="70"/>
      <c r="X23" s="70"/>
      <c r="Y23" s="71"/>
      <c r="Z23" s="71"/>
    </row>
    <row r="24" spans="1:26" ht="15.75" customHeight="1">
      <c r="A24" s="145"/>
      <c r="B24" s="98"/>
      <c r="C24" s="98"/>
      <c r="D24" s="98"/>
      <c r="E24" s="86"/>
      <c r="F24" s="281" t="s">
        <v>201</v>
      </c>
      <c r="G24" s="212"/>
      <c r="H24" s="212"/>
      <c r="I24" s="212"/>
      <c r="J24" s="212"/>
      <c r="K24" s="213"/>
      <c r="L24" s="152">
        <v>0.08</v>
      </c>
      <c r="M24" s="81" t="str">
        <f t="shared" ca="1" si="0"/>
        <v/>
      </c>
      <c r="N24" s="81" t="str">
        <f t="shared" ca="1" si="1"/>
        <v/>
      </c>
      <c r="O24" s="81" t="str">
        <f t="shared" ca="1" si="2"/>
        <v/>
      </c>
      <c r="P24" s="81">
        <f t="shared" ca="1" si="3"/>
        <v>3</v>
      </c>
      <c r="Q24" s="81" t="str">
        <f t="shared" ca="1" si="4"/>
        <v/>
      </c>
      <c r="R24" s="149"/>
      <c r="S24" s="98"/>
      <c r="T24" s="98"/>
      <c r="U24" s="98"/>
      <c r="V24" s="150"/>
      <c r="W24" s="70"/>
      <c r="X24" s="70"/>
      <c r="Y24" s="71"/>
      <c r="Z24" s="71"/>
    </row>
    <row r="25" spans="1:26" ht="15.75" customHeight="1">
      <c r="A25" s="145"/>
      <c r="B25" s="98"/>
      <c r="C25" s="98"/>
      <c r="D25" s="98"/>
      <c r="E25" s="86"/>
      <c r="F25" s="281"/>
      <c r="G25" s="212"/>
      <c r="H25" s="212"/>
      <c r="I25" s="212"/>
      <c r="J25" s="212"/>
      <c r="K25" s="213"/>
      <c r="L25" s="155"/>
      <c r="M25" s="81"/>
      <c r="N25" s="81"/>
      <c r="O25" s="81"/>
      <c r="P25" s="81"/>
      <c r="Q25" s="81"/>
      <c r="R25" s="149"/>
      <c r="S25" s="98"/>
      <c r="T25" s="98"/>
      <c r="U25" s="98"/>
      <c r="V25" s="150"/>
      <c r="W25" s="70"/>
      <c r="X25" s="70"/>
      <c r="Y25" s="71"/>
      <c r="Z25" s="71"/>
    </row>
    <row r="26" spans="1:26" ht="15.75" customHeight="1">
      <c r="A26" s="145"/>
      <c r="B26" s="98"/>
      <c r="C26" s="98"/>
      <c r="D26" s="98"/>
      <c r="E26" s="86"/>
      <c r="F26" s="281"/>
      <c r="G26" s="212"/>
      <c r="H26" s="212"/>
      <c r="I26" s="212"/>
      <c r="J26" s="212"/>
      <c r="K26" s="213"/>
      <c r="L26" s="155"/>
      <c r="M26" s="81"/>
      <c r="N26" s="81"/>
      <c r="O26" s="81"/>
      <c r="P26" s="81"/>
      <c r="Q26" s="81"/>
      <c r="R26" s="149"/>
      <c r="S26" s="98"/>
      <c r="T26" s="98"/>
      <c r="U26" s="98"/>
      <c r="V26" s="150"/>
      <c r="W26" s="70"/>
      <c r="X26" s="70"/>
      <c r="Y26" s="71"/>
      <c r="Z26" s="71"/>
    </row>
    <row r="27" spans="1:26" ht="15.75" customHeight="1">
      <c r="A27" s="145"/>
      <c r="B27" s="98"/>
      <c r="C27" s="98"/>
      <c r="D27" s="98"/>
      <c r="E27" s="86"/>
      <c r="F27" s="281"/>
      <c r="G27" s="212"/>
      <c r="H27" s="212"/>
      <c r="I27" s="212"/>
      <c r="J27" s="212"/>
      <c r="K27" s="213"/>
      <c r="L27" s="155"/>
      <c r="M27" s="81"/>
      <c r="N27" s="81"/>
      <c r="O27" s="81"/>
      <c r="P27" s="81"/>
      <c r="Q27" s="81"/>
      <c r="R27" s="149"/>
      <c r="S27" s="98"/>
      <c r="T27" s="98"/>
      <c r="U27" s="98"/>
      <c r="V27" s="150"/>
      <c r="W27" s="70"/>
      <c r="X27" s="70"/>
      <c r="Y27" s="71"/>
      <c r="Z27" s="71"/>
    </row>
    <row r="28" spans="1:26" ht="15.75" customHeight="1">
      <c r="A28" s="145"/>
      <c r="B28" s="98"/>
      <c r="C28" s="98"/>
      <c r="D28" s="98"/>
      <c r="E28" s="86"/>
      <c r="F28" s="281"/>
      <c r="G28" s="212"/>
      <c r="H28" s="212"/>
      <c r="I28" s="212"/>
      <c r="J28" s="212"/>
      <c r="K28" s="213"/>
      <c r="L28" s="155"/>
      <c r="M28" s="81"/>
      <c r="N28" s="81"/>
      <c r="O28" s="81"/>
      <c r="P28" s="81"/>
      <c r="Q28" s="81"/>
      <c r="R28" s="149"/>
      <c r="S28" s="98"/>
      <c r="T28" s="98"/>
      <c r="U28" s="98"/>
      <c r="V28" s="150"/>
      <c r="W28" s="70"/>
      <c r="X28" s="70"/>
      <c r="Y28" s="71"/>
      <c r="Z28" s="71"/>
    </row>
    <row r="29" spans="1:26" ht="15.75" customHeight="1">
      <c r="A29" s="145"/>
      <c r="B29" s="98"/>
      <c r="C29" s="98"/>
      <c r="D29" s="98"/>
      <c r="E29" s="86"/>
      <c r="F29" s="283" t="s">
        <v>249</v>
      </c>
      <c r="G29" s="212"/>
      <c r="H29" s="212"/>
      <c r="I29" s="212"/>
      <c r="J29" s="212"/>
      <c r="K29" s="213"/>
      <c r="L29" s="156">
        <v>0.6</v>
      </c>
      <c r="M29" s="157">
        <f t="array" aca="1" ref="M29" ca="1">INDIRECT("'"&amp;$F29&amp;"'!R11")</f>
        <v>3</v>
      </c>
      <c r="N29" s="157">
        <f t="array" aca="1" ref="N29" ca="1">INDIRECT("'"&amp;$F29&amp;"'!S11")</f>
        <v>2</v>
      </c>
      <c r="O29" s="157">
        <f t="array" aca="1" ref="O29" ca="1">INDIRECT("'"&amp;$F29&amp;"'!T11")</f>
        <v>3</v>
      </c>
      <c r="P29" s="157">
        <f t="array" aca="1" ref="P29" ca="1">INDIRECT("'"&amp;F29&amp;"'!U11")</f>
        <v>0</v>
      </c>
      <c r="Q29" s="157">
        <f t="array" aca="1" ref="Q29" ca="1">INDIRECT("'"&amp;$F29&amp;"'!V11")</f>
        <v>3</v>
      </c>
      <c r="R29" s="149"/>
      <c r="S29" s="98"/>
      <c r="T29" s="98"/>
      <c r="U29" s="98"/>
      <c r="V29" s="150"/>
      <c r="W29" s="70"/>
      <c r="X29" s="70"/>
      <c r="Y29" s="71"/>
      <c r="Z29" s="71"/>
    </row>
    <row r="30" spans="1:26" ht="15.75" customHeight="1">
      <c r="A30" s="145"/>
      <c r="B30" s="98"/>
      <c r="C30" s="98"/>
      <c r="D30" s="98"/>
      <c r="E30" s="86"/>
      <c r="F30" s="284" t="s">
        <v>250</v>
      </c>
      <c r="G30" s="227"/>
      <c r="H30" s="227"/>
      <c r="I30" s="227"/>
      <c r="J30" s="227"/>
      <c r="K30" s="221"/>
      <c r="L30" s="158">
        <v>0.4</v>
      </c>
      <c r="M30" s="158">
        <f t="shared" ref="M30:Q30" ca="1" si="5">SUMPRODUCT($L$21:$L$27,M21:M27)/SUMIF(M21:M27,"&gt;=0",$L$21:$L$27)</f>
        <v>2.4</v>
      </c>
      <c r="N30" s="158">
        <f t="shared" ca="1" si="5"/>
        <v>2</v>
      </c>
      <c r="O30" s="158">
        <f t="shared" ca="1" si="5"/>
        <v>3</v>
      </c>
      <c r="P30" s="158">
        <f t="shared" ca="1" si="5"/>
        <v>2.4</v>
      </c>
      <c r="Q30" s="158">
        <f t="shared" ca="1" si="5"/>
        <v>2</v>
      </c>
      <c r="R30" s="159"/>
      <c r="S30" s="160"/>
      <c r="T30" s="160"/>
      <c r="U30" s="160"/>
      <c r="V30" s="147"/>
      <c r="W30" s="70"/>
      <c r="X30" s="161"/>
      <c r="Y30" s="71"/>
      <c r="Z30" s="71"/>
    </row>
    <row r="31" spans="1:26" ht="15.75" customHeight="1">
      <c r="A31" s="145"/>
      <c r="B31" s="98"/>
      <c r="C31" s="98"/>
      <c r="D31" s="98"/>
      <c r="E31" s="86"/>
      <c r="F31" s="285" t="s">
        <v>251</v>
      </c>
      <c r="G31" s="227"/>
      <c r="H31" s="227"/>
      <c r="I31" s="227"/>
      <c r="J31" s="227"/>
      <c r="K31" s="221"/>
      <c r="L31" s="162"/>
      <c r="M31" s="163">
        <f t="shared" ref="M31:Q31" ca="1" si="6">SUMPRODUCT($L$29:$L$30,M29:M30)/SUMIF(M29:M30,"&gt;=0",$L$29:$L$30)</f>
        <v>2.76</v>
      </c>
      <c r="N31" s="163">
        <f t="shared" ca="1" si="6"/>
        <v>2</v>
      </c>
      <c r="O31" s="163">
        <f t="shared" ca="1" si="6"/>
        <v>3</v>
      </c>
      <c r="P31" s="163">
        <f t="shared" ca="1" si="6"/>
        <v>0.96</v>
      </c>
      <c r="Q31" s="163">
        <f t="shared" ca="1" si="6"/>
        <v>2.5999999999999996</v>
      </c>
      <c r="R31" s="159"/>
      <c r="S31" s="160"/>
      <c r="T31" s="160"/>
      <c r="U31" s="160"/>
      <c r="V31" s="147"/>
      <c r="W31" s="161"/>
      <c r="X31" s="164"/>
      <c r="Y31" s="71"/>
      <c r="Z31" s="71"/>
    </row>
    <row r="32" spans="1:26" ht="15.75" customHeight="1">
      <c r="A32" s="145"/>
      <c r="B32" s="98"/>
      <c r="C32" s="98"/>
      <c r="D32" s="98"/>
      <c r="E32" s="86"/>
      <c r="F32" s="286" t="s">
        <v>252</v>
      </c>
      <c r="G32" s="227"/>
      <c r="H32" s="227"/>
      <c r="I32" s="227"/>
      <c r="J32" s="227"/>
      <c r="K32" s="221"/>
      <c r="L32" s="165"/>
      <c r="M32" s="166">
        <v>2.4</v>
      </c>
      <c r="N32" s="166">
        <v>2.4</v>
      </c>
      <c r="O32" s="166">
        <v>2.4</v>
      </c>
      <c r="P32" s="166">
        <v>3</v>
      </c>
      <c r="Q32" s="166">
        <v>3</v>
      </c>
      <c r="R32" s="159"/>
      <c r="S32" s="160"/>
      <c r="T32" s="160"/>
      <c r="U32" s="160"/>
      <c r="V32" s="147"/>
      <c r="W32" s="70"/>
      <c r="X32" s="164"/>
      <c r="Y32" s="71"/>
      <c r="Z32" s="71"/>
    </row>
    <row r="33" spans="1:26" ht="15.75" customHeight="1">
      <c r="A33" s="145"/>
      <c r="B33" s="98"/>
      <c r="C33" s="98"/>
      <c r="D33" s="98"/>
      <c r="E33" s="86"/>
      <c r="F33" s="287" t="s">
        <v>253</v>
      </c>
      <c r="G33" s="227"/>
      <c r="H33" s="227"/>
      <c r="I33" s="227"/>
      <c r="J33" s="227"/>
      <c r="K33" s="221"/>
      <c r="L33" s="167"/>
      <c r="M33" s="168">
        <f ca="1">0.8*M31+0.2*M32</f>
        <v>2.6879999999999997</v>
      </c>
      <c r="N33" s="168">
        <f ca="1">0.8*N31+0.2*N32</f>
        <v>2.08</v>
      </c>
      <c r="O33" s="168">
        <f ca="1">0.8*O31+0.2*O32</f>
        <v>2.8800000000000003</v>
      </c>
      <c r="P33" s="168">
        <f ca="1">0.8*P31+0.2*P32</f>
        <v>1.3680000000000001</v>
      </c>
      <c r="Q33" s="168">
        <f ca="1">0.8*Q31+0.2*Q32</f>
        <v>2.6799999999999997</v>
      </c>
      <c r="R33" s="159"/>
      <c r="S33" s="160"/>
      <c r="T33" s="160"/>
      <c r="U33" s="160"/>
      <c r="V33" s="147"/>
      <c r="W33" s="70"/>
      <c r="X33" s="164"/>
      <c r="Y33" s="71"/>
      <c r="Z33" s="71"/>
    </row>
    <row r="34" spans="1:26" ht="9.75" customHeight="1">
      <c r="A34" s="169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1"/>
      <c r="R34" s="172"/>
      <c r="S34" s="172"/>
      <c r="T34" s="171"/>
      <c r="U34" s="171"/>
      <c r="V34" s="173"/>
      <c r="W34" s="70"/>
      <c r="X34" s="164"/>
      <c r="Y34" s="71"/>
      <c r="Z34" s="71"/>
    </row>
    <row r="35" spans="1:26" ht="15.75" customHeight="1">
      <c r="A35" s="276" t="s">
        <v>254</v>
      </c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8"/>
      <c r="W35" s="70"/>
      <c r="X35" s="164"/>
      <c r="Y35" s="71"/>
      <c r="Z35" s="71"/>
    </row>
    <row r="36" spans="1:26" ht="15.75" customHeight="1">
      <c r="A36" s="277"/>
      <c r="B36" s="278"/>
      <c r="C36" s="278"/>
      <c r="D36" s="278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9"/>
      <c r="W36" s="70"/>
      <c r="X36" s="164"/>
      <c r="Y36" s="71"/>
      <c r="Z36" s="71"/>
    </row>
    <row r="37" spans="1:26" ht="24" customHeight="1">
      <c r="A37" s="174"/>
      <c r="B37" s="175"/>
      <c r="C37" s="175"/>
      <c r="D37" s="293" t="s">
        <v>255</v>
      </c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175"/>
      <c r="U37" s="175"/>
      <c r="V37" s="176"/>
      <c r="W37" s="70"/>
      <c r="X37" s="164"/>
      <c r="Y37" s="71"/>
      <c r="Z37" s="71"/>
    </row>
    <row r="38" spans="1:26" ht="15.75" customHeight="1">
      <c r="A38" s="177"/>
      <c r="B38" s="130"/>
      <c r="D38" s="178" t="s">
        <v>256</v>
      </c>
      <c r="E38" s="178" t="s">
        <v>52</v>
      </c>
      <c r="F38" s="178" t="s">
        <v>55</v>
      </c>
      <c r="G38" s="178" t="s">
        <v>58</v>
      </c>
      <c r="H38" s="178" t="s">
        <v>61</v>
      </c>
      <c r="I38" s="178" t="s">
        <v>64</v>
      </c>
      <c r="J38" s="178" t="s">
        <v>67</v>
      </c>
      <c r="K38" s="178" t="s">
        <v>70</v>
      </c>
      <c r="L38" s="178" t="s">
        <v>73</v>
      </c>
      <c r="M38" s="178" t="s">
        <v>76</v>
      </c>
      <c r="N38" s="178" t="s">
        <v>79</v>
      </c>
      <c r="O38" s="178" t="s">
        <v>82</v>
      </c>
      <c r="P38" s="178" t="s">
        <v>85</v>
      </c>
      <c r="Q38" s="178" t="s">
        <v>88</v>
      </c>
      <c r="R38" s="178" t="s">
        <v>91</v>
      </c>
      <c r="S38" s="178" t="s">
        <v>94</v>
      </c>
      <c r="T38" s="136"/>
      <c r="U38" s="136"/>
      <c r="V38" s="147"/>
      <c r="W38" s="70"/>
      <c r="X38" s="164"/>
      <c r="Y38" s="71"/>
      <c r="Z38" s="71"/>
    </row>
    <row r="39" spans="1:26" ht="15.75" customHeight="1">
      <c r="A39" s="145"/>
      <c r="D39" s="179">
        <v>1</v>
      </c>
      <c r="E39" s="180">
        <v>3</v>
      </c>
      <c r="F39" s="180">
        <v>2</v>
      </c>
      <c r="G39" s="180">
        <v>2</v>
      </c>
      <c r="H39" s="180">
        <v>2</v>
      </c>
      <c r="I39" s="180"/>
      <c r="J39" s="180"/>
      <c r="K39" s="180"/>
      <c r="L39" s="180"/>
      <c r="M39" s="180"/>
      <c r="N39" s="180">
        <v>1</v>
      </c>
      <c r="O39" s="180"/>
      <c r="P39" s="180"/>
      <c r="Q39" s="180">
        <v>3</v>
      </c>
      <c r="R39" s="180">
        <v>2</v>
      </c>
      <c r="S39" s="180"/>
      <c r="T39" s="181"/>
      <c r="U39" s="181"/>
      <c r="V39" s="147"/>
      <c r="W39" s="70"/>
      <c r="X39" s="164"/>
      <c r="Y39" s="71"/>
      <c r="Z39" s="71"/>
    </row>
    <row r="40" spans="1:26" ht="15.75" customHeight="1">
      <c r="A40" s="145"/>
      <c r="D40" s="179">
        <v>2</v>
      </c>
      <c r="E40" s="180">
        <v>3</v>
      </c>
      <c r="F40" s="180">
        <v>3</v>
      </c>
      <c r="G40" s="180">
        <v>2</v>
      </c>
      <c r="H40" s="180">
        <v>2</v>
      </c>
      <c r="I40" s="180"/>
      <c r="J40" s="180"/>
      <c r="K40" s="180"/>
      <c r="L40" s="180"/>
      <c r="M40" s="180"/>
      <c r="N40" s="180">
        <v>1</v>
      </c>
      <c r="O40" s="180"/>
      <c r="P40" s="180"/>
      <c r="Q40" s="180">
        <v>3</v>
      </c>
      <c r="R40" s="180">
        <v>2</v>
      </c>
      <c r="S40" s="180"/>
      <c r="T40" s="181"/>
      <c r="U40" s="181"/>
      <c r="V40" s="147"/>
      <c r="W40" s="70"/>
      <c r="X40" s="164"/>
      <c r="Y40" s="71"/>
      <c r="Z40" s="71"/>
    </row>
    <row r="41" spans="1:26" ht="15.75" customHeight="1">
      <c r="A41" s="177"/>
      <c r="B41" s="130"/>
      <c r="D41" s="179">
        <v>3</v>
      </c>
      <c r="E41" s="180">
        <v>3</v>
      </c>
      <c r="F41" s="180">
        <v>3</v>
      </c>
      <c r="G41" s="180">
        <v>3</v>
      </c>
      <c r="H41" s="180">
        <v>2</v>
      </c>
      <c r="I41" s="180"/>
      <c r="J41" s="180"/>
      <c r="K41" s="180"/>
      <c r="L41" s="180"/>
      <c r="M41" s="180"/>
      <c r="N41" s="180">
        <v>2</v>
      </c>
      <c r="O41" s="180"/>
      <c r="P41" s="180"/>
      <c r="Q41" s="180">
        <v>3</v>
      </c>
      <c r="R41" s="180">
        <v>3</v>
      </c>
      <c r="S41" s="180"/>
      <c r="T41" s="181"/>
      <c r="U41" s="181"/>
      <c r="V41" s="147"/>
      <c r="W41" s="70"/>
      <c r="X41" s="164"/>
      <c r="Y41" s="71"/>
      <c r="Z41" s="71"/>
    </row>
    <row r="42" spans="1:26" ht="15.75" customHeight="1">
      <c r="A42" s="145"/>
      <c r="D42" s="179">
        <v>4</v>
      </c>
      <c r="E42" s="180">
        <v>3</v>
      </c>
      <c r="F42" s="180">
        <v>2</v>
      </c>
      <c r="G42" s="180">
        <v>3</v>
      </c>
      <c r="H42" s="180">
        <v>3</v>
      </c>
      <c r="I42" s="180">
        <v>2</v>
      </c>
      <c r="J42" s="180"/>
      <c r="K42" s="180"/>
      <c r="L42" s="180"/>
      <c r="M42" s="180"/>
      <c r="N42" s="180">
        <v>2</v>
      </c>
      <c r="O42" s="180"/>
      <c r="P42" s="180"/>
      <c r="Q42" s="180">
        <v>3</v>
      </c>
      <c r="R42" s="180">
        <v>3</v>
      </c>
      <c r="S42" s="180"/>
      <c r="T42" s="181"/>
      <c r="U42" s="181"/>
      <c r="V42" s="147"/>
      <c r="W42" s="70"/>
      <c r="X42" s="164"/>
      <c r="Y42" s="71"/>
      <c r="Z42" s="71"/>
    </row>
    <row r="43" spans="1:26" ht="15.75" customHeight="1">
      <c r="A43" s="145"/>
      <c r="D43" s="179">
        <v>5</v>
      </c>
      <c r="E43" s="180">
        <v>3</v>
      </c>
      <c r="F43" s="180">
        <v>2</v>
      </c>
      <c r="G43" s="180">
        <v>3</v>
      </c>
      <c r="H43" s="180">
        <v>2</v>
      </c>
      <c r="I43" s="180"/>
      <c r="J43" s="180"/>
      <c r="K43" s="180"/>
      <c r="L43" s="180"/>
      <c r="M43" s="180"/>
      <c r="N43" s="180">
        <v>2</v>
      </c>
      <c r="O43" s="180"/>
      <c r="P43" s="180"/>
      <c r="Q43" s="180">
        <v>3</v>
      </c>
      <c r="R43" s="180">
        <v>3</v>
      </c>
      <c r="S43" s="180"/>
      <c r="T43" s="181"/>
      <c r="U43" s="181"/>
      <c r="V43" s="147"/>
      <c r="W43" s="70"/>
      <c r="X43" s="164"/>
      <c r="Y43" s="71"/>
      <c r="Z43" s="71"/>
    </row>
    <row r="44" spans="1:26" ht="15.75" customHeight="1">
      <c r="A44" s="145"/>
      <c r="D44" s="182" t="s">
        <v>257</v>
      </c>
      <c r="E44" s="183">
        <f t="shared" ref="E44:S44" si="7">IFERROR(AVERAGE(E39:E43),"")</f>
        <v>3</v>
      </c>
      <c r="F44" s="183">
        <f t="shared" si="7"/>
        <v>2.4</v>
      </c>
      <c r="G44" s="183">
        <f t="shared" si="7"/>
        <v>2.6</v>
      </c>
      <c r="H44" s="183">
        <f t="shared" si="7"/>
        <v>2.2000000000000002</v>
      </c>
      <c r="I44" s="183">
        <f t="shared" si="7"/>
        <v>2</v>
      </c>
      <c r="J44" s="183" t="str">
        <f t="shared" si="7"/>
        <v/>
      </c>
      <c r="K44" s="183" t="str">
        <f t="shared" si="7"/>
        <v/>
      </c>
      <c r="L44" s="183" t="str">
        <f t="shared" si="7"/>
        <v/>
      </c>
      <c r="M44" s="183" t="str">
        <f t="shared" si="7"/>
        <v/>
      </c>
      <c r="N44" s="183">
        <f t="shared" si="7"/>
        <v>1.6</v>
      </c>
      <c r="O44" s="183" t="str">
        <f t="shared" si="7"/>
        <v/>
      </c>
      <c r="P44" s="183" t="str">
        <f t="shared" si="7"/>
        <v/>
      </c>
      <c r="Q44" s="183">
        <f t="shared" si="7"/>
        <v>3</v>
      </c>
      <c r="R44" s="183">
        <f t="shared" si="7"/>
        <v>2.6</v>
      </c>
      <c r="S44" s="183" t="str">
        <f t="shared" si="7"/>
        <v/>
      </c>
      <c r="V44" s="147"/>
      <c r="W44" s="70"/>
      <c r="X44" s="164"/>
      <c r="Y44" s="71"/>
      <c r="Z44" s="71"/>
    </row>
    <row r="45" spans="1:26" ht="24.75" customHeight="1">
      <c r="A45" s="145"/>
      <c r="C45" s="294" t="s">
        <v>258</v>
      </c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V45" s="147"/>
      <c r="W45" s="70"/>
      <c r="X45" s="164"/>
      <c r="Y45" s="71"/>
      <c r="Z45" s="71"/>
    </row>
    <row r="46" spans="1:26" ht="15.75" customHeight="1">
      <c r="A46" s="145"/>
      <c r="C46" s="184" t="s">
        <v>256</v>
      </c>
      <c r="D46" s="295" t="s">
        <v>259</v>
      </c>
      <c r="E46" s="213"/>
      <c r="F46" s="184" t="s">
        <v>52</v>
      </c>
      <c r="G46" s="184" t="s">
        <v>55</v>
      </c>
      <c r="H46" s="184" t="s">
        <v>58</v>
      </c>
      <c r="I46" s="184" t="s">
        <v>61</v>
      </c>
      <c r="J46" s="184" t="s">
        <v>64</v>
      </c>
      <c r="K46" s="184" t="s">
        <v>67</v>
      </c>
      <c r="L46" s="184" t="s">
        <v>70</v>
      </c>
      <c r="M46" s="184" t="s">
        <v>73</v>
      </c>
      <c r="N46" s="184" t="s">
        <v>76</v>
      </c>
      <c r="O46" s="184" t="s">
        <v>79</v>
      </c>
      <c r="P46" s="184" t="s">
        <v>82</v>
      </c>
      <c r="Q46" s="184" t="s">
        <v>85</v>
      </c>
      <c r="R46" s="184" t="s">
        <v>88</v>
      </c>
      <c r="S46" s="184" t="s">
        <v>91</v>
      </c>
      <c r="T46" s="184" t="s">
        <v>94</v>
      </c>
      <c r="V46" s="147"/>
      <c r="W46" s="70"/>
      <c r="X46" s="164"/>
      <c r="Y46" s="71"/>
      <c r="Z46" s="71"/>
    </row>
    <row r="47" spans="1:26" ht="15.75" customHeight="1">
      <c r="A47" s="145"/>
      <c r="C47" s="185">
        <v>1</v>
      </c>
      <c r="D47" s="288">
        <f ca="1">M33</f>
        <v>2.6879999999999997</v>
      </c>
      <c r="E47" s="289"/>
      <c r="F47" s="186">
        <f t="shared" ref="F47:T47" ca="1" si="8">IF(E39="","",$D$47*E39/3)</f>
        <v>2.6880000000000002</v>
      </c>
      <c r="G47" s="186">
        <f t="shared" ca="1" si="8"/>
        <v>1.7919999999999998</v>
      </c>
      <c r="H47" s="186">
        <f t="shared" ca="1" si="8"/>
        <v>1.7919999999999998</v>
      </c>
      <c r="I47" s="186">
        <f t="shared" ca="1" si="8"/>
        <v>1.7919999999999998</v>
      </c>
      <c r="J47" s="186" t="str">
        <f t="shared" si="8"/>
        <v/>
      </c>
      <c r="K47" s="186" t="str">
        <f t="shared" si="8"/>
        <v/>
      </c>
      <c r="L47" s="186" t="str">
        <f t="shared" si="8"/>
        <v/>
      </c>
      <c r="M47" s="186" t="str">
        <f t="shared" si="8"/>
        <v/>
      </c>
      <c r="N47" s="186" t="str">
        <f t="shared" si="8"/>
        <v/>
      </c>
      <c r="O47" s="186">
        <f t="shared" ca="1" si="8"/>
        <v>0.89599999999999991</v>
      </c>
      <c r="P47" s="186" t="str">
        <f t="shared" si="8"/>
        <v/>
      </c>
      <c r="Q47" s="186" t="str">
        <f t="shared" si="8"/>
        <v/>
      </c>
      <c r="R47" s="186">
        <f t="shared" ca="1" si="8"/>
        <v>2.6880000000000002</v>
      </c>
      <c r="S47" s="186">
        <f t="shared" ca="1" si="8"/>
        <v>1.7919999999999998</v>
      </c>
      <c r="T47" s="186" t="str">
        <f t="shared" si="8"/>
        <v/>
      </c>
      <c r="V47" s="147"/>
      <c r="W47" s="70"/>
      <c r="X47" s="164"/>
      <c r="Y47" s="71"/>
      <c r="Z47" s="71"/>
    </row>
    <row r="48" spans="1:26" ht="15.75" customHeight="1">
      <c r="A48" s="145"/>
      <c r="C48" s="187">
        <v>2</v>
      </c>
      <c r="D48" s="288">
        <f ca="1">N33</f>
        <v>2.08</v>
      </c>
      <c r="E48" s="289"/>
      <c r="F48" s="186">
        <f t="shared" ref="F48:T48" ca="1" si="9">IF(E40="","",$D$48*E40/3)</f>
        <v>2.08</v>
      </c>
      <c r="G48" s="186">
        <f t="shared" ca="1" si="9"/>
        <v>2.08</v>
      </c>
      <c r="H48" s="186">
        <f t="shared" ca="1" si="9"/>
        <v>1.3866666666666667</v>
      </c>
      <c r="I48" s="186">
        <f t="shared" ca="1" si="9"/>
        <v>1.3866666666666667</v>
      </c>
      <c r="J48" s="186" t="str">
        <f t="shared" si="9"/>
        <v/>
      </c>
      <c r="K48" s="186" t="str">
        <f t="shared" si="9"/>
        <v/>
      </c>
      <c r="L48" s="186" t="str">
        <f t="shared" si="9"/>
        <v/>
      </c>
      <c r="M48" s="186" t="str">
        <f t="shared" si="9"/>
        <v/>
      </c>
      <c r="N48" s="186" t="str">
        <f t="shared" si="9"/>
        <v/>
      </c>
      <c r="O48" s="186">
        <f t="shared" ca="1" si="9"/>
        <v>0.69333333333333336</v>
      </c>
      <c r="P48" s="186" t="str">
        <f t="shared" si="9"/>
        <v/>
      </c>
      <c r="Q48" s="186" t="str">
        <f t="shared" si="9"/>
        <v/>
      </c>
      <c r="R48" s="186">
        <f t="shared" ca="1" si="9"/>
        <v>2.08</v>
      </c>
      <c r="S48" s="186">
        <f t="shared" ca="1" si="9"/>
        <v>1.3866666666666667</v>
      </c>
      <c r="T48" s="186" t="str">
        <f t="shared" si="9"/>
        <v/>
      </c>
      <c r="V48" s="147"/>
      <c r="W48" s="70"/>
      <c r="X48" s="164"/>
      <c r="Y48" s="71"/>
      <c r="Z48" s="71"/>
    </row>
    <row r="49" spans="1:26" ht="15.75" customHeight="1">
      <c r="A49" s="145"/>
      <c r="C49" s="187">
        <v>3</v>
      </c>
      <c r="D49" s="288">
        <f ca="1">O33</f>
        <v>2.8800000000000003</v>
      </c>
      <c r="E49" s="289"/>
      <c r="F49" s="186">
        <f t="shared" ref="F49:T49" ca="1" si="10">IF(E41="","",$D$49*E41/3)</f>
        <v>2.8800000000000003</v>
      </c>
      <c r="G49" s="186">
        <f t="shared" ca="1" si="10"/>
        <v>2.8800000000000003</v>
      </c>
      <c r="H49" s="186">
        <f t="shared" ca="1" si="10"/>
        <v>2.8800000000000003</v>
      </c>
      <c r="I49" s="186">
        <f t="shared" ca="1" si="10"/>
        <v>1.9200000000000002</v>
      </c>
      <c r="J49" s="186" t="str">
        <f t="shared" si="10"/>
        <v/>
      </c>
      <c r="K49" s="186" t="str">
        <f t="shared" si="10"/>
        <v/>
      </c>
      <c r="L49" s="186" t="str">
        <f t="shared" si="10"/>
        <v/>
      </c>
      <c r="M49" s="186" t="str">
        <f t="shared" si="10"/>
        <v/>
      </c>
      <c r="N49" s="186" t="str">
        <f t="shared" si="10"/>
        <v/>
      </c>
      <c r="O49" s="186">
        <f t="shared" ca="1" si="10"/>
        <v>1.9200000000000002</v>
      </c>
      <c r="P49" s="186" t="str">
        <f t="shared" si="10"/>
        <v/>
      </c>
      <c r="Q49" s="186" t="str">
        <f t="shared" si="10"/>
        <v/>
      </c>
      <c r="R49" s="186">
        <f t="shared" ca="1" si="10"/>
        <v>2.8800000000000003</v>
      </c>
      <c r="S49" s="186">
        <f t="shared" ca="1" si="10"/>
        <v>2.8800000000000003</v>
      </c>
      <c r="T49" s="186" t="str">
        <f t="shared" si="10"/>
        <v/>
      </c>
      <c r="V49" s="147"/>
      <c r="W49" s="70"/>
      <c r="X49" s="164"/>
      <c r="Y49" s="71"/>
      <c r="Z49" s="71"/>
    </row>
    <row r="50" spans="1:26" ht="15.75" customHeight="1">
      <c r="A50" s="145"/>
      <c r="C50" s="187">
        <v>4</v>
      </c>
      <c r="D50" s="288">
        <f ca="1">P33</f>
        <v>1.3680000000000001</v>
      </c>
      <c r="E50" s="289"/>
      <c r="F50" s="186">
        <f t="shared" ref="F50:T50" ca="1" si="11">IF(E42="","",$D$50*E42/3)</f>
        <v>1.3680000000000001</v>
      </c>
      <c r="G50" s="186">
        <f t="shared" ca="1" si="11"/>
        <v>0.91200000000000003</v>
      </c>
      <c r="H50" s="186">
        <f t="shared" ca="1" si="11"/>
        <v>1.3680000000000001</v>
      </c>
      <c r="I50" s="186">
        <f t="shared" ca="1" si="11"/>
        <v>1.3680000000000001</v>
      </c>
      <c r="J50" s="186">
        <f t="shared" ca="1" si="11"/>
        <v>0.91200000000000003</v>
      </c>
      <c r="K50" s="186" t="str">
        <f t="shared" si="11"/>
        <v/>
      </c>
      <c r="L50" s="186" t="str">
        <f t="shared" si="11"/>
        <v/>
      </c>
      <c r="M50" s="186" t="str">
        <f t="shared" si="11"/>
        <v/>
      </c>
      <c r="N50" s="186" t="str">
        <f t="shared" si="11"/>
        <v/>
      </c>
      <c r="O50" s="186">
        <f t="shared" ca="1" si="11"/>
        <v>0.91200000000000003</v>
      </c>
      <c r="P50" s="186" t="str">
        <f t="shared" si="11"/>
        <v/>
      </c>
      <c r="Q50" s="186" t="str">
        <f t="shared" si="11"/>
        <v/>
      </c>
      <c r="R50" s="186">
        <f t="shared" ca="1" si="11"/>
        <v>1.3680000000000001</v>
      </c>
      <c r="S50" s="186">
        <f t="shared" ca="1" si="11"/>
        <v>1.3680000000000001</v>
      </c>
      <c r="T50" s="186" t="str">
        <f t="shared" si="11"/>
        <v/>
      </c>
      <c r="V50" s="147"/>
      <c r="W50" s="70"/>
      <c r="X50" s="161"/>
      <c r="Y50" s="71"/>
      <c r="Z50" s="71"/>
    </row>
    <row r="51" spans="1:26" ht="15.75" customHeight="1">
      <c r="A51" s="145"/>
      <c r="C51" s="187">
        <v>5</v>
      </c>
      <c r="D51" s="290">
        <f ca="1">Q33</f>
        <v>2.6799999999999997</v>
      </c>
      <c r="E51" s="263"/>
      <c r="F51" s="186">
        <f t="shared" ref="F51:T51" ca="1" si="12">IF(E43="","",$D$51*E43/3)</f>
        <v>2.6799999999999997</v>
      </c>
      <c r="G51" s="186">
        <f t="shared" ca="1" si="12"/>
        <v>1.7866666666666664</v>
      </c>
      <c r="H51" s="186">
        <f t="shared" ca="1" si="12"/>
        <v>2.6799999999999997</v>
      </c>
      <c r="I51" s="186">
        <f t="shared" ca="1" si="12"/>
        <v>1.7866666666666664</v>
      </c>
      <c r="J51" s="186" t="str">
        <f t="shared" si="12"/>
        <v/>
      </c>
      <c r="K51" s="186" t="str">
        <f t="shared" si="12"/>
        <v/>
      </c>
      <c r="L51" s="186" t="str">
        <f t="shared" si="12"/>
        <v/>
      </c>
      <c r="M51" s="186" t="str">
        <f t="shared" si="12"/>
        <v/>
      </c>
      <c r="N51" s="186" t="str">
        <f t="shared" si="12"/>
        <v/>
      </c>
      <c r="O51" s="186">
        <f t="shared" ca="1" si="12"/>
        <v>1.7866666666666664</v>
      </c>
      <c r="P51" s="186" t="str">
        <f t="shared" si="12"/>
        <v/>
      </c>
      <c r="Q51" s="186" t="str">
        <f t="shared" si="12"/>
        <v/>
      </c>
      <c r="R51" s="186">
        <f t="shared" ca="1" si="12"/>
        <v>2.6799999999999997</v>
      </c>
      <c r="S51" s="186">
        <f t="shared" ca="1" si="12"/>
        <v>2.6799999999999997</v>
      </c>
      <c r="T51" s="186" t="str">
        <f t="shared" si="12"/>
        <v/>
      </c>
      <c r="V51" s="147"/>
      <c r="W51" s="70"/>
      <c r="X51" s="164"/>
      <c r="Y51" s="71"/>
      <c r="Z51" s="71"/>
    </row>
    <row r="52" spans="1:26" ht="15.75" customHeight="1">
      <c r="A52" s="188"/>
      <c r="B52" s="189"/>
      <c r="C52" s="291" t="s">
        <v>260</v>
      </c>
      <c r="D52" s="212"/>
      <c r="E52" s="213"/>
      <c r="F52" s="190">
        <f t="shared" ref="F52:T52" ca="1" si="13">IFERROR(SUMPRODUCT($D$47:$D$51,E39:E43)/SUM(E39:E43),"")</f>
        <v>2.3391999999999999</v>
      </c>
      <c r="G52" s="190">
        <f t="shared" ca="1" si="13"/>
        <v>2.3626666666666667</v>
      </c>
      <c r="H52" s="190">
        <f t="shared" ca="1" si="13"/>
        <v>2.3323076923076922</v>
      </c>
      <c r="I52" s="190">
        <f t="shared" ca="1" si="13"/>
        <v>2.2509090909090905</v>
      </c>
      <c r="J52" s="190">
        <f t="shared" ca="1" si="13"/>
        <v>1.3680000000000001</v>
      </c>
      <c r="K52" s="190" t="str">
        <f t="shared" ca="1" si="13"/>
        <v/>
      </c>
      <c r="L52" s="190" t="str">
        <f t="shared" ca="1" si="13"/>
        <v/>
      </c>
      <c r="M52" s="190" t="str">
        <f t="shared" ca="1" si="13"/>
        <v/>
      </c>
      <c r="N52" s="190" t="str">
        <f t="shared" ca="1" si="13"/>
        <v/>
      </c>
      <c r="O52" s="190">
        <f t="shared" ca="1" si="13"/>
        <v>2.3280000000000003</v>
      </c>
      <c r="P52" s="190" t="str">
        <f t="shared" ca="1" si="13"/>
        <v/>
      </c>
      <c r="Q52" s="190" t="str">
        <f t="shared" ca="1" si="13"/>
        <v/>
      </c>
      <c r="R52" s="190">
        <f t="shared" ca="1" si="13"/>
        <v>2.3391999999999999</v>
      </c>
      <c r="S52" s="190">
        <f t="shared" ca="1" si="13"/>
        <v>2.3323076923076922</v>
      </c>
      <c r="T52" s="190" t="str">
        <f t="shared" ca="1" si="13"/>
        <v/>
      </c>
      <c r="U52" s="189"/>
      <c r="V52" s="191"/>
      <c r="W52" s="192"/>
      <c r="X52" s="164"/>
      <c r="Y52" s="193"/>
      <c r="Z52" s="193"/>
    </row>
    <row r="53" spans="1:26" ht="15.75" customHeight="1">
      <c r="A53" s="194"/>
      <c r="B53" s="195"/>
      <c r="C53" s="292" t="s">
        <v>261</v>
      </c>
      <c r="D53" s="263"/>
      <c r="E53" s="263"/>
      <c r="F53" s="160">
        <f t="shared" ref="F53:T53" ca="1" si="14">IFERROR(F52*100/3,"")</f>
        <v>77.973333333333329</v>
      </c>
      <c r="G53" s="160">
        <f t="shared" ca="1" si="14"/>
        <v>78.75555555555556</v>
      </c>
      <c r="H53" s="160">
        <f t="shared" ca="1" si="14"/>
        <v>77.743589743589737</v>
      </c>
      <c r="I53" s="160">
        <f t="shared" ca="1" si="14"/>
        <v>75.030303030303017</v>
      </c>
      <c r="J53" s="160">
        <f t="shared" ca="1" si="14"/>
        <v>45.6</v>
      </c>
      <c r="K53" s="160" t="str">
        <f t="shared" ca="1" si="14"/>
        <v/>
      </c>
      <c r="L53" s="160" t="str">
        <f t="shared" ca="1" si="14"/>
        <v/>
      </c>
      <c r="M53" s="160" t="str">
        <f t="shared" ca="1" si="14"/>
        <v/>
      </c>
      <c r="N53" s="160" t="str">
        <f t="shared" ca="1" si="14"/>
        <v/>
      </c>
      <c r="O53" s="160">
        <f t="shared" ca="1" si="14"/>
        <v>77.600000000000009</v>
      </c>
      <c r="P53" s="160" t="str">
        <f t="shared" ca="1" si="14"/>
        <v/>
      </c>
      <c r="Q53" s="160" t="str">
        <f t="shared" ca="1" si="14"/>
        <v/>
      </c>
      <c r="R53" s="160">
        <f t="shared" ca="1" si="14"/>
        <v>77.973333333333329</v>
      </c>
      <c r="S53" s="160">
        <f t="shared" ca="1" si="14"/>
        <v>77.743589743589737</v>
      </c>
      <c r="T53" s="160" t="str">
        <f t="shared" ca="1" si="14"/>
        <v/>
      </c>
      <c r="U53" s="195"/>
      <c r="V53" s="196"/>
      <c r="W53" s="197"/>
      <c r="X53" s="164"/>
      <c r="Y53" s="198"/>
      <c r="Z53" s="198"/>
    </row>
    <row r="54" spans="1:26" ht="6" customHeight="1">
      <c r="A54" s="199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2"/>
      <c r="S54" s="172"/>
      <c r="T54" s="171"/>
      <c r="U54" s="171"/>
      <c r="V54" s="173"/>
      <c r="W54" s="70"/>
      <c r="X54" s="164"/>
      <c r="Y54" s="71"/>
      <c r="Z54" s="71"/>
    </row>
    <row r="55" spans="1:26" ht="15.75" customHeight="1">
      <c r="R55" s="77"/>
      <c r="S55" s="77"/>
      <c r="V55" s="70"/>
      <c r="W55" s="70"/>
      <c r="X55" s="164"/>
      <c r="Y55" s="71"/>
      <c r="Z55" s="71"/>
    </row>
    <row r="56" spans="1:26" ht="15.75" customHeight="1">
      <c r="R56" s="77"/>
      <c r="S56" s="77"/>
      <c r="V56" s="70"/>
      <c r="W56" s="70"/>
      <c r="X56" s="164"/>
      <c r="Y56" s="71"/>
      <c r="Z56" s="71"/>
    </row>
    <row r="57" spans="1:26" ht="15.75" customHeight="1">
      <c r="A57" s="70"/>
      <c r="B57" s="70"/>
      <c r="C57" s="70"/>
      <c r="D57" s="76"/>
      <c r="I57" s="70"/>
      <c r="J57" s="70"/>
      <c r="K57" s="71"/>
      <c r="L57" s="77"/>
      <c r="O57" s="70"/>
      <c r="R57" s="77"/>
      <c r="S57" s="77"/>
      <c r="V57" s="70"/>
      <c r="W57" s="70"/>
      <c r="X57" s="164"/>
      <c r="Y57" s="71"/>
      <c r="Z57" s="71"/>
    </row>
    <row r="58" spans="1:26" ht="15.75" customHeight="1">
      <c r="A58" s="70"/>
      <c r="B58" s="70"/>
      <c r="C58" s="70"/>
      <c r="D58" s="76"/>
      <c r="I58" s="70"/>
      <c r="J58" s="70"/>
      <c r="K58" s="71"/>
      <c r="L58" s="77"/>
      <c r="O58" s="70"/>
      <c r="R58" s="77"/>
      <c r="S58" s="77"/>
      <c r="V58" s="70"/>
      <c r="W58" s="70"/>
      <c r="X58" s="164"/>
      <c r="Y58" s="71"/>
      <c r="Z58" s="71"/>
    </row>
    <row r="59" spans="1:26" ht="15.75" customHeight="1">
      <c r="A59" s="70"/>
      <c r="B59" s="70"/>
      <c r="C59" s="70"/>
      <c r="D59" s="76"/>
      <c r="I59" s="70"/>
      <c r="J59" s="70"/>
      <c r="K59" s="71"/>
      <c r="L59" s="77"/>
      <c r="O59" s="70"/>
      <c r="R59" s="77"/>
      <c r="S59" s="77"/>
      <c r="V59" s="70"/>
      <c r="W59" s="70"/>
      <c r="X59" s="164"/>
      <c r="Y59" s="71"/>
      <c r="Z59" s="71"/>
    </row>
    <row r="60" spans="1:26" ht="15.75" customHeight="1">
      <c r="A60" s="70"/>
      <c r="B60" s="70"/>
      <c r="C60" s="70"/>
      <c r="D60" s="76"/>
      <c r="K60" s="71"/>
      <c r="L60" s="77"/>
      <c r="O60" s="70"/>
      <c r="R60" s="77"/>
      <c r="S60" s="77"/>
      <c r="V60" s="70"/>
      <c r="W60" s="70"/>
      <c r="X60" s="164"/>
      <c r="Y60" s="71"/>
      <c r="Z60" s="71"/>
    </row>
    <row r="61" spans="1:26" ht="15.75" customHeight="1">
      <c r="A61" s="70"/>
      <c r="B61" s="70"/>
      <c r="C61" s="70"/>
      <c r="D61" s="76"/>
      <c r="I61" s="70"/>
      <c r="J61" s="70"/>
      <c r="K61" s="71"/>
      <c r="L61" s="77"/>
      <c r="O61" s="70"/>
      <c r="R61" s="77"/>
      <c r="S61" s="77"/>
      <c r="V61" s="70"/>
      <c r="W61" s="70"/>
      <c r="X61" s="164"/>
      <c r="Y61" s="71"/>
      <c r="Z61" s="71"/>
    </row>
    <row r="62" spans="1:26" ht="15.75" customHeight="1">
      <c r="A62" s="70"/>
      <c r="B62" s="70"/>
      <c r="C62" s="70"/>
      <c r="D62" s="76"/>
      <c r="I62" s="70"/>
      <c r="J62" s="70"/>
      <c r="K62" s="71"/>
      <c r="L62" s="77"/>
      <c r="O62" s="70"/>
      <c r="R62" s="77"/>
      <c r="S62" s="77"/>
      <c r="V62" s="70"/>
      <c r="W62" s="70"/>
      <c r="X62" s="164"/>
      <c r="Y62" s="71"/>
      <c r="Z62" s="71"/>
    </row>
    <row r="63" spans="1:26" ht="15.75" customHeight="1">
      <c r="A63" s="70"/>
      <c r="B63" s="70"/>
      <c r="C63" s="70"/>
      <c r="D63" s="76"/>
      <c r="I63" s="70"/>
      <c r="J63" s="70"/>
      <c r="K63" s="71"/>
      <c r="L63" s="77"/>
      <c r="O63" s="70"/>
      <c r="R63" s="77"/>
      <c r="S63" s="77"/>
      <c r="V63" s="70"/>
      <c r="W63" s="70"/>
      <c r="X63" s="164"/>
      <c r="Y63" s="71"/>
      <c r="Z63" s="71"/>
    </row>
    <row r="64" spans="1:26" ht="15.75" customHeight="1">
      <c r="A64" s="70"/>
      <c r="B64" s="70"/>
      <c r="C64" s="70"/>
      <c r="D64" s="76"/>
      <c r="I64" s="70"/>
      <c r="J64" s="70"/>
      <c r="K64" s="71"/>
      <c r="L64" s="77"/>
      <c r="O64" s="70"/>
      <c r="R64" s="77"/>
      <c r="S64" s="77"/>
      <c r="V64" s="70"/>
      <c r="W64" s="70"/>
      <c r="X64" s="164"/>
      <c r="Y64" s="71"/>
      <c r="Z64" s="71"/>
    </row>
    <row r="65" spans="1:26" ht="15.75" customHeight="1">
      <c r="A65" s="70"/>
      <c r="B65" s="70"/>
      <c r="C65" s="70"/>
      <c r="D65" s="76"/>
      <c r="I65" s="70"/>
      <c r="J65" s="70"/>
      <c r="K65" s="71"/>
      <c r="L65" s="77"/>
      <c r="O65" s="70"/>
      <c r="R65" s="77"/>
      <c r="S65" s="77"/>
      <c r="V65" s="70"/>
      <c r="W65" s="70"/>
      <c r="X65" s="164"/>
      <c r="Y65" s="71"/>
      <c r="Z65" s="71"/>
    </row>
    <row r="66" spans="1:26" ht="15.75" customHeight="1">
      <c r="A66" s="70"/>
      <c r="B66" s="70"/>
      <c r="C66" s="70"/>
      <c r="D66" s="76"/>
      <c r="I66" s="70"/>
      <c r="J66" s="70"/>
      <c r="K66" s="71"/>
      <c r="L66" s="77"/>
      <c r="O66" s="70"/>
      <c r="R66" s="77"/>
      <c r="S66" s="77"/>
      <c r="V66" s="70"/>
      <c r="W66" s="70"/>
      <c r="X66" s="164"/>
      <c r="Y66" s="71"/>
      <c r="Z66" s="71"/>
    </row>
    <row r="67" spans="1:26" ht="15.75" customHeight="1">
      <c r="A67" s="70"/>
      <c r="B67" s="70"/>
      <c r="C67" s="70"/>
      <c r="D67" s="76"/>
      <c r="I67" s="70"/>
      <c r="J67" s="70"/>
      <c r="K67" s="71"/>
      <c r="L67" s="77"/>
      <c r="O67" s="70"/>
      <c r="R67" s="77"/>
      <c r="S67" s="77"/>
      <c r="V67" s="70"/>
      <c r="W67" s="70"/>
      <c r="X67" s="164"/>
      <c r="Y67" s="71"/>
      <c r="Z67" s="71"/>
    </row>
    <row r="68" spans="1:26" ht="15.75" customHeight="1">
      <c r="A68" s="70"/>
      <c r="B68" s="70"/>
      <c r="C68" s="70"/>
      <c r="D68" s="76"/>
      <c r="I68" s="70"/>
      <c r="J68" s="70"/>
      <c r="K68" s="71"/>
      <c r="L68" s="77"/>
      <c r="O68" s="70"/>
      <c r="R68" s="77"/>
      <c r="S68" s="77"/>
      <c r="V68" s="70"/>
      <c r="W68" s="70"/>
      <c r="X68" s="164"/>
      <c r="Y68" s="71"/>
      <c r="Z68" s="71"/>
    </row>
    <row r="69" spans="1:26" ht="15.75" customHeight="1">
      <c r="A69" s="70"/>
      <c r="B69" s="70"/>
      <c r="C69" s="70"/>
      <c r="D69" s="76"/>
      <c r="I69" s="70"/>
      <c r="J69" s="70"/>
      <c r="K69" s="71"/>
      <c r="L69" s="77"/>
      <c r="O69" s="70"/>
      <c r="R69" s="77"/>
      <c r="S69" s="77"/>
      <c r="V69" s="70"/>
      <c r="W69" s="70"/>
      <c r="X69" s="164"/>
      <c r="Y69" s="71"/>
      <c r="Z69" s="71"/>
    </row>
    <row r="70" spans="1:26" ht="15.75" customHeight="1">
      <c r="A70" s="70"/>
      <c r="B70" s="70"/>
      <c r="C70" s="70"/>
      <c r="D70" s="76"/>
      <c r="I70" s="70"/>
      <c r="J70" s="70"/>
      <c r="K70" s="71"/>
      <c r="L70" s="77"/>
      <c r="O70" s="70"/>
      <c r="R70" s="77"/>
      <c r="S70" s="77"/>
      <c r="V70" s="70"/>
      <c r="W70" s="70"/>
      <c r="X70" s="164"/>
      <c r="Y70" s="71"/>
      <c r="Z70" s="71"/>
    </row>
    <row r="71" spans="1:26" ht="15.75" customHeight="1">
      <c r="A71" s="70"/>
      <c r="B71" s="70"/>
      <c r="C71" s="70"/>
      <c r="D71" s="76"/>
      <c r="I71" s="70"/>
      <c r="J71" s="70"/>
      <c r="K71" s="71"/>
      <c r="L71" s="77"/>
      <c r="O71" s="70"/>
      <c r="R71" s="77"/>
      <c r="S71" s="77"/>
      <c r="V71" s="70"/>
      <c r="W71" s="70"/>
      <c r="X71" s="164"/>
      <c r="Y71" s="71"/>
      <c r="Z71" s="71"/>
    </row>
    <row r="72" spans="1:26" ht="15.75" customHeight="1">
      <c r="A72" s="70"/>
      <c r="B72" s="70"/>
      <c r="C72" s="70"/>
      <c r="D72" s="76"/>
      <c r="I72" s="70"/>
      <c r="J72" s="70"/>
      <c r="K72" s="71"/>
      <c r="L72" s="77"/>
      <c r="O72" s="70"/>
      <c r="R72" s="77"/>
      <c r="S72" s="77"/>
      <c r="V72" s="70"/>
      <c r="W72" s="70"/>
      <c r="X72" s="164"/>
      <c r="Y72" s="71"/>
      <c r="Z72" s="71"/>
    </row>
    <row r="73" spans="1:26" ht="15.75" customHeight="1">
      <c r="A73" s="70"/>
      <c r="B73" s="70"/>
      <c r="C73" s="70"/>
      <c r="D73" s="76"/>
      <c r="I73" s="70"/>
      <c r="J73" s="70"/>
      <c r="K73" s="71"/>
      <c r="L73" s="77"/>
      <c r="O73" s="70"/>
      <c r="R73" s="77"/>
      <c r="S73" s="77"/>
      <c r="V73" s="70"/>
      <c r="W73" s="70"/>
      <c r="X73" s="164"/>
      <c r="Y73" s="71"/>
      <c r="Z73" s="71"/>
    </row>
    <row r="74" spans="1:26" ht="15.75" customHeight="1">
      <c r="A74" s="70"/>
      <c r="B74" s="70"/>
      <c r="C74" s="70"/>
      <c r="D74" s="76"/>
      <c r="I74" s="70"/>
      <c r="J74" s="70"/>
      <c r="K74" s="71"/>
      <c r="L74" s="77"/>
      <c r="O74" s="70"/>
      <c r="R74" s="77"/>
      <c r="S74" s="77"/>
      <c r="V74" s="70"/>
      <c r="W74" s="70"/>
      <c r="X74" s="164"/>
      <c r="Y74" s="71"/>
      <c r="Z74" s="71"/>
    </row>
    <row r="75" spans="1:26" ht="15.75" customHeight="1">
      <c r="A75" s="70"/>
      <c r="B75" s="70"/>
      <c r="C75" s="70"/>
      <c r="D75" s="76"/>
      <c r="I75" s="70"/>
      <c r="J75" s="70"/>
      <c r="K75" s="71"/>
      <c r="L75" s="77"/>
      <c r="O75" s="70"/>
      <c r="R75" s="77"/>
      <c r="S75" s="77"/>
      <c r="V75" s="70"/>
      <c r="W75" s="70"/>
      <c r="X75" s="70"/>
      <c r="Y75" s="71"/>
      <c r="Z75" s="71"/>
    </row>
    <row r="76" spans="1:26" ht="15.75" customHeight="1">
      <c r="A76" s="70"/>
      <c r="B76" s="70"/>
      <c r="C76" s="70"/>
      <c r="D76" s="76"/>
      <c r="I76" s="70"/>
      <c r="J76" s="70"/>
      <c r="K76" s="71"/>
      <c r="L76" s="77"/>
      <c r="O76" s="70"/>
      <c r="R76" s="77"/>
      <c r="S76" s="77"/>
      <c r="V76" s="70"/>
      <c r="W76" s="70"/>
      <c r="X76" s="70"/>
      <c r="Y76" s="71"/>
      <c r="Z76" s="71"/>
    </row>
    <row r="77" spans="1:26" ht="15.75" customHeight="1">
      <c r="A77" s="70"/>
      <c r="B77" s="70"/>
      <c r="C77" s="70"/>
      <c r="D77" s="76"/>
      <c r="I77" s="70"/>
      <c r="J77" s="70"/>
      <c r="K77" s="71"/>
      <c r="L77" s="77"/>
      <c r="O77" s="70"/>
      <c r="R77" s="77"/>
      <c r="S77" s="77"/>
      <c r="V77" s="70"/>
      <c r="W77" s="70"/>
      <c r="X77" s="70"/>
      <c r="Y77" s="71"/>
      <c r="Z77" s="71"/>
    </row>
    <row r="78" spans="1:26" ht="15.75" customHeight="1">
      <c r="A78" s="70"/>
      <c r="B78" s="70"/>
      <c r="C78" s="70"/>
      <c r="D78" s="76"/>
      <c r="I78" s="70"/>
      <c r="J78" s="70"/>
      <c r="K78" s="71"/>
      <c r="L78" s="77"/>
      <c r="O78" s="70"/>
      <c r="R78" s="77"/>
      <c r="S78" s="77"/>
      <c r="V78" s="70"/>
      <c r="W78" s="70"/>
      <c r="X78" s="70"/>
      <c r="Y78" s="71"/>
      <c r="Z78" s="71"/>
    </row>
    <row r="79" spans="1:26" ht="15.75" customHeight="1">
      <c r="A79" s="70"/>
      <c r="B79" s="70"/>
      <c r="C79" s="70"/>
      <c r="D79" s="76"/>
      <c r="I79" s="70"/>
      <c r="J79" s="70"/>
      <c r="K79" s="71"/>
      <c r="L79" s="77"/>
      <c r="O79" s="70"/>
      <c r="R79" s="77"/>
      <c r="S79" s="77"/>
      <c r="V79" s="70"/>
      <c r="W79" s="70"/>
      <c r="X79" s="70"/>
      <c r="Y79" s="71"/>
      <c r="Z79" s="71"/>
    </row>
    <row r="80" spans="1:26" ht="15.75" customHeight="1">
      <c r="A80" s="70"/>
      <c r="B80" s="70"/>
      <c r="C80" s="70"/>
      <c r="D80" s="76"/>
      <c r="I80" s="70"/>
      <c r="J80" s="70"/>
      <c r="K80" s="71"/>
      <c r="L80" s="77"/>
      <c r="O80" s="70"/>
      <c r="R80" s="77"/>
      <c r="S80" s="77"/>
      <c r="V80" s="70"/>
      <c r="W80" s="70"/>
      <c r="X80" s="70"/>
      <c r="Y80" s="71"/>
      <c r="Z80" s="71"/>
    </row>
    <row r="81" spans="1:26" ht="15.75" customHeight="1">
      <c r="A81" s="70"/>
      <c r="B81" s="70"/>
      <c r="C81" s="70"/>
      <c r="D81" s="76"/>
      <c r="I81" s="70"/>
      <c r="J81" s="70"/>
      <c r="K81" s="71"/>
      <c r="L81" s="77"/>
      <c r="O81" s="70"/>
      <c r="R81" s="77"/>
      <c r="S81" s="77"/>
      <c r="V81" s="70"/>
      <c r="W81" s="70"/>
      <c r="X81" s="70"/>
      <c r="Y81" s="71"/>
      <c r="Z81" s="71"/>
    </row>
    <row r="82" spans="1:26" ht="15.75" customHeight="1">
      <c r="A82" s="70"/>
      <c r="B82" s="70"/>
      <c r="C82" s="70"/>
      <c r="D82" s="76"/>
      <c r="I82" s="70"/>
      <c r="J82" s="70"/>
      <c r="K82" s="71"/>
      <c r="L82" s="77"/>
      <c r="O82" s="70"/>
      <c r="R82" s="77"/>
      <c r="S82" s="77"/>
      <c r="V82" s="70"/>
      <c r="W82" s="70"/>
      <c r="X82" s="70"/>
      <c r="Y82" s="71"/>
      <c r="Z82" s="71"/>
    </row>
    <row r="83" spans="1:26" ht="15.75" customHeight="1">
      <c r="A83" s="70"/>
      <c r="B83" s="70"/>
      <c r="C83" s="70"/>
      <c r="D83" s="76"/>
      <c r="I83" s="70"/>
      <c r="J83" s="70"/>
      <c r="K83" s="71"/>
      <c r="L83" s="77"/>
      <c r="O83" s="70"/>
      <c r="R83" s="77"/>
      <c r="S83" s="77"/>
      <c r="V83" s="70"/>
      <c r="W83" s="70"/>
      <c r="X83" s="70"/>
      <c r="Y83" s="71"/>
      <c r="Z83" s="71"/>
    </row>
    <row r="84" spans="1:26" ht="15.75" customHeight="1">
      <c r="A84" s="70"/>
      <c r="B84" s="70"/>
      <c r="C84" s="70"/>
      <c r="D84" s="76"/>
      <c r="I84" s="70"/>
      <c r="J84" s="70"/>
      <c r="K84" s="71"/>
      <c r="L84" s="77"/>
      <c r="O84" s="70"/>
      <c r="R84" s="77"/>
      <c r="S84" s="77"/>
      <c r="V84" s="70"/>
      <c r="W84" s="70"/>
      <c r="X84" s="70"/>
      <c r="Y84" s="71"/>
      <c r="Z84" s="71"/>
    </row>
    <row r="85" spans="1:26" ht="15.75" customHeight="1">
      <c r="A85" s="70"/>
      <c r="B85" s="70"/>
      <c r="C85" s="70"/>
      <c r="D85" s="76"/>
      <c r="I85" s="70"/>
      <c r="J85" s="70"/>
      <c r="K85" s="71"/>
      <c r="L85" s="77"/>
      <c r="O85" s="70"/>
      <c r="R85" s="77"/>
      <c r="S85" s="77"/>
      <c r="V85" s="70"/>
      <c r="W85" s="70"/>
      <c r="X85" s="70"/>
      <c r="Y85" s="71"/>
      <c r="Z85" s="71"/>
    </row>
    <row r="86" spans="1:26" ht="15.75" customHeight="1">
      <c r="A86" s="70"/>
      <c r="B86" s="70"/>
      <c r="C86" s="70"/>
      <c r="D86" s="76"/>
      <c r="I86" s="70"/>
      <c r="J86" s="70"/>
      <c r="K86" s="71"/>
      <c r="L86" s="77"/>
      <c r="O86" s="70"/>
      <c r="R86" s="77"/>
      <c r="S86" s="77"/>
      <c r="V86" s="70"/>
      <c r="W86" s="70"/>
      <c r="X86" s="70"/>
      <c r="Y86" s="71"/>
      <c r="Z86" s="71"/>
    </row>
    <row r="87" spans="1:26" ht="15.75" customHeight="1">
      <c r="A87" s="70"/>
      <c r="B87" s="70"/>
      <c r="C87" s="70"/>
      <c r="D87" s="76"/>
      <c r="I87" s="70"/>
      <c r="J87" s="70"/>
      <c r="K87" s="71"/>
      <c r="L87" s="77"/>
      <c r="O87" s="70"/>
      <c r="R87" s="77"/>
      <c r="S87" s="77"/>
      <c r="V87" s="70"/>
      <c r="W87" s="70"/>
      <c r="X87" s="70"/>
      <c r="Y87" s="71"/>
      <c r="Z87" s="71"/>
    </row>
    <row r="88" spans="1:26" ht="15.75" customHeight="1">
      <c r="A88" s="70"/>
      <c r="B88" s="70"/>
      <c r="C88" s="70"/>
      <c r="D88" s="76"/>
      <c r="I88" s="70"/>
      <c r="J88" s="70"/>
      <c r="K88" s="71"/>
      <c r="L88" s="77"/>
      <c r="O88" s="70"/>
      <c r="R88" s="77"/>
      <c r="S88" s="77"/>
      <c r="V88" s="70"/>
      <c r="W88" s="70"/>
      <c r="X88" s="70"/>
      <c r="Y88" s="71"/>
      <c r="Z88" s="71"/>
    </row>
    <row r="89" spans="1:26" ht="15.75" customHeight="1">
      <c r="A89" s="70"/>
      <c r="B89" s="70"/>
      <c r="C89" s="70"/>
      <c r="D89" s="76"/>
      <c r="I89" s="70"/>
      <c r="J89" s="70"/>
      <c r="K89" s="71"/>
      <c r="L89" s="77"/>
      <c r="O89" s="70"/>
      <c r="R89" s="77"/>
      <c r="S89" s="77"/>
      <c r="V89" s="70"/>
      <c r="W89" s="70"/>
      <c r="X89" s="70"/>
      <c r="Y89" s="71"/>
      <c r="Z89" s="71"/>
    </row>
    <row r="90" spans="1:26" ht="15.75" customHeight="1">
      <c r="A90" s="70"/>
      <c r="B90" s="70"/>
      <c r="C90" s="70"/>
      <c r="D90" s="76"/>
      <c r="I90" s="70"/>
      <c r="J90" s="70"/>
      <c r="K90" s="71"/>
      <c r="L90" s="77"/>
      <c r="O90" s="70"/>
      <c r="R90" s="77"/>
      <c r="S90" s="77"/>
      <c r="V90" s="70"/>
      <c r="W90" s="70"/>
      <c r="X90" s="70"/>
      <c r="Y90" s="71"/>
      <c r="Z90" s="71"/>
    </row>
    <row r="91" spans="1:26" ht="15.75" customHeight="1">
      <c r="A91" s="70"/>
      <c r="B91" s="70"/>
      <c r="C91" s="70"/>
      <c r="D91" s="76"/>
      <c r="I91" s="70"/>
      <c r="J91" s="70"/>
      <c r="K91" s="71"/>
      <c r="L91" s="77"/>
      <c r="O91" s="70"/>
      <c r="R91" s="77"/>
      <c r="S91" s="77"/>
      <c r="V91" s="70"/>
      <c r="W91" s="70"/>
      <c r="X91" s="70"/>
      <c r="Y91" s="71"/>
      <c r="Z91" s="71"/>
    </row>
    <row r="92" spans="1:26" ht="15.75" customHeight="1">
      <c r="A92" s="70"/>
      <c r="B92" s="70"/>
      <c r="C92" s="70"/>
      <c r="D92" s="76"/>
      <c r="I92" s="70"/>
      <c r="J92" s="70"/>
      <c r="K92" s="71"/>
      <c r="L92" s="77"/>
      <c r="O92" s="70"/>
      <c r="R92" s="77"/>
      <c r="S92" s="77"/>
      <c r="V92" s="70"/>
      <c r="W92" s="70"/>
      <c r="X92" s="70"/>
      <c r="Y92" s="71"/>
      <c r="Z92" s="71"/>
    </row>
    <row r="93" spans="1:26" ht="15.75" customHeight="1">
      <c r="A93" s="70"/>
      <c r="B93" s="70"/>
      <c r="C93" s="70"/>
      <c r="D93" s="76"/>
      <c r="I93" s="70"/>
      <c r="J93" s="70"/>
      <c r="K93" s="71"/>
      <c r="L93" s="77"/>
      <c r="O93" s="70"/>
      <c r="R93" s="77"/>
      <c r="S93" s="77"/>
      <c r="V93" s="70"/>
      <c r="W93" s="70"/>
      <c r="X93" s="70"/>
      <c r="Y93" s="71"/>
      <c r="Z93" s="71"/>
    </row>
    <row r="94" spans="1:26" ht="15.75" customHeight="1">
      <c r="A94" s="70"/>
      <c r="B94" s="70"/>
      <c r="C94" s="70"/>
      <c r="D94" s="76"/>
      <c r="I94" s="70"/>
      <c r="J94" s="70"/>
      <c r="K94" s="71"/>
      <c r="L94" s="77"/>
      <c r="O94" s="70"/>
      <c r="R94" s="77"/>
      <c r="S94" s="77"/>
      <c r="V94" s="70"/>
      <c r="W94" s="70"/>
      <c r="X94" s="70"/>
      <c r="Y94" s="71"/>
      <c r="Z94" s="71"/>
    </row>
    <row r="95" spans="1:26" ht="15.75" customHeight="1">
      <c r="A95" s="70"/>
      <c r="B95" s="70"/>
      <c r="C95" s="70"/>
      <c r="D95" s="76"/>
      <c r="I95" s="70"/>
      <c r="J95" s="70"/>
      <c r="K95" s="71"/>
      <c r="L95" s="77"/>
      <c r="O95" s="70"/>
      <c r="R95" s="77"/>
      <c r="S95" s="77"/>
      <c r="V95" s="70"/>
      <c r="W95" s="70"/>
      <c r="X95" s="70"/>
      <c r="Y95" s="71"/>
      <c r="Z95" s="71"/>
    </row>
    <row r="96" spans="1:26" ht="15.75" customHeight="1">
      <c r="A96" s="70"/>
      <c r="B96" s="70"/>
      <c r="C96" s="70"/>
      <c r="D96" s="76"/>
      <c r="I96" s="70"/>
      <c r="J96" s="70"/>
      <c r="K96" s="71"/>
      <c r="L96" s="77"/>
      <c r="O96" s="70"/>
      <c r="R96" s="77"/>
      <c r="S96" s="77"/>
      <c r="V96" s="70"/>
      <c r="W96" s="70"/>
      <c r="X96" s="70"/>
      <c r="Y96" s="71"/>
      <c r="Z96" s="71"/>
    </row>
    <row r="97" spans="1:26" ht="15.75" customHeight="1">
      <c r="A97" s="70"/>
      <c r="B97" s="70"/>
      <c r="C97" s="70"/>
      <c r="D97" s="76"/>
      <c r="I97" s="70"/>
      <c r="J97" s="70"/>
      <c r="K97" s="71"/>
      <c r="L97" s="77"/>
      <c r="O97" s="70"/>
      <c r="R97" s="77"/>
      <c r="S97" s="77"/>
      <c r="V97" s="70"/>
      <c r="W97" s="70"/>
      <c r="X97" s="70"/>
      <c r="Y97" s="71"/>
      <c r="Z97" s="71"/>
    </row>
    <row r="98" spans="1:26" ht="15.75" customHeight="1">
      <c r="A98" s="70"/>
      <c r="B98" s="70"/>
      <c r="C98" s="70"/>
      <c r="D98" s="76"/>
      <c r="I98" s="70"/>
      <c r="J98" s="70"/>
      <c r="K98" s="71"/>
      <c r="L98" s="77"/>
      <c r="O98" s="70"/>
      <c r="R98" s="77"/>
      <c r="S98" s="77"/>
      <c r="V98" s="70"/>
      <c r="W98" s="70"/>
      <c r="X98" s="70"/>
      <c r="Y98" s="71"/>
      <c r="Z98" s="71"/>
    </row>
    <row r="99" spans="1:26" ht="15.75" customHeight="1">
      <c r="A99" s="70"/>
      <c r="B99" s="70"/>
      <c r="C99" s="70"/>
      <c r="D99" s="76"/>
      <c r="I99" s="70"/>
      <c r="J99" s="70"/>
      <c r="K99" s="71"/>
      <c r="L99" s="77"/>
      <c r="O99" s="70"/>
      <c r="R99" s="77"/>
      <c r="S99" s="77"/>
      <c r="V99" s="70"/>
      <c r="W99" s="70"/>
      <c r="X99" s="70"/>
      <c r="Y99" s="71"/>
      <c r="Z99" s="71"/>
    </row>
    <row r="100" spans="1:26" ht="15.75" customHeight="1">
      <c r="A100" s="70"/>
      <c r="B100" s="70"/>
      <c r="C100" s="70"/>
      <c r="D100" s="76"/>
      <c r="I100" s="70"/>
      <c r="J100" s="70"/>
      <c r="K100" s="71"/>
      <c r="L100" s="77"/>
      <c r="O100" s="70"/>
      <c r="R100" s="77"/>
      <c r="S100" s="77"/>
      <c r="V100" s="70"/>
      <c r="W100" s="70"/>
      <c r="X100" s="70"/>
      <c r="Y100" s="71"/>
      <c r="Z100" s="71"/>
    </row>
    <row r="101" spans="1:26" ht="15.75" customHeight="1">
      <c r="A101" s="70"/>
      <c r="B101" s="70"/>
      <c r="C101" s="70"/>
      <c r="D101" s="76"/>
      <c r="I101" s="70"/>
      <c r="J101" s="70"/>
      <c r="K101" s="71"/>
      <c r="L101" s="77"/>
      <c r="O101" s="70"/>
      <c r="R101" s="77"/>
      <c r="S101" s="77"/>
      <c r="V101" s="70"/>
      <c r="W101" s="70"/>
      <c r="X101" s="70"/>
      <c r="Y101" s="71"/>
      <c r="Z101" s="71"/>
    </row>
    <row r="102" spans="1:26" ht="15.75" customHeight="1">
      <c r="A102" s="70"/>
      <c r="B102" s="70"/>
      <c r="C102" s="70"/>
      <c r="D102" s="76"/>
      <c r="I102" s="70"/>
      <c r="J102" s="70"/>
      <c r="K102" s="71"/>
      <c r="L102" s="77"/>
      <c r="O102" s="70"/>
      <c r="R102" s="77"/>
      <c r="S102" s="77"/>
      <c r="V102" s="70"/>
      <c r="W102" s="70"/>
      <c r="X102" s="70"/>
      <c r="Y102" s="71"/>
      <c r="Z102" s="71"/>
    </row>
    <row r="103" spans="1:26" ht="15.75" customHeight="1">
      <c r="A103" s="70"/>
      <c r="B103" s="70"/>
      <c r="C103" s="70"/>
      <c r="D103" s="76"/>
      <c r="I103" s="70"/>
      <c r="J103" s="70"/>
      <c r="K103" s="71"/>
      <c r="L103" s="77"/>
      <c r="O103" s="70"/>
      <c r="R103" s="77"/>
      <c r="S103" s="77"/>
      <c r="V103" s="70"/>
      <c r="W103" s="70"/>
      <c r="X103" s="70"/>
      <c r="Y103" s="71"/>
      <c r="Z103" s="71"/>
    </row>
    <row r="104" spans="1:26" ht="15.75" customHeight="1">
      <c r="A104" s="70"/>
      <c r="B104" s="70"/>
      <c r="C104" s="70"/>
      <c r="D104" s="76"/>
      <c r="I104" s="70"/>
      <c r="J104" s="70"/>
      <c r="K104" s="71"/>
      <c r="L104" s="77"/>
      <c r="O104" s="70"/>
      <c r="R104" s="77"/>
      <c r="S104" s="77"/>
      <c r="V104" s="70"/>
      <c r="W104" s="70"/>
      <c r="X104" s="70"/>
      <c r="Y104" s="71"/>
      <c r="Z104" s="71"/>
    </row>
    <row r="105" spans="1:26" ht="15.75" customHeight="1">
      <c r="A105" s="70"/>
      <c r="B105" s="70"/>
      <c r="C105" s="70"/>
      <c r="D105" s="76"/>
      <c r="I105" s="70"/>
      <c r="J105" s="70"/>
      <c r="K105" s="71"/>
      <c r="L105" s="77"/>
      <c r="O105" s="70"/>
      <c r="R105" s="77"/>
      <c r="S105" s="77"/>
      <c r="V105" s="70"/>
      <c r="W105" s="70"/>
      <c r="X105" s="70"/>
      <c r="Y105" s="71"/>
      <c r="Z105" s="71"/>
    </row>
    <row r="106" spans="1:26" ht="15.75" customHeight="1">
      <c r="A106" s="70"/>
      <c r="B106" s="70"/>
      <c r="C106" s="70"/>
      <c r="D106" s="76"/>
      <c r="I106" s="70"/>
      <c r="J106" s="70"/>
      <c r="K106" s="71"/>
      <c r="L106" s="77"/>
      <c r="O106" s="70"/>
      <c r="R106" s="77"/>
      <c r="S106" s="77"/>
      <c r="V106" s="70"/>
      <c r="W106" s="70"/>
      <c r="X106" s="70"/>
      <c r="Y106" s="71"/>
      <c r="Z106" s="71"/>
    </row>
    <row r="107" spans="1:26" ht="15.75" customHeight="1">
      <c r="A107" s="70"/>
      <c r="B107" s="70"/>
      <c r="C107" s="70"/>
      <c r="D107" s="76"/>
      <c r="I107" s="70"/>
      <c r="J107" s="70"/>
      <c r="K107" s="71"/>
      <c r="L107" s="77"/>
      <c r="O107" s="70"/>
      <c r="R107" s="77"/>
      <c r="S107" s="77"/>
      <c r="V107" s="70"/>
      <c r="W107" s="70"/>
      <c r="X107" s="70"/>
      <c r="Y107" s="71"/>
      <c r="Z107" s="71"/>
    </row>
    <row r="108" spans="1:26" ht="15.75" customHeight="1">
      <c r="A108" s="70"/>
      <c r="B108" s="70"/>
      <c r="C108" s="70"/>
      <c r="D108" s="76"/>
      <c r="I108" s="70"/>
      <c r="J108" s="70"/>
      <c r="K108" s="71"/>
      <c r="L108" s="77"/>
      <c r="O108" s="70"/>
      <c r="R108" s="77"/>
      <c r="S108" s="77"/>
      <c r="V108" s="70"/>
      <c r="W108" s="70"/>
      <c r="X108" s="70"/>
      <c r="Y108" s="71"/>
      <c r="Z108" s="71"/>
    </row>
    <row r="109" spans="1:26" ht="15.75" customHeight="1">
      <c r="A109" s="70"/>
      <c r="B109" s="70"/>
      <c r="C109" s="70"/>
      <c r="D109" s="76"/>
      <c r="I109" s="70"/>
      <c r="J109" s="70"/>
      <c r="K109" s="71"/>
      <c r="L109" s="77"/>
      <c r="O109" s="70"/>
      <c r="R109" s="77"/>
      <c r="S109" s="77"/>
      <c r="V109" s="70"/>
      <c r="W109" s="70"/>
      <c r="X109" s="70"/>
      <c r="Y109" s="71"/>
      <c r="Z109" s="71"/>
    </row>
    <row r="110" spans="1:26" ht="15.75" customHeight="1"/>
    <row r="111" spans="1:26" ht="15.75" customHeight="1"/>
    <row r="112" spans="1:2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F33:K33"/>
    <mergeCell ref="D50:E50"/>
    <mergeCell ref="D51:E51"/>
    <mergeCell ref="C52:E52"/>
    <mergeCell ref="C53:E53"/>
    <mergeCell ref="A35:V36"/>
    <mergeCell ref="D37:S37"/>
    <mergeCell ref="C45:T45"/>
    <mergeCell ref="D46:E46"/>
    <mergeCell ref="D47:E47"/>
    <mergeCell ref="D48:E48"/>
    <mergeCell ref="D49:E49"/>
    <mergeCell ref="F28:K28"/>
    <mergeCell ref="F29:K29"/>
    <mergeCell ref="F30:K30"/>
    <mergeCell ref="F31:K31"/>
    <mergeCell ref="F32:K32"/>
    <mergeCell ref="F23:K23"/>
    <mergeCell ref="F24:K24"/>
    <mergeCell ref="F25:K25"/>
    <mergeCell ref="F26:K26"/>
    <mergeCell ref="F27:K27"/>
    <mergeCell ref="B7:D7"/>
    <mergeCell ref="A17:V18"/>
    <mergeCell ref="F20:K20"/>
    <mergeCell ref="F21:K21"/>
    <mergeCell ref="F22:K22"/>
    <mergeCell ref="A1:V1"/>
    <mergeCell ref="A2:V2"/>
    <mergeCell ref="A4:B4"/>
    <mergeCell ref="H4:J4"/>
    <mergeCell ref="K4:Q4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1" width="54.5703125" customWidth="1"/>
  </cols>
  <sheetData>
    <row r="1" spans="1:26">
      <c r="A1" s="200" t="s">
        <v>259</v>
      </c>
      <c r="B1" s="201" t="s">
        <v>209</v>
      </c>
      <c r="C1" s="201" t="s">
        <v>210</v>
      </c>
      <c r="D1" s="201" t="s">
        <v>211</v>
      </c>
      <c r="E1" s="201" t="s">
        <v>212</v>
      </c>
      <c r="F1" s="201" t="s">
        <v>213</v>
      </c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>
      <c r="A2" s="202" t="s">
        <v>250</v>
      </c>
      <c r="B2" s="203">
        <f ca="1">'Final Attainment'!M30</f>
        <v>2.4</v>
      </c>
      <c r="C2" s="203">
        <f ca="1">'Final Attainment'!N30</f>
        <v>2</v>
      </c>
      <c r="D2" s="203">
        <f ca="1">'Final Attainment'!O30</f>
        <v>3</v>
      </c>
      <c r="E2" s="203">
        <f ca="1">'Final Attainment'!P30</f>
        <v>2.4</v>
      </c>
      <c r="F2" s="203">
        <f ca="1">'Final Attainment'!Q30</f>
        <v>2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>
      <c r="A3" s="202" t="s">
        <v>262</v>
      </c>
      <c r="B3" s="203">
        <f ca="1">'Final Attainment'!M29</f>
        <v>3</v>
      </c>
      <c r="C3" s="203">
        <f ca="1">'Final Attainment'!N29</f>
        <v>2</v>
      </c>
      <c r="D3" s="203">
        <f ca="1">'Final Attainment'!O29</f>
        <v>3</v>
      </c>
      <c r="E3" s="203">
        <f ca="1">'Final Attainment'!P29</f>
        <v>0</v>
      </c>
      <c r="F3" s="203">
        <f ca="1">'Final Attainment'!Q29</f>
        <v>3</v>
      </c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>
      <c r="A4" s="204" t="s">
        <v>263</v>
      </c>
      <c r="B4" s="205">
        <f ca="1">'Final Attainment'!M33</f>
        <v>2.6879999999999997</v>
      </c>
      <c r="C4" s="205">
        <f ca="1">'Final Attainment'!N33</f>
        <v>2.08</v>
      </c>
      <c r="D4" s="205">
        <f ca="1">'Final Attainment'!O33</f>
        <v>2.8800000000000003</v>
      </c>
      <c r="E4" s="205">
        <f ca="1">'Final Attainment'!P33</f>
        <v>1.3680000000000001</v>
      </c>
      <c r="F4" s="205">
        <f ca="1">'Final Attainment'!Q33</f>
        <v>2.6799999999999997</v>
      </c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>
      <c r="A6" s="206" t="s">
        <v>264</v>
      </c>
      <c r="B6" s="206" t="s">
        <v>52</v>
      </c>
      <c r="C6" s="206" t="s">
        <v>55</v>
      </c>
      <c r="D6" s="206" t="s">
        <v>58</v>
      </c>
      <c r="E6" s="206" t="s">
        <v>61</v>
      </c>
      <c r="F6" s="206" t="s">
        <v>64</v>
      </c>
      <c r="G6" s="206" t="s">
        <v>67</v>
      </c>
      <c r="H6" s="206" t="s">
        <v>70</v>
      </c>
      <c r="I6" s="206" t="s">
        <v>73</v>
      </c>
      <c r="J6" s="206" t="s">
        <v>76</v>
      </c>
      <c r="K6" s="206" t="s">
        <v>79</v>
      </c>
      <c r="L6" s="206" t="s">
        <v>82</v>
      </c>
      <c r="M6" s="206" t="s">
        <v>85</v>
      </c>
      <c r="N6" s="206" t="s">
        <v>88</v>
      </c>
      <c r="O6" s="206" t="s">
        <v>91</v>
      </c>
      <c r="P6" s="206" t="s">
        <v>94</v>
      </c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>
      <c r="A7" s="207" t="s">
        <v>260</v>
      </c>
      <c r="B7" s="205">
        <f ca="1">'Final Attainment'!F52</f>
        <v>2.3391999999999999</v>
      </c>
      <c r="C7" s="205">
        <f ca="1">'Final Attainment'!G52</f>
        <v>2.3626666666666667</v>
      </c>
      <c r="D7" s="205">
        <f ca="1">'Final Attainment'!H52</f>
        <v>2.3323076923076922</v>
      </c>
      <c r="E7" s="205">
        <f ca="1">'Final Attainment'!I52</f>
        <v>2.2509090909090905</v>
      </c>
      <c r="F7" s="205">
        <f ca="1">'Final Attainment'!J52</f>
        <v>1.3680000000000001</v>
      </c>
      <c r="G7" s="208" t="str">
        <f ca="1">'Final Attainment'!K52</f>
        <v/>
      </c>
      <c r="H7" s="208" t="str">
        <f ca="1">'Final Attainment'!L52</f>
        <v/>
      </c>
      <c r="I7" s="205" t="str">
        <f ca="1">'Final Attainment'!M52</f>
        <v/>
      </c>
      <c r="J7" s="205" t="str">
        <f ca="1">'Final Attainment'!N52</f>
        <v/>
      </c>
      <c r="K7" s="205">
        <f ca="1">'Final Attainment'!O52</f>
        <v>2.3280000000000003</v>
      </c>
      <c r="L7" s="205" t="str">
        <f ca="1">'Final Attainment'!P52</f>
        <v/>
      </c>
      <c r="M7" s="205" t="str">
        <f ca="1">'Final Attainment'!Q52</f>
        <v/>
      </c>
      <c r="N7" s="205">
        <f ca="1">'Final Attainment'!R52</f>
        <v>2.3391999999999999</v>
      </c>
      <c r="O7" s="208">
        <f ca="1">'Final Attainment'!S52</f>
        <v>2.3323076923076922</v>
      </c>
      <c r="P7" s="208" t="str">
        <f ca="1">'Final Attainment'!T52</f>
        <v/>
      </c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>
      <c r="A10" s="209" t="s">
        <v>36</v>
      </c>
      <c r="B10" s="210">
        <f>'Final Attainment'!E7</f>
        <v>58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Theory</vt:lpstr>
      <vt:lpstr>Graph</vt:lpstr>
      <vt:lpstr>IP</vt:lpstr>
      <vt:lpstr>Test 1</vt:lpstr>
      <vt:lpstr>Test 2</vt:lpstr>
      <vt:lpstr>IP1</vt:lpstr>
      <vt:lpstr>IP2</vt:lpstr>
      <vt:lpstr>ESM</vt:lpstr>
      <vt:lpstr>Final Attainment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2026-03-23T11:16:08Z</dcterms:modified>
</cp:coreProperties>
</file>