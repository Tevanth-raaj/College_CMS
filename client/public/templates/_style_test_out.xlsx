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eory" sheetId="1" r:id="rId1"/>
    <sheet name="Graph" sheetId="2" r:id="rId2"/>
    <sheet name="IP" sheetId="3" r:id="rId3"/>
    <sheet name="Test 1" sheetId="4" r:id="rId4"/>
    <sheet name="Test 2" sheetId="5" r:id="rId5"/>
    <sheet name="IP1" sheetId="6" r:id="rId6"/>
    <sheet name="IP2" sheetId="7" r:id="rId7"/>
    <sheet name="ESM" sheetId="8" r:id="rId8"/>
    <sheet name="Final Attainment" sheetId="9" r:id="rId9"/>
    <sheet name="Expor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0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" fontId="0" fillId="0" borderId="0" xfId="0" applyNumberFormat="1"/>
    <xf numFmtId="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0" fontId="0" fillId="0" borderId="0" xfId="0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0" fontId="0" fillId="0" borderId="0" xfId="0"/>
    <xf numFmtId="0" fontId="0" fillId="0" borderId="0" xfId="0"/>
    <xf numFmtId="4" fontId="0" fillId="0" borderId="0" xfId="0" applyNumberFormat="1"/>
    <xf numFmtId="0" fontId="0" fillId="0" borderId="0" xfId="0"/>
    <xf numFmtId="0" fontId="0" fillId="0" borderId="0" xfId="0"/>
    <xf numFmtId="4" fontId="0" fillId="0" borderId="0" xfId="0" applyNumberFormat="1"/>
    <xf numFmtId="4" fontId="0" fillId="0" borderId="0" xfId="0" applyNumberFormat="1"/>
    <xf numFmtId="0" fontId="0" fillId="0" borderId="0" xfId="0"/>
    <xf numFmtId="4" fontId="0" fillId="0" borderId="0" xfId="0" applyNumberFormat="1"/>
    <xf numFmtId="0" fontId="0" fillId="0" borderId="0" xfId="0"/>
    <xf numFmtId="4" fontId="0" fillId="0" borderId="0" xfId="0" applyNumberFormat="1"/>
    <xf numFmtId="3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46"/>
  <sheetViews>
    <sheetView workbookViewId="0" rightToLeft="0"/>
  </sheetViews>
  <cols>
    <col min="1" max="1" customWidth="1" width="6.140625"/>
    <col min="2" max="2" customWidth="1" width="19"/>
    <col min="3" max="3" customWidth="1" width="35.7109375"/>
    <col min="4" max="4" customWidth="1" width="8"/>
    <col min="5" max="5" customWidth="1" width="8"/>
    <col min="6" max="6" customWidth="1" width="16.85546875"/>
    <col min="7" max="7" customWidth="1" width="6.5703125"/>
    <col min="8" max="8" customWidth="1" width="10.42578125"/>
    <col min="9" max="9" customWidth="1" width="8.42578125"/>
    <col min="10" max="10" customWidth="1" width="22"/>
    <col min="11" max="11" customWidth="1" width="9.140625"/>
    <col min="12" max="12" customWidth="1" width="9.140625"/>
    <col min="13" max="13" customWidth="1" width="9.140625"/>
    <col min="14" max="14" customWidth="1" width="9.140625"/>
    <col min="15" max="15" customWidth="1" width="9.140625"/>
    <col min="16" max="16" customWidth="1" width="9.140625" hidden="true"/>
    <col min="17" max="17" customWidth="1" width="9.140625" hidden="true"/>
    <col min="18" max="18" customWidth="1" width="9.140625" hidden="true"/>
    <col min="19" max="19" customWidth="1" width="9.140625" hidden="true"/>
    <col min="20" max="20" customWidth="1" width="9.140625" hidden="true"/>
    <col min="21" max="21" customWidth="1" width="9.140625" hidden="true"/>
    <col min="22" max="22" customWidth="1" width="9.140625" hidden="true"/>
    <col min="23" max="23" customWidth="1" width="9.140625" hidden="true"/>
    <col min="24" max="24" customWidth="1" width="9.140625" hidden="true"/>
    <col min="25" max="25" customWidth="1" width="9.140625" hidden="true"/>
    <col min="26" max="26" customWidth="1" width="9.140625" hidden="true"/>
    <col min="27" max="27" customWidth="1" width="9.140625" hidden="true"/>
    <col min="28" max="28" customWidth="1" width="9.140625" hidden="true"/>
    <col min="29" max="29" customWidth="1" width="9.140625" hidden="true"/>
    <col min="30" max="30" customWidth="1" width="9.140625" hidden="true"/>
    <col min="31" max="31" customWidth="1" width="9.140625" hidden="true"/>
    <col min="32" max="32" customWidth="1" width="3" hidden="true"/>
    <col min="33" max="33" customWidth="1" width="3" hidden="true"/>
    <col min="34" max="34" customWidth="1" width="3" hidden="true"/>
    <col min="35" max="35" customWidth="1" width="9.140625" hidden="true"/>
    <col min="36" max="36" customWidth="1" width="9.140625" hidden="true"/>
  </cols>
  <sheetData>
    <row r="1" ht="52.5" customHeight="1">
      <c r="K1" s="3" t="str">
        <v>PT1</v>
      </c>
      <c r="L1" s="3" t="str">
        <v>PT2</v>
      </c>
    </row>
    <row r="2" ht="30" customHeight="1">
      <c r="A2" s="3" t="str">
        <v>PT, IP and Int Marks</v>
      </c>
      <c r="J2" s="3" t="str">
        <v>No.of.Candidates Registered</v>
      </c>
      <c r="K2" s="3">
        <f>COUNTA($A$6:$A$546)</f>
        <v>66</v>
      </c>
      <c r="L2" s="3">
        <f>COUNTA($A$6:$A$546)</f>
        <v>66</v>
      </c>
    </row>
    <row r="3" ht="30" customHeight="1">
      <c r="A3" s="3" t="str">
        <v>Course Code - Name</v>
      </c>
      <c r="C3" s="3" t="str">
        <v>22EE401 &amp; POWER GENERATION, TRANSMISSION AND DISTRIBUTION</v>
      </c>
      <c r="J3" s="3" t="str">
        <v>No.of.Candidates Appeared for the Exam</v>
      </c>
      <c r="K3" s="3">
        <f>(K2- COUNTIF(D6:D389,"=AB"))</f>
        <v>66</v>
      </c>
      <c r="L3" s="3">
        <f>(L2- COUNTIF(E6:E389,"=AB"))</f>
        <v>66</v>
      </c>
    </row>
    <row r="4" ht="30" customHeight="1">
      <c r="A4" s="3" t="str">
        <v>Faculty ID - Name</v>
      </c>
      <c r="C4" s="4" t="str">
        <v>Dr.SIVARAMAN P / EE1329</v>
      </c>
      <c r="J4" s="3" t="str">
        <v>No.of.Candidates Absent for the Exam</v>
      </c>
      <c r="K4" s="3">
        <f>K2-K3</f>
        <v>0</v>
      </c>
      <c r="L4" s="3">
        <f>L2-L3</f>
        <v>0</v>
      </c>
    </row>
    <row r="5" ht="33" customHeight="1">
      <c r="A5" s="3" t="str">
        <v>S. No.</v>
      </c>
      <c r="B5" s="3" t="str">
        <v>Reg. No.</v>
      </c>
      <c r="C5" s="3" t="str">
        <v>Name</v>
      </c>
      <c r="D5" s="3" t="str">
        <v>PT1 (50)</v>
      </c>
      <c r="E5" s="3" t="str">
        <v>PT2 (50)</v>
      </c>
      <c r="F5" s="3" t="str">
        <v>Optional Test (50)</v>
      </c>
      <c r="G5" s="5" t="str">
        <v>IP (16)</v>
      </c>
      <c r="H5" s="5" t="str">
        <v>IM (40)</v>
      </c>
      <c r="J5" s="3" t="str">
        <v>No. of Candidates Passed the Exam</v>
      </c>
      <c r="K5" s="3">
        <f>COUNTIF(D6:D546,"&gt;=25")</f>
        <v>55</v>
      </c>
      <c r="L5" s="3">
        <f>COUNTIF(E6:E546,"&gt;=25")</f>
        <v>53</v>
      </c>
    </row>
    <row r="6">
      <c r="A6" s="3">
        <v>1</v>
      </c>
      <c r="B6" s="4" t="str">
        <v>7376231EE102</v>
      </c>
      <c r="C6" s="4" t="str">
        <v>ABINISHA S</v>
      </c>
      <c r="D6" s="3">
        <v>33</v>
      </c>
      <c r="E6" s="3">
        <v>35</v>
      </c>
      <c r="G6" s="5">
        <v>15</v>
      </c>
      <c r="H6" s="6">
        <v>35</v>
      </c>
      <c r="J6" s="3" t="str">
        <v>pass %</v>
      </c>
      <c r="K6" s="3">
        <f>ROUND(K5/K2*100,2)</f>
        <v>83.33</v>
      </c>
      <c r="L6" s="3">
        <f>ROUND(L5/L2*100,2)</f>
        <v>80.3</v>
      </c>
      <c r="AF6" s="3">
        <f>IF(D6&lt;&gt;"",IF(D6="A",0,D6),"")</f>
        <v>33</v>
      </c>
      <c r="AG6" s="3">
        <f>IF(E6&lt;&gt;"",IF(E6="A",0,E6),"")</f>
        <v>35</v>
      </c>
      <c r="AH6" s="3" t="str">
        <f>IF(F6&lt;&gt;"",IF(F6="A",0,F6),"")</f>
        <v/>
      </c>
      <c r="AJ6" s="3">
        <f>IF(G6&lt;&gt;"",IF(G6="A",0,G6),"")</f>
        <v>15</v>
      </c>
    </row>
    <row r="7" ht="15.75" customHeight="1">
      <c r="A7" s="3">
        <v>2</v>
      </c>
      <c r="B7" s="4" t="str">
        <v>7376231EE103</v>
      </c>
      <c r="C7" s="4" t="str">
        <v>ANANTHIKA A</v>
      </c>
      <c r="D7" s="3">
        <v>33</v>
      </c>
      <c r="E7" s="3">
        <v>34</v>
      </c>
      <c r="G7" s="5">
        <v>15</v>
      </c>
      <c r="H7" s="6">
        <v>35</v>
      </c>
      <c r="J7" s="3" t="str">
        <v>0-20</v>
      </c>
      <c r="K7" s="3">
        <f>COUNTIFS(D6:D546,"&gt;=0",D6:D546,"&lt;=10")</f>
        <v>0</v>
      </c>
      <c r="L7" s="3">
        <f>COUNTIFS(E6:E546,"&gt;=0",E6:E546,"&lt;=10")</f>
        <v>1</v>
      </c>
      <c r="AF7" s="3">
        <f>IF(D7&lt;&gt;"",IF(D7="A",0,D7),"")</f>
        <v>33</v>
      </c>
      <c r="AG7" s="3">
        <f>IF(E7&lt;&gt;"",IF(E7="A",0,E7),"")</f>
        <v>34</v>
      </c>
      <c r="AH7" s="3" t="str">
        <f>IF(F7&lt;&gt;"",IF(F7="A",0,F7),"")</f>
        <v/>
      </c>
      <c r="AJ7" s="3">
        <f>IF(G7&lt;&gt;"",IF(G7="A",0,G7),"")</f>
        <v>15</v>
      </c>
    </row>
    <row r="8" ht="15.75" customHeight="1">
      <c r="A8" s="3">
        <v>3</v>
      </c>
      <c r="B8" s="4" t="str">
        <v>7376231EE104</v>
      </c>
      <c r="C8" s="4" t="str">
        <v>ANBARASU G</v>
      </c>
      <c r="D8" s="3">
        <v>18</v>
      </c>
      <c r="E8" s="3">
        <v>23</v>
      </c>
      <c r="G8" s="5">
        <v>9</v>
      </c>
      <c r="H8" s="6">
        <v>20</v>
      </c>
      <c r="J8" s="3" t="str">
        <v>21-50</v>
      </c>
      <c r="K8" s="3">
        <f>COUNTIFS(D6:D546,"&gt;10",D6:D546,"&lt;=25")</f>
        <v>12</v>
      </c>
      <c r="L8" s="3">
        <f>COUNTIFS(E6:E546,"&gt;10",E6:E546,"&lt;=25")</f>
        <v>12</v>
      </c>
      <c r="AF8" s="3">
        <f>IF(D8&lt;&gt;"",IF(D8="A",0,D8),"")</f>
        <v>18</v>
      </c>
      <c r="AG8" s="3">
        <f>IF(E8&lt;&gt;"",IF(E8="A",0,E8),"")</f>
        <v>23</v>
      </c>
      <c r="AH8" s="3" t="str">
        <f>IF(F8&lt;&gt;"",IF(F8="A",0,F8),"")</f>
        <v/>
      </c>
      <c r="AJ8" s="3">
        <f>IF(G8&lt;&gt;"",IF(G8="A",0,G8),"")</f>
        <v>9</v>
      </c>
    </row>
    <row r="9" ht="15.75" customHeight="1">
      <c r="A9" s="3">
        <v>4</v>
      </c>
      <c r="B9" s="4" t="str">
        <v>7376231EE105</v>
      </c>
      <c r="C9" s="4" t="str">
        <v>ANUJA N</v>
      </c>
      <c r="D9" s="3">
        <v>34</v>
      </c>
      <c r="E9" s="3">
        <v>33</v>
      </c>
      <c r="G9" s="5">
        <v>15</v>
      </c>
      <c r="H9" s="6">
        <v>35</v>
      </c>
      <c r="J9" s="3" t="str">
        <v>51-80</v>
      </c>
      <c r="K9" s="3">
        <f>COUNTIFS(D6:D546,"&gt;25",D6:D546,"&lt;=40")</f>
        <v>54</v>
      </c>
      <c r="L9" s="3">
        <f>COUNTIFS(E6:E546,"&gt;25",E6:E546,"&lt;=40")</f>
        <v>53</v>
      </c>
      <c r="AF9" s="3">
        <f>IF(D9&lt;&gt;"",IF(D9="A",0,D9),"")</f>
        <v>34</v>
      </c>
      <c r="AG9" s="3">
        <f>IF(E9&lt;&gt;"",IF(E9="A",0,E9),"")</f>
        <v>33</v>
      </c>
      <c r="AH9" s="3" t="str">
        <f>IF(F9&lt;&gt;"",IF(F9="A",0,F9),"")</f>
        <v/>
      </c>
      <c r="AJ9" s="3">
        <f>IF(G9&lt;&gt;"",IF(G9="A",0,G9),"")</f>
        <v>15</v>
      </c>
    </row>
    <row r="10" ht="15.75" customHeight="1">
      <c r="A10" s="3">
        <v>5</v>
      </c>
      <c r="B10" s="4" t="str">
        <v>7376231EE106</v>
      </c>
      <c r="C10" s="4" t="str">
        <v>ARUN BHAGAVATH S</v>
      </c>
      <c r="D10" s="3">
        <v>32</v>
      </c>
      <c r="E10" s="3">
        <v>32</v>
      </c>
      <c r="G10" s="5">
        <v>14</v>
      </c>
      <c r="H10" s="6">
        <v>32</v>
      </c>
      <c r="J10" s="3" t="str">
        <v>81-100</v>
      </c>
      <c r="K10" s="3">
        <f>COUNTIFS(D6:D546,"&gt;40",D6:D546,"&lt;=50")</f>
        <v>0</v>
      </c>
      <c r="L10" s="3">
        <f>COUNTIFS(E6:E546,"&gt;40",E6:E546,"&lt;=50")</f>
        <v>0</v>
      </c>
      <c r="AF10" s="3">
        <f>IF(D10&lt;&gt;"",IF(D10="A",0,D10),"")</f>
        <v>32</v>
      </c>
      <c r="AG10" s="3">
        <f>IF(E10&lt;&gt;"",IF(E10="A",0,E10),"")</f>
        <v>32</v>
      </c>
      <c r="AH10" s="3" t="str">
        <f>IF(F10&lt;&gt;"",IF(F10="A",0,F10),"")</f>
        <v/>
      </c>
      <c r="AJ10" s="3">
        <f>IF(G10&lt;&gt;"",IF(G10="A",0,G10),"")</f>
        <v>14</v>
      </c>
    </row>
    <row r="11">
      <c r="A11" s="3">
        <v>6</v>
      </c>
      <c r="B11" s="4" t="str">
        <v>7376231EE107</v>
      </c>
      <c r="C11" s="4" t="str">
        <v>ARUNIKA T K</v>
      </c>
      <c r="D11" s="3">
        <v>34</v>
      </c>
      <c r="E11" s="3">
        <v>34</v>
      </c>
      <c r="G11" s="5">
        <v>16</v>
      </c>
      <c r="H11" s="6">
        <v>35</v>
      </c>
      <c r="J11" s="3" t="str">
        <v>CO Target</v>
      </c>
      <c r="K11" s="3">
        <f>'Final Attainment'!E7</f>
        <v>58</v>
      </c>
      <c r="AF11" s="3">
        <f>IF(D11&lt;&gt;"",IF(D11="A",0,D11),"")</f>
        <v>34</v>
      </c>
      <c r="AG11" s="3">
        <f>IF(E11&lt;&gt;"",IF(E11="A",0,E11),"")</f>
        <v>34</v>
      </c>
      <c r="AH11" s="3" t="str">
        <f>IF(F11&lt;&gt;"",IF(F11="A",0,F11),"")</f>
        <v/>
      </c>
      <c r="AJ11" s="3">
        <f>IF(G11&lt;&gt;"",IF(G11="A",0,G11),"")</f>
        <v>16</v>
      </c>
    </row>
    <row r="12">
      <c r="A12" s="3">
        <v>7</v>
      </c>
      <c r="B12" s="4" t="str">
        <v>7376231EE108</v>
      </c>
      <c r="C12" s="4" t="str">
        <v>BALAJI M J</v>
      </c>
      <c r="D12" s="3">
        <v>34</v>
      </c>
      <c r="E12" s="3">
        <v>32</v>
      </c>
      <c r="G12" s="5">
        <v>16</v>
      </c>
      <c r="H12" s="6">
        <v>35</v>
      </c>
      <c r="J12" s="3" t="str">
        <v>PT1 Attainment</v>
      </c>
      <c r="K12" s="3">
        <f>'Final Attainment'!M21</f>
        <v>2</v>
      </c>
      <c r="L12" s="3">
        <f>'Final Attainment'!N21</f>
        <v>2</v>
      </c>
      <c r="M12" s="3">
        <f>'Final Attainment'!O21</f>
        <v>3</v>
      </c>
      <c r="AF12" s="3">
        <f>IF(D12&lt;&gt;"",IF(D12="A",0,D12),"")</f>
        <v>34</v>
      </c>
      <c r="AG12" s="3">
        <f>IF(E12&lt;&gt;"",IF(E12="A",0,E12),"")</f>
        <v>32</v>
      </c>
      <c r="AH12" s="3" t="str">
        <f>IF(F12&lt;&gt;"",IF(F12="A",0,F12),"")</f>
        <v/>
      </c>
      <c r="AJ12" s="3">
        <f>IF(G12&lt;&gt;"",IF(G12="A",0,G12),"")</f>
        <v>16</v>
      </c>
    </row>
    <row r="13">
      <c r="A13" s="3">
        <v>8</v>
      </c>
      <c r="B13" s="4" t="str">
        <v>7376231EE109</v>
      </c>
      <c r="C13" s="4" t="str">
        <v>BHARANIDHARAN S</v>
      </c>
      <c r="D13" s="3">
        <v>33</v>
      </c>
      <c r="E13" s="3">
        <v>32</v>
      </c>
      <c r="G13" s="5">
        <v>15</v>
      </c>
      <c r="H13" s="6">
        <v>34</v>
      </c>
      <c r="J13" s="3" t="str">
        <v>PT2 Attainment</v>
      </c>
      <c r="M13" s="3">
        <f>'Final Attainment'!O22</f>
        <v>3</v>
      </c>
      <c r="N13" s="3">
        <f>'Final Attainment'!P22</f>
        <v>2</v>
      </c>
      <c r="O13" s="3">
        <f>'Final Attainment'!Q22</f>
        <v>2</v>
      </c>
      <c r="AF13" s="3">
        <f>IF(D13&lt;&gt;"",IF(D13="A",0,D13),"")</f>
        <v>33</v>
      </c>
      <c r="AG13" s="3">
        <f>IF(E13&lt;&gt;"",IF(E13="A",0,E13),"")</f>
        <v>32</v>
      </c>
      <c r="AH13" s="3" t="str">
        <f>IF(F13&lt;&gt;"",IF(F13="A",0,F13),"")</f>
        <v/>
      </c>
      <c r="AJ13" s="3">
        <f>IF(G13&lt;&gt;"",IF(G13="A",0,G13),"")</f>
        <v>15</v>
      </c>
    </row>
    <row r="14">
      <c r="A14" s="3">
        <v>9</v>
      </c>
      <c r="B14" s="4" t="str">
        <v>7376231EE110</v>
      </c>
      <c r="C14" s="4" t="str">
        <v>DEEPTHI A</v>
      </c>
      <c r="D14" s="3">
        <v>36</v>
      </c>
      <c r="E14" s="3">
        <v>37</v>
      </c>
      <c r="G14" s="5">
        <v>16</v>
      </c>
      <c r="H14" s="6">
        <v>37</v>
      </c>
      <c r="J14" s="3" t="str">
        <v>SEE Attainment</v>
      </c>
      <c r="K14" s="3">
        <f>'Final Attainment'!M29</f>
        <v>3</v>
      </c>
      <c r="L14" s="3">
        <f>'Final Attainment'!N29</f>
        <v>2</v>
      </c>
      <c r="M14" s="3">
        <f>'Final Attainment'!O29</f>
        <v>3</v>
      </c>
      <c r="N14" s="3">
        <f>'Final Attainment'!P29</f>
        <v>0</v>
      </c>
      <c r="O14" s="3">
        <f>'Final Attainment'!Q29</f>
        <v>3</v>
      </c>
      <c r="AF14" s="3">
        <f>IF(D14&lt;&gt;"",IF(D14="A",0,D14),"")</f>
        <v>36</v>
      </c>
      <c r="AG14" s="3">
        <f>IF(E14&lt;&gt;"",IF(E14="A",0,E14),"")</f>
        <v>37</v>
      </c>
      <c r="AH14" s="3" t="str">
        <f>IF(F14&lt;&gt;"",IF(F14="A",0,F14),"")</f>
        <v/>
      </c>
      <c r="AJ14" s="3">
        <f>IF(G14&lt;&gt;"",IF(G14="A",0,G14),"")</f>
        <v>16</v>
      </c>
    </row>
    <row r="15">
      <c r="A15" s="3">
        <v>10</v>
      </c>
      <c r="B15" s="4" t="str">
        <v>7376231EE111</v>
      </c>
      <c r="C15" s="4" t="str">
        <v>DEPEN T</v>
      </c>
      <c r="D15" s="3">
        <v>14</v>
      </c>
      <c r="E15" s="3">
        <v>12</v>
      </c>
      <c r="G15" s="5">
        <v>3</v>
      </c>
      <c r="H15" s="6">
        <v>10</v>
      </c>
      <c r="AF15" s="3">
        <f>IF(D15&lt;&gt;"",IF(D15="A",0,D15),"")</f>
        <v>14</v>
      </c>
      <c r="AG15" s="3">
        <f>IF(E15&lt;&gt;"",IF(E15="A",0,E15),"")</f>
        <v>12</v>
      </c>
      <c r="AH15" s="3" t="str">
        <f>IF(F15&lt;&gt;"",IF(F15="A",0,F15),"")</f>
        <v/>
      </c>
      <c r="AJ15" s="3">
        <f>IF(G15&lt;&gt;"",IF(G15="A",0,G15),"")</f>
        <v>3</v>
      </c>
    </row>
    <row r="16">
      <c r="A16" s="3">
        <v>11</v>
      </c>
      <c r="B16" s="4" t="str">
        <v>7376231EE112</v>
      </c>
      <c r="C16" s="4" t="str">
        <v>DHANUSHA CHITRA PALANISAMY</v>
      </c>
      <c r="D16" s="3">
        <v>32</v>
      </c>
      <c r="E16" s="3">
        <v>28</v>
      </c>
      <c r="G16" s="5">
        <v>13</v>
      </c>
      <c r="H16" s="6">
        <v>30</v>
      </c>
      <c r="AF16" s="3">
        <f>IF(D16&lt;&gt;"",IF(D16="A",0,D16),"")</f>
        <v>32</v>
      </c>
      <c r="AG16" s="3">
        <f>IF(E16&lt;&gt;"",IF(E16="A",0,E16),"")</f>
        <v>28</v>
      </c>
      <c r="AH16" s="3" t="str">
        <f>IF(F16&lt;&gt;"",IF(F16="A",0,F16),"")</f>
        <v/>
      </c>
      <c r="AJ16" s="3">
        <f>IF(G16&lt;&gt;"",IF(G16="A",0,G16),"")</f>
        <v>13</v>
      </c>
    </row>
    <row r="17" ht="15.75" customHeight="1">
      <c r="A17" s="3">
        <v>12</v>
      </c>
      <c r="B17" s="4" t="str">
        <v>7376231EE113</v>
      </c>
      <c r="C17" s="4" t="str">
        <v>DHARSHINI M</v>
      </c>
      <c r="D17" s="3">
        <v>30</v>
      </c>
      <c r="E17" s="3">
        <v>34</v>
      </c>
      <c r="G17" s="5">
        <v>15</v>
      </c>
      <c r="H17" s="6">
        <v>34</v>
      </c>
      <c r="J17" s="5" t="str">
        <v>PO1</v>
      </c>
      <c r="K17" s="7">
        <f>'Final Attainment'!F52</f>
        <v>2.3392</v>
      </c>
      <c r="AF17" s="3">
        <f>IF(D17&lt;&gt;"",IF(D17="A",0,D17),"")</f>
        <v>30</v>
      </c>
      <c r="AG17" s="3">
        <f>IF(E17&lt;&gt;"",IF(E17="A",0,E17),"")</f>
        <v>34</v>
      </c>
      <c r="AH17" s="3" t="str">
        <f>IF(F17&lt;&gt;"",IF(F17="A",0,F17),"")</f>
        <v/>
      </c>
      <c r="AJ17" s="3">
        <f>IF(G17&lt;&gt;"",IF(G17="A",0,G17),"")</f>
        <v>15</v>
      </c>
    </row>
    <row r="18" ht="15.75" customHeight="1">
      <c r="A18" s="3">
        <v>13</v>
      </c>
      <c r="B18" s="4" t="str">
        <v>7376231EE114</v>
      </c>
      <c r="C18" s="4" t="str">
        <v>DHILIP M V</v>
      </c>
      <c r="D18" s="3">
        <v>30</v>
      </c>
      <c r="E18" s="3">
        <v>22</v>
      </c>
      <c r="G18" s="5">
        <v>11</v>
      </c>
      <c r="H18" s="6">
        <v>26</v>
      </c>
      <c r="J18" s="5" t="str">
        <v>PO2</v>
      </c>
      <c r="K18" s="7">
        <f>'Final Attainment'!G52</f>
        <v>2.3626666666666667</v>
      </c>
      <c r="AF18" s="3">
        <f>IF(D18&lt;&gt;"",IF(D18="A",0,D18),"")</f>
        <v>30</v>
      </c>
      <c r="AG18" s="3">
        <f>IF(E18&lt;&gt;"",IF(E18="A",0,E18),"")</f>
        <v>22</v>
      </c>
      <c r="AH18" s="3" t="str">
        <f>IF(F18&lt;&gt;"",IF(F18="A",0,F18),"")</f>
        <v/>
      </c>
      <c r="AJ18" s="3">
        <f>IF(G18&lt;&gt;"",IF(G18="A",0,G18),"")</f>
        <v>11</v>
      </c>
    </row>
    <row r="19" ht="15.75" customHeight="1">
      <c r="A19" s="3">
        <v>14</v>
      </c>
      <c r="B19" s="4" t="str">
        <v>7376231EE115</v>
      </c>
      <c r="C19" s="4" t="str">
        <v>DHIVA R</v>
      </c>
      <c r="D19" s="3">
        <v>20</v>
      </c>
      <c r="E19" s="3">
        <v>10</v>
      </c>
      <c r="G19" s="5">
        <v>9</v>
      </c>
      <c r="H19" s="6">
        <v>17</v>
      </c>
      <c r="J19" s="5" t="str">
        <v>PO3</v>
      </c>
      <c r="K19" s="7">
        <f>'Final Attainment'!H52</f>
        <v>2.332307692307692</v>
      </c>
      <c r="AF19" s="3">
        <f>IF(D19&lt;&gt;"",IF(D19="A",0,D19),"")</f>
        <v>20</v>
      </c>
      <c r="AG19" s="3">
        <f>IF(E19&lt;&gt;"",IF(E19="A",0,E19),"")</f>
        <v>10</v>
      </c>
      <c r="AH19" s="3" t="str">
        <f>IF(F19&lt;&gt;"",IF(F19="A",0,F19),"")</f>
        <v/>
      </c>
      <c r="AJ19" s="3">
        <f>IF(G19&lt;&gt;"",IF(G19="A",0,G19),"")</f>
        <v>9</v>
      </c>
    </row>
    <row r="20" ht="15.75" customHeight="1">
      <c r="A20" s="3">
        <v>15</v>
      </c>
      <c r="B20" s="4" t="str">
        <v>7376231EE116</v>
      </c>
      <c r="C20" s="4" t="str">
        <v>GOWTHAM M</v>
      </c>
      <c r="D20" s="3">
        <v>28</v>
      </c>
      <c r="E20" s="3">
        <v>24</v>
      </c>
      <c r="G20" s="5">
        <v>12</v>
      </c>
      <c r="H20" s="6">
        <v>27</v>
      </c>
      <c r="J20" s="5" t="str">
        <v>PO4</v>
      </c>
      <c r="K20" s="7">
        <f>'Final Attainment'!I52</f>
        <v>2.2509090909090905</v>
      </c>
      <c r="AF20" s="3">
        <f>IF(D20&lt;&gt;"",IF(D20="A",0,D20),"")</f>
        <v>28</v>
      </c>
      <c r="AG20" s="3">
        <f>IF(E20&lt;&gt;"",IF(E20="A",0,E20),"")</f>
        <v>24</v>
      </c>
      <c r="AH20" s="3" t="str">
        <f>IF(F20&lt;&gt;"",IF(F20="A",0,F20),"")</f>
        <v/>
      </c>
      <c r="AJ20" s="3">
        <f>IF(G20&lt;&gt;"",IF(G20="A",0,G20),"")</f>
        <v>12</v>
      </c>
    </row>
    <row r="21" ht="15.75" customHeight="1">
      <c r="A21" s="3">
        <v>16</v>
      </c>
      <c r="B21" s="4" t="str">
        <v>7376231EE117</v>
      </c>
      <c r="C21" s="4" t="str">
        <v>GOWTHAM T</v>
      </c>
      <c r="D21" s="3">
        <v>22</v>
      </c>
      <c r="E21" s="3">
        <v>33</v>
      </c>
      <c r="G21" s="5">
        <v>15</v>
      </c>
      <c r="H21" s="6">
        <v>31</v>
      </c>
      <c r="J21" s="5" t="str">
        <v>PO5</v>
      </c>
      <c r="K21" s="7">
        <f>'Final Attainment'!J52</f>
        <v>1.368</v>
      </c>
      <c r="AF21" s="3">
        <f>IF(D21&lt;&gt;"",IF(D21="A",0,D21),"")</f>
        <v>22</v>
      </c>
      <c r="AG21" s="3">
        <f>IF(E21&lt;&gt;"",IF(E21="A",0,E21),"")</f>
        <v>33</v>
      </c>
      <c r="AH21" s="3" t="str">
        <f>IF(F21&lt;&gt;"",IF(F21="A",0,F21),"")</f>
        <v/>
      </c>
      <c r="AJ21" s="3">
        <f>IF(G21&lt;&gt;"",IF(G21="A",0,G21),"")</f>
        <v>15</v>
      </c>
    </row>
    <row r="22" ht="15.75" customHeight="1">
      <c r="A22" s="3">
        <v>17</v>
      </c>
      <c r="B22" s="4" t="str">
        <v>7376231EE118</v>
      </c>
      <c r="C22" s="4" t="str">
        <v>HARIKRISHNA N</v>
      </c>
      <c r="D22" s="3">
        <v>30</v>
      </c>
      <c r="E22" s="3">
        <v>31</v>
      </c>
      <c r="G22" s="5">
        <v>14</v>
      </c>
      <c r="H22" s="6">
        <v>32</v>
      </c>
      <c r="J22" s="5" t="str">
        <v>PO6</v>
      </c>
      <c r="K22" s="7" t="str">
        <f>'Final Attainment'!K52</f>
        <v/>
      </c>
      <c r="AF22" s="3">
        <f>IF(D22&lt;&gt;"",IF(D22="A",0,D22),"")</f>
        <v>30</v>
      </c>
      <c r="AG22" s="3">
        <f>IF(E22&lt;&gt;"",IF(E22="A",0,E22),"")</f>
        <v>31</v>
      </c>
      <c r="AH22" s="3" t="str">
        <f>IF(F22&lt;&gt;"",IF(F22="A",0,F22),"")</f>
        <v/>
      </c>
      <c r="AJ22" s="3">
        <f>IF(G22&lt;&gt;"",IF(G22="A",0,G22),"")</f>
        <v>14</v>
      </c>
    </row>
    <row r="23" ht="15.75" customHeight="1">
      <c r="A23" s="3">
        <v>18</v>
      </c>
      <c r="B23" s="4" t="str">
        <v>7376231EE119</v>
      </c>
      <c r="C23" s="4" t="str">
        <v>HARINI K S</v>
      </c>
      <c r="D23" s="3">
        <v>31</v>
      </c>
      <c r="E23" s="3">
        <v>31</v>
      </c>
      <c r="G23" s="5">
        <v>14</v>
      </c>
      <c r="H23" s="6">
        <v>32</v>
      </c>
      <c r="J23" s="5" t="str">
        <v>PO7</v>
      </c>
      <c r="K23" s="7" t="str">
        <f>'Final Attainment'!L52</f>
        <v/>
      </c>
      <c r="AF23" s="3">
        <f>IF(D23&lt;&gt;"",IF(D23="A",0,D23),"")</f>
        <v>31</v>
      </c>
      <c r="AG23" s="3">
        <f>IF(E23&lt;&gt;"",IF(E23="A",0,E23),"")</f>
        <v>31</v>
      </c>
      <c r="AH23" s="3" t="str">
        <f>IF(F23&lt;&gt;"",IF(F23="A",0,F23),"")</f>
        <v/>
      </c>
      <c r="AJ23" s="3">
        <f>IF(G23&lt;&gt;"",IF(G23="A",0,G23),"")</f>
        <v>14</v>
      </c>
    </row>
    <row r="24" ht="15.75" customHeight="1">
      <c r="A24" s="3">
        <v>19</v>
      </c>
      <c r="B24" s="4" t="str">
        <v>7376231EE120</v>
      </c>
      <c r="C24" s="4" t="str">
        <v>JANANI N</v>
      </c>
      <c r="D24" s="3">
        <v>33</v>
      </c>
      <c r="E24" s="3">
        <v>32</v>
      </c>
      <c r="G24" s="5">
        <v>15</v>
      </c>
      <c r="H24" s="6">
        <v>34</v>
      </c>
      <c r="J24" s="5" t="str">
        <v>PO8</v>
      </c>
      <c r="K24" s="7" t="str">
        <f>'Final Attainment'!M52</f>
        <v/>
      </c>
      <c r="AF24" s="3">
        <f>IF(D24&lt;&gt;"",IF(D24="A",0,D24),"")</f>
        <v>33</v>
      </c>
      <c r="AG24" s="3">
        <f>IF(E24&lt;&gt;"",IF(E24="A",0,E24),"")</f>
        <v>32</v>
      </c>
      <c r="AH24" s="3" t="str">
        <f>IF(F24&lt;&gt;"",IF(F24="A",0,F24),"")</f>
        <v/>
      </c>
      <c r="AJ24" s="3">
        <f>IF(G24&lt;&gt;"",IF(G24="A",0,G24),"")</f>
        <v>15</v>
      </c>
    </row>
    <row r="25" ht="15.75" customHeight="1">
      <c r="A25" s="3">
        <v>20</v>
      </c>
      <c r="B25" s="4" t="str">
        <v>7376231EE121</v>
      </c>
      <c r="C25" s="4" t="str">
        <v>JEBASTIN JOSEPH PAUL J</v>
      </c>
      <c r="D25" s="3">
        <v>33</v>
      </c>
      <c r="E25" s="3">
        <v>36</v>
      </c>
      <c r="G25" s="5">
        <v>16</v>
      </c>
      <c r="H25" s="6">
        <v>36</v>
      </c>
      <c r="J25" s="5" t="str">
        <v>PO9</v>
      </c>
      <c r="K25" s="7" t="str">
        <f>'Final Attainment'!N52</f>
        <v/>
      </c>
      <c r="AF25" s="3">
        <f>IF(D25&lt;&gt;"",IF(D25="A",0,D25),"")</f>
        <v>33</v>
      </c>
      <c r="AG25" s="3">
        <f>IF(E25&lt;&gt;"",IF(E25="A",0,E25),"")</f>
        <v>36</v>
      </c>
      <c r="AH25" s="3" t="str">
        <f>IF(F25&lt;&gt;"",IF(F25="A",0,F25),"")</f>
        <v/>
      </c>
      <c r="AJ25" s="3">
        <f>IF(G25&lt;&gt;"",IF(G25="A",0,G25),"")</f>
        <v>16</v>
      </c>
    </row>
    <row r="26" ht="15.75" customHeight="1">
      <c r="A26" s="3">
        <v>21</v>
      </c>
      <c r="B26" s="4" t="str">
        <v>7376231EE122</v>
      </c>
      <c r="C26" s="4" t="str">
        <v>JEEVITHA S</v>
      </c>
      <c r="D26" s="3">
        <v>35</v>
      </c>
      <c r="E26" s="3">
        <v>36</v>
      </c>
      <c r="G26" s="5">
        <v>16</v>
      </c>
      <c r="H26" s="6">
        <v>37</v>
      </c>
      <c r="J26" s="5" t="str">
        <v>PO10</v>
      </c>
      <c r="K26" s="7">
        <f>'Final Attainment'!O52</f>
        <v>2.3280000000000003</v>
      </c>
      <c r="AF26" s="3">
        <f>IF(D26&lt;&gt;"",IF(D26="A",0,D26),"")</f>
        <v>35</v>
      </c>
      <c r="AG26" s="3">
        <f>IF(E26&lt;&gt;"",IF(E26="A",0,E26),"")</f>
        <v>36</v>
      </c>
      <c r="AH26" s="3" t="str">
        <f>IF(F26&lt;&gt;"",IF(F26="A",0,F26),"")</f>
        <v/>
      </c>
      <c r="AJ26" s="3">
        <f>IF(G26&lt;&gt;"",IF(G26="A",0,G26),"")</f>
        <v>16</v>
      </c>
    </row>
    <row r="27" ht="15.75" customHeight="1">
      <c r="A27" s="3">
        <v>22</v>
      </c>
      <c r="B27" s="4" t="str">
        <v>7376231EE123</v>
      </c>
      <c r="C27" s="4" t="str">
        <v>KAMALESH A P</v>
      </c>
      <c r="D27" s="3">
        <v>33</v>
      </c>
      <c r="E27" s="3">
        <v>34</v>
      </c>
      <c r="G27" s="5">
        <v>16</v>
      </c>
      <c r="H27" s="6">
        <v>35</v>
      </c>
      <c r="J27" s="5" t="str">
        <v>PO11</v>
      </c>
      <c r="K27" s="7" t="str">
        <f>'Final Attainment'!P52</f>
        <v/>
      </c>
      <c r="AF27" s="3">
        <f>IF(D27&lt;&gt;"",IF(D27="A",0,D27),"")</f>
        <v>33</v>
      </c>
      <c r="AG27" s="3">
        <f>IF(E27&lt;&gt;"",IF(E27="A",0,E27),"")</f>
        <v>34</v>
      </c>
      <c r="AH27" s="3" t="str">
        <f>IF(F27&lt;&gt;"",IF(F27="A",0,F27),"")</f>
        <v/>
      </c>
      <c r="AJ27" s="3">
        <f>IF(G27&lt;&gt;"",IF(G27="A",0,G27),"")</f>
        <v>16</v>
      </c>
    </row>
    <row r="28" ht="15.75" customHeight="1">
      <c r="A28" s="3">
        <v>23</v>
      </c>
      <c r="B28" s="4" t="str">
        <v>7376231EE124</v>
      </c>
      <c r="C28" s="4" t="str">
        <v>KAMALESH VARMA V G</v>
      </c>
      <c r="D28" s="3">
        <v>31</v>
      </c>
      <c r="E28" s="3">
        <v>29</v>
      </c>
      <c r="G28" s="5">
        <v>14</v>
      </c>
      <c r="H28" s="6">
        <v>32</v>
      </c>
      <c r="J28" s="5" t="str">
        <v>PO12</v>
      </c>
      <c r="K28" s="7" t="str">
        <f>'Final Attainment'!Q52</f>
        <v/>
      </c>
      <c r="AF28" s="3">
        <f>IF(D28&lt;&gt;"",IF(D28="A",0,D28),"")</f>
        <v>31</v>
      </c>
      <c r="AG28" s="3">
        <f>IF(E28&lt;&gt;"",IF(E28="A",0,E28),"")</f>
        <v>29</v>
      </c>
      <c r="AH28" s="3" t="str">
        <f>IF(F28&lt;&gt;"",IF(F28="A",0,F28),"")</f>
        <v/>
      </c>
      <c r="AJ28" s="3">
        <f>IF(G28&lt;&gt;"",IF(G28="A",0,G28),"")</f>
        <v>14</v>
      </c>
    </row>
    <row r="29" ht="15.75" customHeight="1">
      <c r="A29" s="3">
        <v>24</v>
      </c>
      <c r="B29" s="4" t="str">
        <v>7376231EE125</v>
      </c>
      <c r="C29" s="4" t="str">
        <v>KATHIR NITHESH R</v>
      </c>
      <c r="D29" s="3">
        <v>32</v>
      </c>
      <c r="E29" s="3">
        <v>35</v>
      </c>
      <c r="G29" s="5">
        <v>15</v>
      </c>
      <c r="H29" s="6">
        <v>34</v>
      </c>
      <c r="J29" s="5" t="str">
        <v>PSO1</v>
      </c>
      <c r="K29" s="7">
        <f>'Final Attainment'!R52</f>
        <v>2.3392</v>
      </c>
      <c r="AF29" s="3">
        <f>IF(D29&lt;&gt;"",IF(D29="A",0,D29),"")</f>
        <v>32</v>
      </c>
      <c r="AG29" s="3">
        <f>IF(E29&lt;&gt;"",IF(E29="A",0,E29),"")</f>
        <v>35</v>
      </c>
      <c r="AH29" s="3" t="str">
        <f>IF(F29&lt;&gt;"",IF(F29="A",0,F29),"")</f>
        <v/>
      </c>
      <c r="AJ29" s="3">
        <f>IF(G29&lt;&gt;"",IF(G29="A",0,G29),"")</f>
        <v>15</v>
      </c>
    </row>
    <row r="30" ht="15.75" customHeight="1">
      <c r="A30" s="3">
        <v>25</v>
      </c>
      <c r="B30" s="4" t="str">
        <v>7376231EE126</v>
      </c>
      <c r="C30" s="4" t="str">
        <v>KAVITHA M</v>
      </c>
      <c r="D30" s="3">
        <v>34</v>
      </c>
      <c r="E30" s="3">
        <v>34</v>
      </c>
      <c r="G30" s="5">
        <v>15</v>
      </c>
      <c r="H30" s="6">
        <v>35</v>
      </c>
      <c r="J30" s="5" t="str">
        <v>PSO2</v>
      </c>
      <c r="K30" s="7">
        <f>'Final Attainment'!S52</f>
        <v>2.332307692307692</v>
      </c>
      <c r="AF30" s="3">
        <f>IF(D30&lt;&gt;"",IF(D30="A",0,D30),"")</f>
        <v>34</v>
      </c>
      <c r="AG30" s="3">
        <f>IF(E30&lt;&gt;"",IF(E30="A",0,E30),"")</f>
        <v>34</v>
      </c>
      <c r="AH30" s="3" t="str">
        <f>IF(F30&lt;&gt;"",IF(F30="A",0,F30),"")</f>
        <v/>
      </c>
      <c r="AJ30" s="3">
        <f>IF(G30&lt;&gt;"",IF(G30="A",0,G30),"")</f>
        <v>15</v>
      </c>
    </row>
    <row r="31" ht="15.75" customHeight="1">
      <c r="A31" s="3">
        <v>26</v>
      </c>
      <c r="B31" s="4" t="str">
        <v>7376231EE127</v>
      </c>
      <c r="C31" s="4" t="str">
        <v>KAVIYARASU V K</v>
      </c>
      <c r="D31" s="3">
        <v>29</v>
      </c>
      <c r="E31" s="3">
        <v>33</v>
      </c>
      <c r="G31" s="5">
        <v>14</v>
      </c>
      <c r="H31" s="6">
        <v>32</v>
      </c>
      <c r="J31" s="5" t="str">
        <v>PSO3</v>
      </c>
      <c r="K31" s="7" t="str">
        <f>'Final Attainment'!T52</f>
        <v/>
      </c>
      <c r="AF31" s="3">
        <f>IF(D31&lt;&gt;"",IF(D31="A",0,D31),"")</f>
        <v>29</v>
      </c>
      <c r="AG31" s="3">
        <f>IF(E31&lt;&gt;"",IF(E31="A",0,E31),"")</f>
        <v>33</v>
      </c>
      <c r="AH31" s="3" t="str">
        <f>IF(F31&lt;&gt;"",IF(F31="A",0,F31),"")</f>
        <v/>
      </c>
      <c r="AJ31" s="3">
        <f>IF(G31&lt;&gt;"",IF(G31="A",0,G31),"")</f>
        <v>14</v>
      </c>
    </row>
    <row r="32" ht="15.75" customHeight="1">
      <c r="A32" s="3">
        <v>27</v>
      </c>
      <c r="B32" s="4" t="str">
        <v>7376231EE128</v>
      </c>
      <c r="C32" s="4" t="str">
        <v>KEERTHISANKAR S</v>
      </c>
      <c r="D32" s="3">
        <v>20</v>
      </c>
      <c r="E32" s="3">
        <v>31</v>
      </c>
      <c r="G32" s="5">
        <v>10</v>
      </c>
      <c r="H32" s="6">
        <v>25</v>
      </c>
    </row>
    <row r="33" ht="15.75" customHeight="1">
      <c r="A33" s="3">
        <v>28</v>
      </c>
      <c r="B33" s="4" t="str">
        <v>7376231EE129</v>
      </c>
      <c r="C33" s="4" t="str">
        <v>KEERTHIVASAN S</v>
      </c>
      <c r="D33" s="3">
        <v>29</v>
      </c>
      <c r="E33" s="3">
        <v>34</v>
      </c>
      <c r="G33" s="5">
        <v>14</v>
      </c>
      <c r="H33" s="6">
        <v>32</v>
      </c>
    </row>
    <row r="34" ht="15.75" customHeight="1">
      <c r="A34" s="3">
        <v>29</v>
      </c>
      <c r="B34" s="4" t="str">
        <v>7376231EE130</v>
      </c>
      <c r="C34" s="4" t="str">
        <v>KHAJA PARVEZ T</v>
      </c>
      <c r="D34" s="3">
        <v>31</v>
      </c>
      <c r="E34" s="3">
        <v>33</v>
      </c>
      <c r="G34" s="5">
        <v>14</v>
      </c>
      <c r="H34" s="6">
        <v>33</v>
      </c>
    </row>
    <row r="35" ht="15.75" customHeight="1">
      <c r="A35" s="3">
        <v>30</v>
      </c>
      <c r="B35" s="4" t="str">
        <v>7376231EE131</v>
      </c>
      <c r="C35" s="4" t="str">
        <v>KIRUBA O C</v>
      </c>
      <c r="D35" s="3">
        <v>19</v>
      </c>
      <c r="E35" s="3">
        <v>32</v>
      </c>
      <c r="G35" s="5">
        <v>14</v>
      </c>
      <c r="H35" s="6">
        <v>29</v>
      </c>
      <c r="K35" s="3" t="str">
        <v>PT1</v>
      </c>
      <c r="L35" s="3" t="str">
        <v>PT2</v>
      </c>
    </row>
    <row r="36" ht="15.75" customHeight="1">
      <c r="A36" s="3">
        <v>31</v>
      </c>
      <c r="B36" s="4" t="str">
        <v>7376231EE132</v>
      </c>
      <c r="C36" s="4" t="str">
        <v>KOWSHIK ARAVIND K S P</v>
      </c>
      <c r="D36" s="3">
        <v>34</v>
      </c>
      <c r="E36" s="3">
        <v>34</v>
      </c>
      <c r="G36" s="5">
        <v>16</v>
      </c>
      <c r="H36" s="6">
        <v>36</v>
      </c>
      <c r="J36" s="3" t="str">
        <v>Min</v>
      </c>
      <c r="K36" s="3">
        <f>MIN(D6:D197)</f>
        <v>14</v>
      </c>
      <c r="L36" s="3">
        <f>MIN(E6:E197)</f>
        <v>10</v>
      </c>
    </row>
    <row r="37" ht="15.75" customHeight="1">
      <c r="A37" s="3">
        <v>32</v>
      </c>
      <c r="B37" s="4" t="str">
        <v>7376231EE133</v>
      </c>
      <c r="C37" s="4" t="str">
        <v>MANEESH D</v>
      </c>
      <c r="D37" s="3">
        <v>28</v>
      </c>
      <c r="E37" s="3">
        <v>28</v>
      </c>
      <c r="G37" s="5">
        <v>12</v>
      </c>
      <c r="H37" s="6">
        <v>28</v>
      </c>
      <c r="J37" s="3" t="str">
        <v>Max</v>
      </c>
      <c r="K37" s="3">
        <f>MAX(D6:D197)</f>
        <v>36</v>
      </c>
      <c r="L37" s="3">
        <f>MAX(E6:E197)</f>
        <v>37</v>
      </c>
    </row>
    <row r="38" ht="15.75" customHeight="1">
      <c r="A38" s="3">
        <v>33</v>
      </c>
      <c r="B38" s="4" t="str">
        <v>7376231EE134</v>
      </c>
      <c r="C38" s="4" t="str">
        <v>MATHIYARASI K</v>
      </c>
      <c r="D38" s="3">
        <v>30</v>
      </c>
      <c r="E38" s="3">
        <v>33</v>
      </c>
      <c r="G38" s="5">
        <v>15</v>
      </c>
      <c r="H38" s="6">
        <v>33</v>
      </c>
      <c r="J38" s="3" t="str">
        <v>Avg</v>
      </c>
      <c r="K38" s="8">
        <f>AVERAGE(D6:D197)</f>
        <v>29.333333333333332</v>
      </c>
      <c r="L38" s="8">
        <f>AVERAGE(E6:E197)</f>
        <v>29.424242424242426</v>
      </c>
    </row>
    <row r="39" ht="15.75" customHeight="1">
      <c r="A39" s="3">
        <v>34</v>
      </c>
      <c r="B39" s="4" t="str">
        <v>7376231EE135</v>
      </c>
      <c r="C39" s="4" t="str">
        <v>MAURYA A S</v>
      </c>
      <c r="D39" s="3">
        <v>32</v>
      </c>
      <c r="E39" s="3">
        <v>33</v>
      </c>
      <c r="G39" s="5">
        <v>16</v>
      </c>
      <c r="H39" s="6">
        <v>34</v>
      </c>
    </row>
    <row r="40" ht="15.75" customHeight="1">
      <c r="A40" s="3">
        <v>35</v>
      </c>
      <c r="B40" s="4" t="str">
        <v>7376231EE136</v>
      </c>
      <c r="C40" s="4" t="str">
        <v>MITHUN P P</v>
      </c>
      <c r="D40" s="3">
        <v>33</v>
      </c>
      <c r="E40" s="3">
        <v>31</v>
      </c>
      <c r="G40" s="5">
        <v>15</v>
      </c>
      <c r="H40" s="6">
        <v>34</v>
      </c>
      <c r="J40" s="3" t="str">
        <v>min out of 100</v>
      </c>
      <c r="K40" s="3">
        <f>K36*2</f>
        <v>28</v>
      </c>
      <c r="L40" s="3">
        <f>L36*2</f>
        <v>20</v>
      </c>
    </row>
    <row r="41" ht="15.75" customHeight="1">
      <c r="A41" s="3">
        <v>36</v>
      </c>
      <c r="B41" s="4" t="str">
        <v>7376231EE137</v>
      </c>
      <c r="C41" s="4" t="str">
        <v>MOHAN PRASANTH N</v>
      </c>
      <c r="D41" s="3">
        <v>34</v>
      </c>
      <c r="E41" s="3">
        <v>24</v>
      </c>
      <c r="G41" s="5">
        <v>16</v>
      </c>
      <c r="H41" s="6">
        <v>33</v>
      </c>
      <c r="J41" s="3" t="str">
        <v>max out of 100</v>
      </c>
      <c r="K41" s="3">
        <f>K37*2</f>
        <v>72</v>
      </c>
      <c r="L41" s="3">
        <f>L37*2</f>
        <v>74</v>
      </c>
    </row>
    <row r="42" ht="15.75" customHeight="1">
      <c r="A42" s="3">
        <v>37</v>
      </c>
      <c r="B42" s="4" t="str">
        <v>7376231EE138</v>
      </c>
      <c r="C42" s="4" t="str">
        <v>MONIKA S</v>
      </c>
      <c r="D42" s="3">
        <v>31</v>
      </c>
      <c r="E42" s="3">
        <v>33</v>
      </c>
      <c r="G42" s="5">
        <v>15</v>
      </c>
      <c r="H42" s="6">
        <v>33</v>
      </c>
      <c r="J42" s="3" t="str">
        <v>avg out of 100</v>
      </c>
      <c r="K42" s="8">
        <f>K38*2</f>
        <v>58.666666666666664</v>
      </c>
      <c r="L42" s="8">
        <f>L38*2</f>
        <v>58.84848484848485</v>
      </c>
    </row>
    <row r="43" ht="15.75" customHeight="1">
      <c r="A43" s="3">
        <v>38</v>
      </c>
      <c r="B43" s="4" t="str">
        <v>7376231EE139</v>
      </c>
      <c r="C43" s="4" t="str">
        <v>MONISHWARAN R</v>
      </c>
      <c r="D43" s="3">
        <v>34</v>
      </c>
      <c r="E43" s="3">
        <v>32</v>
      </c>
      <c r="G43" s="5">
        <v>16</v>
      </c>
      <c r="H43" s="6">
        <v>36</v>
      </c>
    </row>
    <row r="44" ht="15.75" customHeight="1">
      <c r="A44" s="3">
        <v>39</v>
      </c>
      <c r="B44" s="4" t="str">
        <v>7376231EE140</v>
      </c>
      <c r="C44" s="4" t="str">
        <v>NIKILESHKUMAR S</v>
      </c>
      <c r="D44" s="3">
        <v>34</v>
      </c>
      <c r="E44" s="3">
        <v>28</v>
      </c>
      <c r="G44" s="5">
        <v>14</v>
      </c>
      <c r="H44" s="6">
        <v>32</v>
      </c>
    </row>
    <row r="45" ht="15.75" customHeight="1">
      <c r="A45" s="3">
        <v>40</v>
      </c>
      <c r="B45" s="4" t="str">
        <v>7376231EE141</v>
      </c>
      <c r="C45" s="4" t="str">
        <v>NITHYA SHREE K A</v>
      </c>
      <c r="D45" s="3">
        <v>19</v>
      </c>
      <c r="E45" s="3">
        <v>34</v>
      </c>
      <c r="G45" s="5">
        <v>15</v>
      </c>
      <c r="H45" s="6">
        <v>30</v>
      </c>
    </row>
    <row r="46" ht="15.75" customHeight="1">
      <c r="A46" s="3">
        <v>41</v>
      </c>
      <c r="B46" s="4" t="str">
        <v>7376231EE142</v>
      </c>
      <c r="C46" s="4" t="str">
        <v>PRANAV T S S</v>
      </c>
      <c r="D46" s="3">
        <v>35</v>
      </c>
      <c r="E46" s="3">
        <v>34</v>
      </c>
      <c r="G46" s="5">
        <v>16</v>
      </c>
      <c r="H46" s="6">
        <v>36</v>
      </c>
    </row>
    <row r="47" ht="15.75" customHeight="1">
      <c r="A47" s="3">
        <v>42</v>
      </c>
      <c r="B47" s="4" t="str">
        <v>7376231EE143</v>
      </c>
      <c r="C47" s="4" t="str">
        <v>PRAVIN RAJ P</v>
      </c>
      <c r="D47" s="3">
        <v>32</v>
      </c>
      <c r="E47" s="3">
        <v>28</v>
      </c>
      <c r="G47" s="5">
        <v>13</v>
      </c>
      <c r="H47" s="6">
        <v>30</v>
      </c>
    </row>
    <row r="48" ht="15.75" customHeight="1">
      <c r="A48" s="3">
        <v>43</v>
      </c>
      <c r="B48" s="4" t="str">
        <v>7376231EE144</v>
      </c>
      <c r="C48" s="4" t="str">
        <v>PUNITHA S</v>
      </c>
      <c r="D48" s="3">
        <v>33</v>
      </c>
      <c r="E48" s="3">
        <v>30</v>
      </c>
      <c r="G48" s="5">
        <v>14</v>
      </c>
      <c r="H48" s="6">
        <v>32</v>
      </c>
    </row>
    <row r="49" ht="15.75" customHeight="1">
      <c r="A49" s="3">
        <v>44</v>
      </c>
      <c r="B49" s="4" t="str">
        <v>7376231EE145</v>
      </c>
      <c r="C49" s="4" t="str">
        <v>RAGUPATHI M</v>
      </c>
      <c r="D49" s="3">
        <v>32</v>
      </c>
      <c r="E49" s="3">
        <v>30</v>
      </c>
      <c r="G49" s="5">
        <v>15</v>
      </c>
      <c r="H49" s="6">
        <v>33</v>
      </c>
    </row>
    <row r="50" ht="15.75" customHeight="1">
      <c r="A50" s="3">
        <v>45</v>
      </c>
      <c r="B50" s="4" t="str">
        <v>7376231EE146</v>
      </c>
      <c r="C50" s="4" t="str">
        <v>RAJA PRADEEPA R</v>
      </c>
      <c r="D50" s="3">
        <v>34</v>
      </c>
      <c r="E50" s="3">
        <v>34</v>
      </c>
      <c r="G50" s="5">
        <v>16</v>
      </c>
      <c r="H50" s="6">
        <v>36</v>
      </c>
    </row>
    <row r="51" ht="15.75" customHeight="1">
      <c r="A51" s="3">
        <v>46</v>
      </c>
      <c r="B51" s="4" t="str">
        <v>7376231EE147</v>
      </c>
      <c r="C51" s="4" t="str">
        <v>ROHITH M</v>
      </c>
      <c r="D51" s="3">
        <v>33</v>
      </c>
      <c r="E51" s="3">
        <v>27</v>
      </c>
      <c r="G51" s="5">
        <v>14</v>
      </c>
      <c r="H51" s="6">
        <v>31</v>
      </c>
    </row>
    <row r="52" ht="15.75" customHeight="1">
      <c r="A52" s="3">
        <v>47</v>
      </c>
      <c r="B52" s="4" t="str">
        <v>7376231EE148</v>
      </c>
      <c r="C52" s="4" t="str">
        <v>SANTHIYA V</v>
      </c>
      <c r="D52" s="3">
        <v>31</v>
      </c>
      <c r="E52" s="3">
        <v>34</v>
      </c>
      <c r="G52" s="5">
        <v>15</v>
      </c>
      <c r="H52" s="6">
        <v>34</v>
      </c>
    </row>
    <row r="53" ht="15.75" customHeight="1">
      <c r="A53" s="3">
        <v>48</v>
      </c>
      <c r="B53" s="4" t="str">
        <v>7376231EE149</v>
      </c>
      <c r="C53" s="4" t="str">
        <v>SANTHOSH V</v>
      </c>
      <c r="D53" s="3">
        <v>18</v>
      </c>
      <c r="E53" s="3">
        <v>21</v>
      </c>
      <c r="G53" s="5">
        <v>9</v>
      </c>
      <c r="H53" s="6">
        <v>20</v>
      </c>
    </row>
    <row r="54" ht="15.75" customHeight="1">
      <c r="A54" s="3">
        <v>49</v>
      </c>
      <c r="B54" s="4" t="str">
        <v>7376231EE150</v>
      </c>
      <c r="C54" s="4" t="str">
        <v>SARAN R</v>
      </c>
      <c r="D54" s="3">
        <v>28</v>
      </c>
      <c r="E54" s="3">
        <v>19</v>
      </c>
      <c r="G54" s="5">
        <v>9</v>
      </c>
      <c r="H54" s="6">
        <v>23</v>
      </c>
    </row>
    <row r="55" ht="15.75" customHeight="1">
      <c r="A55" s="3">
        <v>50</v>
      </c>
      <c r="B55" s="4" t="str">
        <v>7376231EE151</v>
      </c>
      <c r="C55" s="4" t="str">
        <v>SARVESH K</v>
      </c>
      <c r="D55" s="3">
        <v>21</v>
      </c>
      <c r="E55" s="3">
        <v>18</v>
      </c>
      <c r="G55" s="5">
        <v>8</v>
      </c>
      <c r="H55" s="6">
        <v>19</v>
      </c>
    </row>
    <row r="56" ht="15.75" customHeight="1">
      <c r="A56" s="3">
        <v>51</v>
      </c>
      <c r="B56" s="4" t="str">
        <v>7376231EE152</v>
      </c>
      <c r="C56" s="4" t="str">
        <v>SHREE SUBI G</v>
      </c>
      <c r="D56" s="3">
        <v>33</v>
      </c>
      <c r="E56" s="3">
        <v>21</v>
      </c>
      <c r="G56" s="5">
        <v>15</v>
      </c>
      <c r="H56" s="6">
        <v>30</v>
      </c>
    </row>
    <row r="57" ht="15.75" customHeight="1">
      <c r="A57" s="3">
        <v>52</v>
      </c>
      <c r="B57" s="4" t="str">
        <v>7376231EE153</v>
      </c>
      <c r="C57" s="4" t="str">
        <v>SIVA P</v>
      </c>
      <c r="D57" s="3">
        <v>28</v>
      </c>
      <c r="E57" s="3">
        <v>32</v>
      </c>
      <c r="G57" s="5">
        <v>14</v>
      </c>
      <c r="H57" s="6">
        <v>31</v>
      </c>
    </row>
    <row r="58" ht="15.75" customHeight="1">
      <c r="A58" s="3">
        <v>53</v>
      </c>
      <c r="B58" s="4" t="str">
        <v>7376231EE154</v>
      </c>
      <c r="C58" s="4" t="str">
        <v>SOWKANDHIKA M</v>
      </c>
      <c r="D58" s="3">
        <v>28</v>
      </c>
      <c r="E58" s="3">
        <v>33</v>
      </c>
      <c r="G58" s="5">
        <v>15</v>
      </c>
      <c r="H58" s="6">
        <v>32</v>
      </c>
    </row>
    <row r="59" ht="15.75" customHeight="1">
      <c r="A59" s="3">
        <v>54</v>
      </c>
      <c r="B59" s="4" t="str">
        <v>7376231EE155</v>
      </c>
      <c r="C59" s="4" t="str">
        <v>SRI BALAJI S</v>
      </c>
      <c r="D59" s="3">
        <v>29</v>
      </c>
      <c r="E59" s="3">
        <v>27</v>
      </c>
      <c r="G59" s="5">
        <v>13</v>
      </c>
      <c r="H59" s="6">
        <v>29</v>
      </c>
    </row>
    <row r="60" ht="15.75" customHeight="1">
      <c r="A60" s="3">
        <v>55</v>
      </c>
      <c r="B60" s="4" t="str">
        <v>7376231EE156</v>
      </c>
      <c r="C60" s="4" t="str">
        <v>SUBASRI N</v>
      </c>
      <c r="D60" s="3">
        <v>34</v>
      </c>
      <c r="E60" s="3">
        <v>32</v>
      </c>
      <c r="G60" s="5">
        <v>16</v>
      </c>
      <c r="H60" s="6">
        <v>35</v>
      </c>
    </row>
    <row r="61" ht="15.75" customHeight="1">
      <c r="A61" s="3">
        <v>56</v>
      </c>
      <c r="B61" s="4" t="str">
        <v>7376231EE157</v>
      </c>
      <c r="C61" s="4" t="str">
        <v>THARUNYA S T</v>
      </c>
      <c r="D61" s="3">
        <v>33</v>
      </c>
      <c r="E61" s="3">
        <v>36</v>
      </c>
      <c r="G61" s="5">
        <v>16</v>
      </c>
      <c r="H61" s="6">
        <v>35</v>
      </c>
    </row>
    <row r="62" ht="15.75" customHeight="1">
      <c r="A62" s="3">
        <v>57</v>
      </c>
      <c r="B62" s="4" t="str">
        <v>7376231EE158</v>
      </c>
      <c r="C62" s="4" t="str">
        <v>VEDARISHABAA J</v>
      </c>
      <c r="D62" s="3">
        <v>26</v>
      </c>
      <c r="E62" s="3">
        <v>30</v>
      </c>
      <c r="G62" s="5">
        <v>12</v>
      </c>
      <c r="H62" s="6">
        <v>28</v>
      </c>
    </row>
    <row r="63" ht="15.75" customHeight="1">
      <c r="A63" s="3">
        <v>58</v>
      </c>
      <c r="B63" s="4" t="str">
        <v>7376231EE159</v>
      </c>
      <c r="C63" s="4" t="str">
        <v>VISHNU V</v>
      </c>
      <c r="D63" s="3">
        <v>26</v>
      </c>
      <c r="E63" s="3">
        <v>28</v>
      </c>
      <c r="G63" s="5">
        <v>11</v>
      </c>
      <c r="H63" s="6">
        <v>27</v>
      </c>
    </row>
    <row r="64" ht="15.75" customHeight="1">
      <c r="A64" s="3">
        <v>59</v>
      </c>
      <c r="B64" s="4" t="str">
        <v>7376231EE160</v>
      </c>
      <c r="C64" s="4" t="str">
        <v>VISHNUTHARAN K</v>
      </c>
      <c r="D64" s="3">
        <v>25</v>
      </c>
      <c r="E64" s="3">
        <v>24</v>
      </c>
      <c r="G64" s="5">
        <v>11</v>
      </c>
      <c r="H64" s="6">
        <v>25</v>
      </c>
    </row>
    <row r="65" ht="15.75" customHeight="1">
      <c r="A65" s="3">
        <v>60</v>
      </c>
      <c r="B65" s="4" t="str">
        <v>7376231EE161</v>
      </c>
      <c r="C65" s="4" t="str">
        <v>YUVASHRI J</v>
      </c>
      <c r="D65" s="3">
        <v>28</v>
      </c>
      <c r="E65" s="3">
        <v>30</v>
      </c>
      <c r="G65" s="5">
        <v>14</v>
      </c>
      <c r="H65" s="6">
        <v>31</v>
      </c>
    </row>
    <row r="66" ht="15.75" customHeight="1">
      <c r="A66" s="3">
        <v>61</v>
      </c>
      <c r="B66" s="4" t="str">
        <v>7376241EE501</v>
      </c>
      <c r="C66" s="4" t="str">
        <v>JEEVA PRAKASH S</v>
      </c>
      <c r="D66" s="3">
        <v>26</v>
      </c>
      <c r="E66" s="3">
        <v>29</v>
      </c>
      <c r="G66" s="5">
        <v>12</v>
      </c>
      <c r="H66" s="6">
        <v>28</v>
      </c>
    </row>
    <row r="67" ht="15.75" customHeight="1">
      <c r="A67" s="3">
        <v>62</v>
      </c>
      <c r="B67" s="4" t="str">
        <v>7376241EE502</v>
      </c>
      <c r="C67" s="4" t="str">
        <v>KANISHK S J</v>
      </c>
      <c r="D67" s="3">
        <v>22</v>
      </c>
      <c r="E67" s="3">
        <v>17</v>
      </c>
      <c r="G67" s="5">
        <v>7</v>
      </c>
      <c r="H67" s="6">
        <v>18</v>
      </c>
    </row>
    <row r="68" ht="15.75" customHeight="1">
      <c r="A68" s="3">
        <v>63</v>
      </c>
      <c r="B68" s="4" t="str">
        <v>7376241EE503</v>
      </c>
      <c r="C68" s="4" t="str">
        <v>RANJITH R</v>
      </c>
      <c r="D68" s="3">
        <v>22</v>
      </c>
      <c r="E68" s="3">
        <v>17</v>
      </c>
      <c r="G68" s="5">
        <v>9</v>
      </c>
      <c r="H68" s="6">
        <v>20</v>
      </c>
    </row>
    <row r="69" ht="15.75" customHeight="1">
      <c r="A69" s="3">
        <v>64</v>
      </c>
      <c r="B69" s="4" t="str">
        <v>7376241EE504</v>
      </c>
      <c r="C69" s="4" t="str">
        <v>SELVA LATHISH S</v>
      </c>
      <c r="D69" s="3">
        <v>29</v>
      </c>
      <c r="E69" s="3">
        <v>27</v>
      </c>
      <c r="G69" s="5">
        <v>13</v>
      </c>
      <c r="H69" s="6">
        <v>29</v>
      </c>
    </row>
    <row r="70" ht="15.75" customHeight="1">
      <c r="A70" s="3">
        <v>65</v>
      </c>
      <c r="B70" s="4" t="str">
        <v>7376241EE505</v>
      </c>
      <c r="C70" s="4" t="str">
        <v>VASUKI A S</v>
      </c>
      <c r="D70" s="3">
        <v>31</v>
      </c>
      <c r="E70" s="3">
        <v>26</v>
      </c>
      <c r="G70" s="5">
        <v>11</v>
      </c>
      <c r="H70" s="6">
        <v>28</v>
      </c>
    </row>
    <row r="71" ht="15.75" customHeight="1">
      <c r="A71" s="3">
        <v>66</v>
      </c>
      <c r="B71" s="4" t="str">
        <v>7376241EE506</v>
      </c>
      <c r="C71" s="4" t="str">
        <v>VELU PRABHAKARAN M</v>
      </c>
      <c r="D71" s="3">
        <v>27</v>
      </c>
      <c r="E71" s="3">
        <v>32</v>
      </c>
      <c r="G71" s="5">
        <v>14</v>
      </c>
      <c r="H71" s="6">
        <v>31</v>
      </c>
    </row>
    <row r="72" hidden="1" ht="15.75" customHeight="1"/>
    <row r="73" hidden="1" ht="15.75" customHeight="1"/>
    <row r="74" hidden="1" ht="15.75" customHeight="1"/>
    <row r="75" hidden="1" ht="15.75" customHeight="1"/>
    <row r="76" hidden="1" ht="15.75" customHeight="1"/>
    <row r="77" hidden="1" ht="15.75" customHeight="1"/>
    <row r="78" hidden="1" ht="15.75" customHeight="1"/>
    <row r="79" hidden="1" ht="15.75" customHeight="1"/>
    <row r="80" hidden="1" ht="15.75" customHeight="1"/>
    <row r="81" hidden="1" ht="15.75" customHeight="1"/>
    <row r="82" hidden="1" ht="15.75" customHeight="1"/>
    <row r="83" hidden="1" ht="15.75" customHeight="1"/>
    <row r="84" hidden="1" ht="15.75" customHeight="1"/>
    <row r="85" hidden="1" ht="15.75" customHeight="1"/>
    <row r="86" hidden="1" ht="15.75" customHeight="1"/>
    <row r="87" hidden="1" ht="15.75" customHeight="1"/>
    <row r="88" hidden="1" ht="15.75" customHeight="1"/>
    <row r="89" hidden="1" ht="15.75" customHeight="1"/>
    <row r="90" hidden="1" ht="15.75" customHeight="1"/>
    <row r="91" hidden="1" ht="15.75" customHeight="1"/>
    <row r="92" hidden="1" ht="15.75" customHeight="1"/>
    <row r="93" hidden="1" ht="15.75" customHeight="1"/>
    <row r="94" hidden="1" ht="15.75" customHeight="1"/>
    <row r="95" hidden="1" ht="15.75" customHeight="1"/>
    <row r="96" hidden="1" ht="15.75" customHeight="1"/>
    <row r="97" hidden="1" ht="15.75" customHeight="1"/>
    <row r="98" hidden="1" ht="15.75" customHeight="1"/>
    <row r="99" hidden="1" ht="15.75" customHeight="1"/>
    <row r="100" hidden="1" ht="15.75" customHeight="1"/>
    <row r="101" hidden="1" ht="15.75" customHeight="1"/>
    <row r="102" hidden="1" ht="15.75" customHeight="1"/>
    <row r="103" hidden="1" ht="15.75" customHeight="1"/>
    <row r="104" hidden="1" ht="15.75" customHeight="1"/>
    <row r="105" hidden="1" ht="15.75" customHeight="1"/>
    <row r="106" hidden="1" ht="15.75" customHeight="1"/>
    <row r="107" hidden="1" ht="15.75" customHeight="1"/>
    <row r="108" hidden="1" ht="15.75" customHeight="1"/>
    <row r="109" hidden="1" ht="15.75" customHeight="1"/>
    <row r="110" hidden="1" ht="15.75" customHeight="1"/>
    <row r="111" hidden="1" ht="15.75" customHeight="1"/>
    <row r="112" hidden="1" ht="15.75" customHeight="1"/>
    <row r="113" hidden="1" ht="15.75" customHeight="1"/>
    <row r="114" hidden="1" ht="15.75" customHeight="1"/>
    <row r="115" hidden="1" ht="15.75" customHeight="1"/>
    <row r="116" hidden="1" ht="15.75" customHeight="1"/>
    <row r="117" hidden="1" ht="15.75" customHeight="1"/>
    <row r="118" hidden="1" ht="15.75" customHeight="1"/>
    <row r="119" hidden="1" ht="15.75" customHeight="1"/>
    <row r="120" hidden="1" ht="15.75" customHeight="1"/>
    <row r="121" hidden="1" ht="15.75" customHeight="1"/>
    <row r="122" hidden="1" ht="15.75" customHeight="1"/>
    <row r="123" hidden="1" ht="15.75" customHeight="1"/>
    <row r="124" hidden="1" ht="15.75" customHeight="1"/>
    <row r="125" hidden="1" ht="15.75" customHeight="1"/>
    <row r="126" hidden="1" ht="15.75" customHeight="1"/>
    <row r="127" hidden="1" ht="15.75" customHeight="1"/>
    <row r="128" hidden="1" ht="15.75" customHeight="1"/>
    <row r="129" hidden="1" ht="15.75" customHeight="1"/>
    <row r="130" hidden="1" ht="15.75" customHeight="1"/>
    <row r="131" hidden="1" ht="15.75" customHeight="1"/>
    <row r="132" hidden="1" ht="15.75" customHeight="1"/>
    <row r="133" hidden="1" ht="15.75" customHeight="1"/>
    <row r="134" hidden="1" ht="15.75" customHeight="1"/>
    <row r="135" hidden="1" ht="15.75" customHeight="1"/>
    <row r="136" hidden="1" ht="15.75" customHeight="1"/>
    <row r="137" hidden="1" ht="15.75" customHeight="1"/>
    <row r="138" hidden="1" ht="15.75" customHeight="1"/>
    <row r="139" hidden="1" ht="15.75" customHeight="1"/>
    <row r="140" hidden="1" ht="15.75" customHeight="1"/>
    <row r="141" hidden="1" ht="15.75" customHeight="1"/>
    <row r="142" hidden="1" ht="15.75" customHeight="1"/>
    <row r="143" hidden="1" ht="15.75" customHeight="1"/>
    <row r="144" hidden="1" ht="15.75" customHeight="1"/>
    <row r="145" hidden="1" ht="15.75" customHeight="1"/>
    <row r="146" hidden="1" ht="15.75" customHeight="1"/>
    <row r="147" hidden="1" ht="15.75" customHeight="1"/>
    <row r="148" hidden="1" ht="15.75" customHeight="1"/>
    <row r="149" hidden="1" ht="15.75" customHeight="1"/>
    <row r="150" hidden="1" ht="15.75" customHeight="1"/>
    <row r="151" hidden="1" ht="15.75" customHeight="1"/>
    <row r="152" hidden="1" ht="15.75" customHeight="1"/>
    <row r="153" hidden="1" ht="15.75" customHeight="1"/>
    <row r="154" hidden="1" ht="15.75" customHeight="1"/>
    <row r="155" hidden="1" ht="15.75" customHeight="1"/>
    <row r="156" hidden="1" ht="15.75" customHeight="1"/>
    <row r="157" hidden="1" ht="15.75" customHeight="1"/>
    <row r="158" hidden="1" ht="15.75" customHeight="1"/>
    <row r="159" hidden="1" ht="15.75" customHeight="1"/>
    <row r="160" hidden="1" ht="15.75" customHeight="1"/>
    <row r="161" hidden="1" ht="15.75" customHeight="1"/>
    <row r="162" hidden="1" ht="15.75" customHeight="1"/>
    <row r="163" hidden="1" ht="15.75" customHeight="1"/>
    <row r="164" hidden="1" ht="15.75" customHeight="1"/>
    <row r="165" hidden="1" ht="15.75" customHeight="1"/>
    <row r="166" hidden="1" ht="15.75" customHeight="1"/>
    <row r="167" hidden="1" ht="15.75" customHeight="1"/>
    <row r="168" hidden="1" ht="15.75" customHeight="1"/>
    <row r="169" hidden="1" ht="15.75" customHeight="1"/>
    <row r="170" hidden="1" ht="15.75" customHeight="1"/>
    <row r="171" hidden="1" ht="15.75" customHeight="1"/>
    <row r="172" hidden="1" ht="15.75" customHeight="1"/>
    <row r="173" hidden="1" ht="15.75" customHeight="1"/>
    <row r="174" hidden="1" ht="15.75" customHeight="1"/>
    <row r="175" hidden="1" ht="15.75" customHeight="1"/>
    <row r="176" hidden="1" ht="15.75" customHeight="1"/>
    <row r="177" hidden="1" ht="15.75" customHeight="1"/>
    <row r="178" hidden="1" ht="15.75" customHeight="1"/>
    <row r="179" hidden="1" ht="15.75" customHeight="1"/>
    <row r="180" hidden="1" ht="15.75" customHeight="1"/>
    <row r="181" hidden="1" ht="15.75" customHeight="1"/>
    <row r="182" hidden="1" ht="15.75" customHeight="1"/>
    <row r="183" hidden="1" ht="15.75" customHeight="1"/>
    <row r="184" hidden="1" ht="15.75" customHeight="1"/>
    <row r="185" hidden="1" ht="15.75" customHeight="1"/>
    <row r="186" hidden="1" ht="15.75" customHeight="1"/>
    <row r="187" hidden="1" ht="15.75" customHeight="1"/>
    <row r="188" hidden="1" ht="15.75" customHeight="1"/>
    <row r="189" hidden="1" ht="15.75" customHeight="1"/>
    <row r="190" hidden="1" ht="15.75" customHeight="1"/>
    <row r="191" hidden="1" ht="15.75" customHeight="1"/>
    <row r="192" hidden="1" ht="15.75" customHeight="1"/>
    <row r="193" hidden="1" ht="15.75" customHeight="1"/>
    <row r="194" hidden="1" ht="15.75" customHeight="1"/>
    <row r="195" hidden="1" ht="15.75" customHeight="1"/>
    <row r="196" hidden="1" ht="15.75" customHeight="1"/>
    <row r="197" hidden="1" ht="15.75" customHeight="1"/>
    <row r="198" hidden="1" ht="15.75" customHeight="1"/>
    <row r="199" hidden="1" ht="15.75" customHeight="1"/>
    <row r="200" hidden="1" ht="15.75" customHeight="1"/>
    <row r="201" hidden="1" ht="15.75" customHeight="1"/>
    <row r="202" hidden="1" ht="15.75" customHeight="1"/>
    <row r="203" hidden="1" ht="15.75" customHeight="1"/>
    <row r="204" hidden="1" ht="15.75" customHeight="1"/>
    <row r="205" hidden="1" ht="15.75" customHeight="1"/>
    <row r="206" hidden="1" ht="15.75" customHeight="1"/>
    <row r="207" hidden="1" ht="15.75" customHeight="1"/>
    <row r="208" hidden="1" ht="15.75" customHeight="1"/>
    <row r="209" hidden="1" ht="15.75" customHeight="1"/>
    <row r="210" hidden="1" ht="15.75" customHeight="1"/>
    <row r="211" hidden="1" ht="15.75" customHeight="1"/>
    <row r="212" hidden="1" ht="15.75" customHeight="1"/>
    <row r="213" hidden="1" ht="15.75" customHeight="1"/>
    <row r="214" hidden="1" ht="15.75" customHeight="1"/>
    <row r="215" hidden="1" ht="15.75" customHeight="1"/>
    <row r="216" hidden="1" ht="15.75" customHeight="1"/>
    <row r="217" hidden="1" ht="15.75" customHeight="1"/>
    <row r="218" hidden="1" ht="15.75" customHeight="1"/>
    <row r="219" hidden="1" ht="15.75" customHeight="1"/>
    <row r="220" hidden="1" ht="15.75" customHeight="1"/>
    <row r="221" hidden="1" ht="15.75" customHeight="1"/>
    <row r="222" hidden="1" ht="15.75" customHeight="1"/>
    <row r="223" hidden="1" ht="15.75" customHeight="1"/>
    <row r="224" hidden="1" ht="15.75" customHeight="1"/>
    <row r="225" hidden="1" ht="15.75" customHeight="1"/>
    <row r="226" hidden="1" ht="15.75" customHeight="1"/>
    <row r="227" hidden="1" ht="15.75" customHeight="1"/>
    <row r="228" hidden="1" ht="15.75" customHeight="1"/>
    <row r="229" hidden="1" ht="15.75" customHeight="1"/>
    <row r="230" hidden="1" ht="15.75" customHeight="1"/>
    <row r="231" hidden="1" ht="15.75" customHeight="1"/>
    <row r="232" hidden="1" ht="15.75" customHeight="1"/>
    <row r="233" hidden="1" ht="15.75" customHeight="1"/>
    <row r="234" hidden="1" ht="15.75" customHeight="1"/>
    <row r="235" hidden="1" ht="15.75" customHeight="1"/>
    <row r="236" hidden="1" ht="15.75" customHeight="1"/>
    <row r="237" hidden="1" ht="15.75" customHeight="1"/>
    <row r="238" hidden="1" ht="15.75" customHeight="1"/>
    <row r="239" hidden="1" ht="15.75" customHeight="1"/>
    <row r="240" hidden="1" ht="15.75" customHeight="1"/>
    <row r="241" hidden="1" ht="15.75" customHeight="1"/>
    <row r="242" hidden="1" ht="15.75" customHeight="1"/>
    <row r="243" hidden="1" ht="15.75" customHeight="1"/>
    <row r="244" hidden="1" ht="15.75" customHeight="1"/>
    <row r="245" hidden="1" ht="15.75" customHeight="1"/>
    <row r="246" hidden="1" ht="15.75" customHeight="1"/>
    <row r="247" hidden="1" ht="15.75" customHeight="1"/>
    <row r="248" hidden="1" ht="15.75" customHeight="1"/>
    <row r="249" hidden="1" ht="15.75" customHeight="1"/>
    <row r="250" hidden="1" ht="15.75" customHeight="1"/>
    <row r="251" hidden="1" ht="15.75" customHeight="1"/>
    <row r="252" hidden="1" ht="15.75" customHeight="1"/>
    <row r="253" hidden="1" ht="15.75" customHeight="1"/>
    <row r="254" hidden="1" ht="15.75" customHeight="1"/>
    <row r="255" hidden="1" ht="15.75" customHeight="1"/>
    <row r="256" hidden="1" ht="15.75" customHeight="1"/>
    <row r="257" hidden="1" ht="15.75" customHeight="1"/>
    <row r="258" hidden="1" ht="15.75" customHeight="1"/>
    <row r="259" hidden="1" ht="15.75" customHeight="1"/>
    <row r="260" hidden="1" ht="15.75" customHeight="1"/>
    <row r="261" hidden="1" ht="15.75" customHeight="1"/>
    <row r="262" hidden="1" ht="15.75" customHeight="1"/>
    <row r="263" hidden="1" ht="15.75" customHeight="1"/>
    <row r="264" hidden="1" ht="15.75" customHeight="1"/>
    <row r="265" hidden="1" ht="15.75" customHeight="1"/>
    <row r="266" hidden="1" ht="15.75" customHeight="1"/>
    <row r="267" hidden="1" ht="15.75" customHeight="1"/>
    <row r="268" hidden="1" ht="15.75" customHeight="1"/>
    <row r="269" hidden="1" ht="15.75" customHeight="1"/>
    <row r="270" hidden="1" ht="15.75" customHeight="1"/>
    <row r="271" hidden="1" ht="15.75" customHeight="1"/>
    <row r="272" hidden="1" ht="15.75" customHeight="1"/>
    <row r="273" hidden="1" ht="15.75" customHeight="1"/>
    <row r="274" hidden="1" ht="15.75" customHeight="1"/>
    <row r="275" hidden="1" ht="15.75" customHeight="1"/>
    <row r="276" hidden="1" ht="15.75" customHeight="1"/>
    <row r="277" hidden="1" ht="15.75" customHeight="1"/>
    <row r="278" hidden="1" ht="15.75" customHeight="1"/>
    <row r="279" hidden="1" ht="15.75" customHeight="1"/>
    <row r="280" hidden="1" ht="15.75" customHeight="1"/>
    <row r="281" hidden="1" ht="15.75" customHeight="1"/>
    <row r="282" hidden="1" ht="15.75" customHeight="1"/>
    <row r="283" hidden="1" ht="15.75" customHeight="1"/>
    <row r="284" hidden="1" ht="15.75" customHeight="1"/>
    <row r="285" hidden="1" ht="15.75" customHeight="1"/>
    <row r="286" hidden="1" ht="15.75" customHeight="1"/>
    <row r="287" hidden="1" ht="15.75" customHeight="1"/>
    <row r="288" hidden="1" ht="15.75" customHeight="1"/>
    <row r="289" hidden="1" ht="15.75" customHeight="1"/>
    <row r="290" hidden="1" ht="15.75" customHeight="1"/>
    <row r="291" hidden="1" ht="15.75" customHeight="1"/>
    <row r="292" hidden="1" ht="15.75" customHeight="1"/>
    <row r="293" hidden="1" ht="15.75" customHeight="1"/>
    <row r="294" hidden="1" ht="15.75" customHeight="1"/>
    <row r="295" hidden="1" ht="15.75" customHeight="1"/>
    <row r="296" hidden="1" ht="15.75" customHeight="1"/>
    <row r="297" hidden="1" ht="15.75" customHeight="1"/>
    <row r="298" hidden="1" ht="15.75" customHeight="1"/>
    <row r="299" hidden="1" ht="15.75" customHeight="1"/>
    <row r="300" hidden="1" ht="15.75" customHeight="1"/>
    <row r="301" hidden="1" ht="15.75" customHeight="1"/>
    <row r="302" hidden="1" ht="15.75" customHeight="1"/>
    <row r="303" hidden="1" ht="15.75" customHeight="1"/>
    <row r="304" hidden="1" ht="15.75" customHeight="1"/>
    <row r="305" hidden="1" ht="15.75" customHeight="1"/>
    <row r="306" hidden="1" ht="15.75" customHeight="1"/>
    <row r="307" hidden="1" ht="15.75" customHeight="1"/>
    <row r="308" hidden="1" ht="15.75" customHeight="1"/>
    <row r="309" hidden="1" ht="15.75" customHeight="1"/>
    <row r="310" hidden="1" ht="15.75" customHeight="1"/>
    <row r="311" hidden="1" ht="15.75" customHeight="1"/>
    <row r="312" hidden="1" ht="15.75" customHeight="1"/>
    <row r="313" hidden="1" ht="15.75" customHeight="1"/>
    <row r="314" hidden="1" ht="15.75" customHeight="1"/>
    <row r="315" hidden="1" ht="15.75" customHeight="1"/>
    <row r="316" hidden="1" ht="15.75" customHeight="1"/>
    <row r="317" hidden="1" ht="15.75" customHeight="1"/>
    <row r="318" hidden="1" ht="15.75" customHeight="1"/>
    <row r="319" hidden="1" ht="15.75" customHeight="1"/>
    <row r="320" hidden="1" ht="15.75" customHeight="1"/>
    <row r="321" hidden="1" ht="15.75" customHeight="1"/>
    <row r="322" hidden="1" ht="15.75" customHeight="1"/>
    <row r="323" hidden="1" ht="15.75" customHeight="1"/>
    <row r="324" hidden="1" ht="15.75" customHeight="1"/>
    <row r="325" hidden="1" ht="15.75" customHeight="1"/>
    <row r="326" hidden="1" ht="15.75" customHeight="1"/>
    <row r="327" hidden="1" ht="15.75" customHeight="1"/>
    <row r="328" hidden="1" ht="15.75" customHeight="1"/>
    <row r="329" hidden="1" ht="15.75" customHeight="1"/>
    <row r="330" hidden="1" ht="15.75" customHeight="1"/>
    <row r="331" hidden="1" ht="15.75" customHeight="1"/>
    <row r="332" hidden="1" ht="15.75" customHeight="1"/>
    <row r="333" hidden="1" ht="15.75" customHeight="1"/>
    <row r="334" hidden="1" ht="15.75" customHeight="1"/>
    <row r="335" hidden="1" ht="15.75" customHeight="1"/>
    <row r="336" hidden="1" ht="15.75" customHeight="1"/>
    <row r="337" hidden="1" ht="15.75" customHeight="1"/>
    <row r="338" hidden="1" ht="15.75" customHeight="1"/>
    <row r="339" hidden="1" ht="15.75" customHeight="1"/>
    <row r="340" hidden="1" ht="15.75" customHeight="1"/>
    <row r="341" hidden="1" ht="15.75" customHeight="1"/>
    <row r="342" hidden="1" ht="15.75" customHeight="1"/>
    <row r="343" hidden="1" ht="15.75" customHeight="1"/>
    <row r="344" hidden="1" ht="15.75" customHeight="1"/>
    <row r="345" hidden="1" ht="15.75" customHeight="1"/>
    <row r="346" hidden="1" ht="15.75" customHeight="1"/>
    <row r="347" hidden="1" ht="15.75" customHeight="1"/>
    <row r="348" hidden="1" ht="15.75" customHeight="1"/>
    <row r="349" hidden="1" ht="15.75" customHeight="1"/>
    <row r="350" hidden="1" ht="15.75" customHeight="1"/>
    <row r="351" hidden="1" ht="15.75" customHeight="1"/>
    <row r="352" hidden="1" ht="15.75" customHeight="1"/>
    <row r="353" hidden="1" ht="15.75" customHeight="1"/>
    <row r="354" hidden="1" ht="15.75" customHeight="1"/>
    <row r="355" hidden="1" ht="15.75" customHeight="1"/>
    <row r="356" hidden="1" ht="15.75" customHeight="1"/>
    <row r="357" hidden="1" ht="15.75" customHeight="1"/>
    <row r="358" hidden="1" ht="15.75" customHeight="1"/>
    <row r="359" hidden="1" ht="15.75" customHeight="1"/>
    <row r="360" hidden="1" ht="15.75" customHeight="1"/>
    <row r="361" hidden="1" ht="15.75" customHeight="1"/>
    <row r="362" hidden="1" ht="15.75" customHeight="1"/>
    <row r="363" hidden="1" ht="15.75" customHeight="1"/>
    <row r="364" hidden="1" ht="15.75" customHeight="1"/>
    <row r="365" hidden="1" ht="15.75" customHeight="1"/>
    <row r="366" hidden="1" ht="15.75" customHeight="1"/>
    <row r="367" hidden="1" ht="15.75" customHeight="1"/>
    <row r="368" hidden="1" ht="15.75" customHeight="1"/>
    <row r="369" hidden="1" ht="15.75" customHeight="1"/>
    <row r="370" hidden="1" ht="15.75" customHeight="1"/>
    <row r="371" hidden="1" ht="15.75" customHeight="1"/>
    <row r="372" hidden="1" ht="15.75" customHeight="1"/>
    <row r="373" hidden="1" ht="15.75" customHeight="1"/>
    <row r="374" hidden="1" ht="15.75" customHeight="1"/>
    <row r="375" hidden="1" ht="15.75" customHeight="1"/>
    <row r="376" hidden="1" ht="15.75" customHeight="1"/>
    <row r="377" hidden="1" ht="15.75" customHeight="1"/>
    <row r="378" hidden="1" ht="15.75" customHeight="1"/>
    <row r="379" hidden="1" ht="15.75" customHeight="1"/>
    <row r="380" hidden="1" ht="15.75" customHeight="1"/>
    <row r="381" hidden="1" ht="15.75" customHeight="1"/>
    <row r="382" hidden="1" ht="15.75" customHeight="1"/>
    <row r="383" hidden="1" ht="15.75" customHeight="1"/>
    <row r="384" hidden="1" ht="15.75" customHeight="1"/>
    <row r="385" hidden="1" ht="15.75" customHeight="1"/>
    <row r="386" hidden="1" ht="15.75" customHeight="1"/>
    <row r="387" hidden="1" ht="15.75" customHeight="1"/>
    <row r="388" hidden="1" ht="15.75" customHeight="1"/>
    <row r="389" hidden="1" ht="15.75" customHeight="1"/>
    <row r="390" hidden="1" ht="15.75" customHeight="1"/>
    <row r="391" hidden="1" ht="15.75" customHeight="1"/>
    <row r="392" hidden="1" ht="15.75" customHeight="1"/>
    <row r="393" hidden="1" ht="15.75" customHeight="1"/>
    <row r="394" hidden="1" ht="15.75" customHeight="1"/>
    <row r="395" hidden="1" ht="15.75" customHeight="1"/>
    <row r="396" hidden="1" ht="15.75" customHeight="1"/>
    <row r="397" hidden="1" ht="15.75" customHeight="1"/>
    <row r="398" hidden="1" ht="15.75" customHeight="1"/>
    <row r="399" hidden="1" ht="15.75" customHeight="1"/>
    <row r="400" hidden="1" ht="15.75" customHeight="1"/>
    <row r="401" hidden="1" ht="15.75" customHeight="1"/>
    <row r="402" hidden="1" ht="15.75" customHeight="1"/>
    <row r="403" hidden="1" ht="15.75" customHeight="1"/>
    <row r="404" hidden="1" ht="15.75" customHeight="1"/>
    <row r="405" hidden="1" ht="15.75" customHeight="1"/>
    <row r="406" hidden="1" ht="15.75" customHeight="1"/>
    <row r="407" hidden="1" ht="15.75" customHeight="1"/>
    <row r="408" hidden="1" ht="15.75" customHeight="1"/>
    <row r="409" hidden="1" ht="15.75" customHeight="1"/>
    <row r="410" hidden="1" ht="15.75" customHeight="1"/>
    <row r="411" hidden="1" ht="15.75" customHeight="1"/>
    <row r="412" hidden="1" ht="15.75" customHeight="1"/>
    <row r="413" hidden="1" ht="15.75" customHeight="1"/>
    <row r="414" hidden="1" ht="15.75" customHeight="1"/>
    <row r="415" hidden="1" ht="15.75" customHeight="1"/>
    <row r="416" hidden="1" ht="15.75" customHeight="1"/>
    <row r="417" hidden="1" ht="15.75" customHeight="1"/>
    <row r="418" hidden="1" ht="15.75" customHeight="1"/>
    <row r="419" hidden="1" ht="15.75" customHeight="1"/>
    <row r="420" hidden="1" ht="15.75" customHeight="1"/>
    <row r="421" hidden="1" ht="15.75" customHeight="1"/>
    <row r="422" hidden="1" ht="15.75" customHeight="1"/>
    <row r="423" hidden="1" ht="15.75" customHeight="1"/>
    <row r="424" hidden="1" ht="15.75" customHeight="1"/>
    <row r="425" hidden="1" ht="15.75" customHeight="1"/>
    <row r="426" hidden="1" ht="15.75" customHeight="1"/>
    <row r="427" hidden="1" ht="15.75" customHeight="1"/>
    <row r="428" hidden="1" ht="15.75" customHeight="1"/>
    <row r="429" hidden="1" ht="15.75" customHeight="1"/>
    <row r="430" hidden="1" ht="15.75" customHeight="1"/>
    <row r="431" hidden="1" ht="15.75" customHeight="1"/>
    <row r="432" hidden="1" ht="15.75" customHeight="1"/>
    <row r="433" hidden="1" ht="15.75" customHeight="1"/>
    <row r="434" hidden="1" ht="15.75" customHeight="1"/>
    <row r="435" hidden="1" ht="15.75" customHeight="1"/>
    <row r="436" hidden="1" ht="15.75" customHeight="1"/>
    <row r="437" hidden="1" ht="15.75" customHeight="1"/>
    <row r="438" hidden="1" ht="15.75" customHeight="1"/>
    <row r="439" hidden="1" ht="15.75" customHeight="1"/>
    <row r="440" hidden="1" ht="15.75" customHeight="1"/>
    <row r="441" hidden="1" ht="15.75" customHeight="1"/>
    <row r="442" hidden="1" ht="15.75" customHeight="1"/>
    <row r="443" hidden="1" ht="15.75" customHeight="1"/>
    <row r="444" hidden="1" ht="15.75" customHeight="1"/>
    <row r="445" hidden="1" ht="15.75" customHeight="1"/>
    <row r="446" hidden="1" ht="15.75" customHeight="1"/>
    <row r="447" hidden="1" ht="15.75" customHeight="1"/>
    <row r="448" hidden="1" ht="15.75" customHeight="1"/>
    <row r="449" hidden="1" ht="15.75" customHeight="1"/>
    <row r="450" hidden="1" ht="15.75" customHeight="1"/>
    <row r="451" hidden="1" ht="15.75" customHeight="1"/>
    <row r="452" hidden="1" ht="15.75" customHeight="1"/>
    <row r="453" hidden="1" ht="15.75" customHeight="1"/>
    <row r="454" hidden="1" ht="15.75" customHeight="1"/>
    <row r="455" hidden="1" ht="15.75" customHeight="1"/>
    <row r="456" hidden="1" ht="15.75" customHeight="1"/>
    <row r="457" hidden="1" ht="15.75" customHeight="1"/>
    <row r="458" hidden="1" ht="15.75" customHeight="1"/>
    <row r="459" hidden="1" ht="15.75" customHeight="1"/>
    <row r="460" hidden="1" ht="15.75" customHeight="1"/>
    <row r="461" hidden="1" ht="15.75" customHeight="1"/>
    <row r="462" hidden="1" ht="15.75" customHeight="1"/>
    <row r="463" hidden="1" ht="15.75" customHeight="1"/>
    <row r="464" hidden="1" ht="15.75" customHeight="1"/>
    <row r="465" hidden="1" ht="15.75" customHeight="1"/>
    <row r="466" hidden="1" ht="15.75" customHeight="1"/>
    <row r="467" hidden="1" ht="15.75" customHeight="1"/>
    <row r="468" hidden="1" ht="15.75" customHeight="1"/>
    <row r="469" hidden="1" ht="15.75" customHeight="1"/>
    <row r="470" hidden="1" ht="15.75" customHeight="1"/>
    <row r="471" hidden="1" ht="15.75" customHeight="1"/>
    <row r="472" hidden="1" ht="15.75" customHeight="1"/>
    <row r="473" hidden="1" ht="15.75" customHeight="1"/>
    <row r="474" hidden="1" ht="15.75" customHeight="1"/>
    <row r="475" hidden="1" ht="15.75" customHeight="1"/>
    <row r="476" hidden="1" ht="15.75" customHeight="1"/>
    <row r="477" hidden="1" ht="15.75" customHeight="1"/>
    <row r="478" hidden="1" ht="15.75" customHeight="1"/>
    <row r="479" hidden="1" ht="15.75" customHeight="1"/>
    <row r="480" hidden="1" ht="15.75" customHeight="1"/>
    <row r="481" hidden="1" ht="15.75" customHeight="1"/>
    <row r="482" hidden="1" ht="15.75" customHeight="1"/>
    <row r="483" hidden="1" ht="15.75" customHeight="1"/>
    <row r="484" hidden="1" ht="15.75" customHeight="1"/>
    <row r="485" hidden="1" ht="15.75" customHeight="1"/>
    <row r="486" hidden="1" ht="15.75" customHeight="1"/>
    <row r="487" hidden="1" ht="15.75" customHeight="1"/>
    <row r="488" hidden="1" ht="15.75" customHeight="1"/>
    <row r="489" hidden="1" ht="15.75" customHeight="1"/>
    <row r="490" hidden="1" ht="15.75" customHeight="1"/>
    <row r="491" hidden="1" ht="15.75" customHeight="1"/>
    <row r="492" hidden="1" ht="15.75" customHeight="1"/>
    <row r="493" hidden="1" ht="15.75" customHeight="1"/>
    <row r="494" hidden="1" ht="15.75" customHeight="1"/>
    <row r="495" hidden="1" ht="15.75" customHeight="1"/>
    <row r="496" hidden="1" ht="15.75" customHeight="1"/>
    <row r="497" hidden="1" ht="15.75" customHeight="1"/>
    <row r="498" hidden="1" ht="15.75" customHeight="1"/>
    <row r="499" hidden="1" ht="15.75" customHeight="1"/>
    <row r="500" hidden="1" ht="15.75" customHeight="1"/>
    <row r="501" hidden="1" ht="15.75" customHeight="1"/>
    <row r="502" hidden="1" ht="15.75" customHeight="1"/>
    <row r="503" hidden="1" ht="15.75" customHeight="1"/>
    <row r="504" hidden="1" ht="15.75" customHeight="1"/>
    <row r="505" hidden="1" ht="15.75" customHeight="1"/>
    <row r="506" hidden="1" ht="15.75" customHeight="1"/>
    <row r="507" hidden="1" ht="15.75" customHeight="1"/>
    <row r="508" hidden="1" ht="15.75" customHeight="1"/>
    <row r="509" hidden="1" ht="15.75" customHeight="1"/>
    <row r="510" hidden="1" ht="15.75" customHeight="1"/>
    <row r="511" hidden="1" ht="15.75" customHeight="1"/>
    <row r="512" hidden="1" ht="15.75" customHeight="1"/>
    <row r="513" hidden="1" ht="15.75" customHeight="1"/>
    <row r="514" hidden="1" ht="15.75" customHeight="1"/>
    <row r="515" hidden="1" ht="15.75" customHeight="1"/>
    <row r="516" hidden="1" ht="15.75" customHeight="1"/>
    <row r="517" hidden="1" ht="15.75" customHeight="1"/>
    <row r="518" hidden="1" ht="15.75" customHeight="1"/>
    <row r="519" hidden="1" ht="15.75" customHeight="1"/>
    <row r="520" hidden="1" ht="15.75" customHeight="1"/>
    <row r="521" hidden="1" ht="15.75" customHeight="1"/>
    <row r="522" hidden="1" ht="15.75" customHeight="1"/>
    <row r="523" hidden="1" ht="15.75" customHeight="1"/>
    <row r="524" hidden="1" ht="15.75" customHeight="1"/>
    <row r="525" hidden="1" ht="15.75" customHeight="1"/>
    <row r="526" hidden="1" ht="15.75" customHeight="1"/>
    <row r="527" hidden="1" ht="15.75" customHeight="1"/>
    <row r="528" hidden="1" ht="15.75" customHeight="1"/>
    <row r="529" hidden="1" ht="15.75" customHeight="1"/>
    <row r="530" hidden="1" ht="15.75" customHeight="1"/>
    <row r="531" hidden="1" ht="15.75" customHeight="1"/>
    <row r="532" hidden="1" ht="15.75" customHeight="1"/>
    <row r="533" hidden="1" ht="15.75" customHeight="1"/>
    <row r="534" hidden="1" ht="15.75" customHeight="1"/>
    <row r="535" hidden="1" ht="15.75" customHeight="1"/>
    <row r="536" hidden="1" ht="15.75" customHeight="1"/>
    <row r="537" hidden="1" ht="15.75" customHeight="1"/>
    <row r="538" hidden="1" ht="15.75" customHeight="1"/>
    <row r="539" hidden="1" ht="15.75" customHeight="1"/>
    <row r="540" hidden="1" ht="15.75" customHeight="1"/>
    <row r="541" hidden="1" ht="15.75" customHeight="1"/>
    <row r="542" hidden="1" ht="15.75" customHeight="1"/>
    <row r="543" hidden="1" ht="15.75" customHeight="1"/>
    <row r="544" hidden="1" ht="15.75" customHeight="1"/>
    <row r="545" hidden="1" ht="15.75" customHeight="1"/>
    <row r="546" hidden="1" ht="15.75" customHeight="1"/>
  </sheetData>
  <mergeCells count="6">
    <mergeCell ref="A1:H1"/>
    <mergeCell ref="A2:H2"/>
    <mergeCell ref="A3:B3"/>
    <mergeCell ref="C3:H3"/>
    <mergeCell ref="A4:B4"/>
    <mergeCell ref="C4:H4"/>
  </mergeCells>
  <pageMargins left="0.1968503937007874" right="0.1968503937007874" top="0" bottom="0.2755905511811024" header="0" footer="0"/>
  <ignoredErrors>
    <ignoredError numberStoredAsText="1" sqref="A1:AJ5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30"/>
  <sheetViews>
    <sheetView workbookViewId="0" rightToLeft="0"/>
  </sheetViews>
  <sheetData>
    <row r="1"/>
    <row r="2"/>
    <row r="3" ht="24.75" customHeight="1">
      <c r="C3" s="4" t="str">
        <v>No.of.Candidates Registered</v>
      </c>
      <c r="D3" s="3" t="str">
        <v>No.of.Candidates Appeared for the Exam</v>
      </c>
      <c r="E3" s="4" t="str">
        <v>No.of.Candidates Absent for the Exam</v>
      </c>
      <c r="F3" s="4" t="str">
        <v>No.of.Candidates Passed in the Exam</v>
      </c>
      <c r="G3" s="3" t="str">
        <v>PASS%</v>
      </c>
      <c r="H3" s="4" t="str">
        <v>Number of students scoring marks in the range mentioned</v>
      </c>
      <c r="L3" s="3" t="str">
        <v>Min</v>
      </c>
      <c r="M3" s="3" t="str">
        <v>Max</v>
      </c>
      <c r="N3" s="3" t="str">
        <v>Avg</v>
      </c>
      <c r="O3" s="3" t="str">
        <v>CO target</v>
      </c>
      <c r="P3" s="3" t="str">
        <v>CO1 attainment</v>
      </c>
      <c r="Q3" s="3" t="str">
        <v>CO2 attainment</v>
      </c>
      <c r="R3" s="3" t="str">
        <v>CO3 attainment</v>
      </c>
      <c r="S3" s="3" t="str">
        <v>CO4 attainment</v>
      </c>
      <c r="T3" s="3" t="str">
        <v>CO5  attainment</v>
      </c>
    </row>
    <row r="4" ht="42" customHeight="1">
      <c r="H4" s="3" t="str">
        <v>0-20</v>
      </c>
      <c r="I4" s="3" t="str">
        <v>21-50</v>
      </c>
      <c r="J4" s="3" t="str">
        <v>51-80</v>
      </c>
      <c r="K4" s="3" t="str">
        <v>81-100</v>
      </c>
    </row>
    <row r="5">
      <c r="B5" s="3" t="str">
        <v>PT1</v>
      </c>
      <c r="C5" s="3">
        <f>Theory!K2</f>
        <v>66</v>
      </c>
      <c r="D5" s="3">
        <f>Theory!K3</f>
        <v>66</v>
      </c>
      <c r="E5" s="3">
        <f>Theory!K4</f>
        <v>0</v>
      </c>
      <c r="F5" s="3">
        <f>Theory!K5</f>
        <v>55</v>
      </c>
      <c r="G5" s="3">
        <f>Theory!K6</f>
        <v>83.33</v>
      </c>
      <c r="H5" s="3">
        <f>Theory!K7</f>
        <v>0</v>
      </c>
      <c r="I5" s="3">
        <f>Theory!K8</f>
        <v>12</v>
      </c>
      <c r="J5" s="3">
        <f>Theory!K9</f>
        <v>54</v>
      </c>
      <c r="K5" s="3">
        <f>Theory!K10</f>
        <v>0</v>
      </c>
      <c r="L5" s="3">
        <f>Theory!K40</f>
        <v>28</v>
      </c>
      <c r="M5" s="3">
        <f>Theory!K41</f>
        <v>72</v>
      </c>
      <c r="N5" s="8">
        <f>Theory!K42</f>
        <v>58.666666666666664</v>
      </c>
      <c r="O5" s="3">
        <f>Theory!K11</f>
        <v>58</v>
      </c>
      <c r="P5" s="3">
        <f>Theory!K12</f>
        <v>2</v>
      </c>
      <c r="Q5" s="3">
        <f>Theory!L12</f>
        <v>2</v>
      </c>
      <c r="R5" s="3">
        <f>Theory!M12</f>
        <v>3</v>
      </c>
    </row>
    <row r="6">
      <c r="B6" s="3" t="str">
        <v>PT2</v>
      </c>
      <c r="C6" s="3">
        <f>Theory!L2</f>
        <v>66</v>
      </c>
      <c r="D6" s="3">
        <f>Theory!L3</f>
        <v>66</v>
      </c>
      <c r="E6" s="3">
        <f>Theory!L4</f>
        <v>0</v>
      </c>
      <c r="F6" s="3">
        <f>Theory!L5</f>
        <v>53</v>
      </c>
      <c r="G6" s="3">
        <f>Theory!L6</f>
        <v>80.3</v>
      </c>
      <c r="H6" s="3">
        <f>Theory!L7</f>
        <v>1</v>
      </c>
      <c r="I6" s="3">
        <f>Theory!L8</f>
        <v>12</v>
      </c>
      <c r="J6" s="3">
        <f>Theory!L9</f>
        <v>53</v>
      </c>
      <c r="K6" s="3">
        <f>Theory!L10</f>
        <v>0</v>
      </c>
      <c r="L6" s="3">
        <f>Theory!L40</f>
        <v>20</v>
      </c>
      <c r="M6" s="3">
        <f>Theory!L41</f>
        <v>74</v>
      </c>
      <c r="N6" s="8">
        <f>Theory!L42</f>
        <v>58.84848484848485</v>
      </c>
      <c r="O6" s="3">
        <f>Theory!K11</f>
        <v>58</v>
      </c>
      <c r="R6" s="3">
        <f>Theory!M13</f>
        <v>3</v>
      </c>
      <c r="S6" s="3">
        <f>Theory!N13</f>
        <v>2</v>
      </c>
      <c r="T6" s="3">
        <f>Theory!O13</f>
        <v>2</v>
      </c>
    </row>
    <row r="7"/>
    <row r="8"/>
    <row r="9"/>
    <row r="10"/>
    <row r="11"/>
    <row r="12">
      <c r="A12" s="3" t="str">
        <f>Theory!A3</f>
        <v>Course Code - Name</v>
      </c>
      <c r="B12" s="3" t="str">
        <f>Theory!C3</f>
        <v>22EE401 &amp; POWER GENERATION, TRANSMISSION AND DISTRIBUTION</v>
      </c>
    </row>
    <row r="13">
      <c r="B13" s="3" t="str">
        <v>PT1 ANALYSIS</v>
      </c>
    </row>
    <row r="14"/>
    <row r="15">
      <c r="B15" s="3" t="str">
        <v>No. of students Appeared, Absent, Passed graph (Clustered Column Graph)</v>
      </c>
    </row>
    <row r="16">
      <c r="I16" s="3" t="str">
        <v>Appeared</v>
      </c>
      <c r="J16" s="3" t="str">
        <v>Absent</v>
      </c>
      <c r="K16" s="3" t="str">
        <v>Passed</v>
      </c>
    </row>
    <row r="17">
      <c r="I17" s="3">
        <f>D5</f>
        <v>66</v>
      </c>
      <c r="J17" s="3">
        <f>E5</f>
        <v>0</v>
      </c>
      <c r="K17" s="3">
        <f>F5</f>
        <v>55</v>
      </c>
    </row>
    <row r="18"/>
    <row r="19"/>
    <row r="20"/>
    <row r="21"/>
    <row r="22"/>
    <row r="23"/>
    <row r="24"/>
    <row r="25"/>
    <row r="26"/>
    <row r="27"/>
    <row r="28"/>
    <row r="29"/>
    <row r="30"/>
    <row r="31">
      <c r="C31" s="3" t="str">
        <v>Number of students in mark range (0-20. 21-50. 51-80. 81-100) graph (Clustered Column Graph) in %</v>
      </c>
      <c r="I31" s="3" t="str">
        <v>Percentage</v>
      </c>
    </row>
    <row r="32" ht="15.75" customHeight="1">
      <c r="I32" s="3" t="str">
        <v>0-20</v>
      </c>
      <c r="J32" s="3" t="str">
        <v>21-50</v>
      </c>
      <c r="K32" s="3" t="str">
        <v>51-80</v>
      </c>
      <c r="L32" s="3" t="str">
        <v>81-100</v>
      </c>
    </row>
    <row r="33">
      <c r="I33" s="3">
        <f>ROUND(H5/$D$5*100,2)</f>
        <v>0</v>
      </c>
      <c r="J33" s="3">
        <f>ROUND(I5/$D$5*100,2)</f>
        <v>18.18</v>
      </c>
      <c r="K33" s="3">
        <f>ROUND(J5/$D$5*100,2)</f>
        <v>81.82</v>
      </c>
      <c r="L33" s="3">
        <f>ROUND(K5/$D$5*100,2)</f>
        <v>0</v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5.75" customHeight="1">
      <c r="C49" s="3" t="str">
        <v>Min, Max and Avg., Mark comparison (Clustered Column Graph)</v>
      </c>
    </row>
    <row r="50">
      <c r="I50" s="3" t="str">
        <v>Min</v>
      </c>
      <c r="J50" s="3" t="str">
        <v>Max</v>
      </c>
      <c r="K50" s="3" t="str">
        <v>Avg</v>
      </c>
    </row>
    <row r="51">
      <c r="I51" s="3">
        <f>L5</f>
        <v>28</v>
      </c>
      <c r="J51" s="3">
        <f>M5</f>
        <v>72</v>
      </c>
      <c r="K51" s="9">
        <f>N5</f>
        <v>58.666666666666664</v>
      </c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>
      <c r="A68" s="3" t="str">
        <f>Theory!A3</f>
        <v>Course Code - Name</v>
      </c>
      <c r="B68" s="3" t="str">
        <f>Theory!C3</f>
        <v>22EE401 &amp; POWER GENERATION, TRANSMISSION AND DISTRIBUTION</v>
      </c>
    </row>
    <row r="69">
      <c r="B69" s="3" t="str">
        <v>PT2 ANALYSIS</v>
      </c>
    </row>
    <row r="70"/>
    <row r="71">
      <c r="B71" s="3" t="str">
        <v>No. of students Appeared, Absent, Passed graph (Clustered Column Graph)</v>
      </c>
      <c r="I71" s="3" t="str">
        <v>Appeared</v>
      </c>
      <c r="J71" s="3" t="str">
        <v>Absent</v>
      </c>
      <c r="K71" s="3" t="str">
        <v>Passed</v>
      </c>
    </row>
    <row r="72">
      <c r="I72" s="3">
        <f>D6</f>
        <v>66</v>
      </c>
      <c r="J72" s="3">
        <f>E6</f>
        <v>0</v>
      </c>
      <c r="K72" s="3">
        <f>F6</f>
        <v>53</v>
      </c>
    </row>
    <row r="73"/>
    <row r="74"/>
    <row r="75"/>
    <row r="76"/>
    <row r="77"/>
    <row r="78"/>
    <row r="79"/>
    <row r="80"/>
    <row r="81"/>
    <row r="82" ht="15.75" customHeight="1">
      <c r="I82" s="3" t="str">
        <v>0-20</v>
      </c>
      <c r="J82" s="3" t="str">
        <v>21-50</v>
      </c>
      <c r="K82" s="3" t="str">
        <v>51-80</v>
      </c>
      <c r="L82" s="3" t="str">
        <v>81-100</v>
      </c>
    </row>
    <row r="83">
      <c r="I83" s="3">
        <f>ROUND(H6/$D$6*100,2)</f>
        <v>1.52</v>
      </c>
      <c r="J83" s="3">
        <f>ROUND(I6/$D$6*100,2)</f>
        <v>18.18</v>
      </c>
      <c r="K83" s="3">
        <f>ROUND(J6/$D$6*100,2)</f>
        <v>80.3</v>
      </c>
      <c r="L83" s="3">
        <f>ROUND(K6/$D$6*100,2)</f>
        <v>0</v>
      </c>
    </row>
    <row r="84"/>
    <row r="85"/>
    <row r="86"/>
    <row r="87"/>
    <row r="88">
      <c r="B88" s="3" t="str">
        <v>Number of students in mark range (0-20. 21-50. 51-80. 81-100) graph (Clustered Column Graph) in %</v>
      </c>
    </row>
    <row r="89"/>
    <row r="90"/>
    <row r="91"/>
    <row r="92"/>
    <row r="93">
      <c r="I93" s="3" t="str">
        <v>Min</v>
      </c>
      <c r="J93" s="3" t="str">
        <v>Max</v>
      </c>
      <c r="K93" s="3" t="str">
        <v>Avg</v>
      </c>
    </row>
    <row r="94">
      <c r="I94" s="3">
        <f>L6</f>
        <v>20</v>
      </c>
      <c r="J94" s="3">
        <f>M6</f>
        <v>74</v>
      </c>
      <c r="K94" s="8">
        <f>N6</f>
        <v>58.84848484848485</v>
      </c>
    </row>
    <row r="95"/>
    <row r="96"/>
    <row r="97"/>
    <row r="98"/>
    <row r="99"/>
    <row r="100"/>
    <row r="101"/>
    <row r="102"/>
    <row r="103"/>
    <row r="104"/>
    <row r="105"/>
    <row r="106" ht="15.75" customHeight="1">
      <c r="B106" s="3" t="str">
        <v>Min, Max and Avg., Mark comparison (Clustered Column Graph)</v>
      </c>
    </row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</sheetData>
  <mergeCells count="22">
    <mergeCell ref="F3:F4"/>
    <mergeCell ref="G3:G4"/>
    <mergeCell ref="A3:A4"/>
    <mergeCell ref="B3:B4"/>
    <mergeCell ref="C3:C4"/>
    <mergeCell ref="D3:D4"/>
    <mergeCell ref="E3:E4"/>
    <mergeCell ref="B15:G15"/>
    <mergeCell ref="C31:G31"/>
    <mergeCell ref="I31:L31"/>
    <mergeCell ref="B71:G71"/>
    <mergeCell ref="B88:F88"/>
    <mergeCell ref="R3:R4"/>
    <mergeCell ref="S3:S4"/>
    <mergeCell ref="T3:T4"/>
    <mergeCell ref="H3:K3"/>
    <mergeCell ref="L3:L4"/>
    <mergeCell ref="M3:M4"/>
    <mergeCell ref="N3:N4"/>
    <mergeCell ref="O3:O4"/>
    <mergeCell ref="P3:P4"/>
    <mergeCell ref="Q3:Q4"/>
  </mergeCells>
  <pageMargins left="0.7" right="0.7" top="0.75" bottom="0.75" header="0.3" footer="0.3"/>
  <ignoredErrors>
    <ignoredError numberStoredAsText="1" sqref="A1:T1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1084"/>
  <sheetViews>
    <sheetView workbookViewId="0" rightToLeft="0"/>
  </sheetViews>
  <cols>
    <col min="1" max="1" customWidth="1" width="6.140625"/>
    <col min="2" max="2" customWidth="1" width="19.28515625"/>
    <col min="3" max="3" customWidth="1" width="25.7109375"/>
    <col min="4" max="4" customWidth="1" width="12.85546875"/>
    <col min="5" max="5" customWidth="1" width="6.5703125"/>
    <col min="6" max="6" customWidth="1" width="8.42578125"/>
    <col min="7" max="7" customWidth="1" width="7.85546875"/>
    <col min="8" max="8" customWidth="1" width="9.140625" hidden="true"/>
    <col min="9" max="9" customWidth="1" width="9.140625" hidden="true"/>
    <col min="10" max="10" customWidth="1" width="9.140625" hidden="true"/>
    <col min="11" max="11" customWidth="1" width="9.140625" hidden="true"/>
    <col min="12" max="12" customWidth="1" width="9.140625" hidden="true"/>
    <col min="13" max="13" customWidth="1" width="9.140625" hidden="true"/>
    <col min="14" max="14" customWidth="1" width="9.140625" hidden="true"/>
    <col min="15" max="15" customWidth="1" width="9.140625" hidden="true"/>
    <col min="16" max="16" customWidth="1" width="9.140625" hidden="true"/>
    <col min="17" max="17" customWidth="1" width="9.140625" hidden="true"/>
    <col min="18" max="18" customWidth="1" width="9.140625" hidden="true"/>
    <col min="19" max="19" customWidth="1" width="9.140625" hidden="true"/>
    <col min="20" max="20" customWidth="1" width="9.140625" hidden="true"/>
    <col min="21" max="21" customWidth="1" width="9.140625" hidden="true"/>
    <col min="22" max="22" customWidth="1" width="9.140625" hidden="true"/>
    <col min="23" max="23" customWidth="1" width="9.140625" hidden="true"/>
    <col min="24" max="24" customWidth="1" width="3" hidden="true"/>
    <col min="25" max="25" customWidth="1" width="3" hidden="true"/>
    <col min="26" max="26" customWidth="1" width="3" hidden="true"/>
    <col min="27" max="27" customWidth="1" width="9.140625" hidden="true"/>
    <col min="28" max="28" customWidth="1" width="9.140625" hidden="true"/>
  </cols>
  <sheetData>
    <row r="1" ht="54.75" customHeight="1"/>
    <row r="2" ht="15.75" customHeight="1">
      <c r="A2" s="3" t="str">
        <v>Innovative Practice</v>
      </c>
    </row>
    <row r="3" ht="15.75" customHeight="1">
      <c r="A3" s="3" t="str">
        <v>Course Code - Name</v>
      </c>
      <c r="C3" s="3" t="str">
        <f>Theory!C3</f>
        <v>22EE401 &amp; POWER GENERATION, TRANSMISSION AND DISTRIBUTION</v>
      </c>
    </row>
    <row r="4" ht="15.75" customHeight="1">
      <c r="A4" s="3" t="str">
        <v>Faculty ID - Name</v>
      </c>
      <c r="C4" s="3" t="str">
        <f>Theory!C4</f>
        <v>Dr.SIVARAMAN P / EE1329</v>
      </c>
    </row>
    <row r="5" ht="30.75" customHeight="1">
      <c r="A5" s="3" t="str">
        <v>S. No.</v>
      </c>
      <c r="B5" s="3" t="str">
        <v>Reg. No.</v>
      </c>
      <c r="C5" s="3" t="str">
        <v>Name</v>
      </c>
      <c r="D5" s="3" t="str">
        <v>IP1</v>
      </c>
      <c r="E5" s="3" t="str">
        <v>IP2</v>
      </c>
      <c r="F5" s="3" t="str">
        <v>IP (16)</v>
      </c>
    </row>
    <row r="6">
      <c r="A6" s="3">
        <f>Theory!A6</f>
        <v>1</v>
      </c>
      <c r="B6" s="3" t="str">
        <f>Theory!B6</f>
        <v>7376231EE102</v>
      </c>
      <c r="C6" s="3" t="str">
        <f>Theory!C6</f>
        <v>ABINISHA S</v>
      </c>
      <c r="D6" s="3">
        <f>ROUND(F6/2,0)</f>
        <v>8</v>
      </c>
      <c r="E6" s="3">
        <f>F6-D6</f>
        <v>7</v>
      </c>
      <c r="F6" s="3">
        <f>Theory!G6</f>
        <v>15</v>
      </c>
      <c r="X6" s="3" t="e">
        <f>IF(#REF!&lt;&gt;"",IF(#REF!="A",0,#REF!),"")</f>
        <v>#REF!</v>
      </c>
      <c r="Y6" s="3" t="e">
        <f>IF(#REF!&lt;&gt;"",IF(#REF!="A",0,#REF!),"")</f>
        <v>#REF!</v>
      </c>
      <c r="Z6" s="3" t="e">
        <f>IF(#REF!&lt;&gt;"",IF(#REF!="A",0,#REF!),"")</f>
        <v>#REF!</v>
      </c>
      <c r="AB6" s="3">
        <f>IF(F6&lt;&gt;"",IF(F6="A",0,F6),"")</f>
        <v>15</v>
      </c>
    </row>
    <row r="7">
      <c r="A7" s="3">
        <f>Theory!A7</f>
        <v>2</v>
      </c>
      <c r="B7" s="3" t="str">
        <f>Theory!B7</f>
        <v>7376231EE103</v>
      </c>
      <c r="C7" s="3" t="str">
        <f>Theory!C7</f>
        <v>ANANTHIKA A</v>
      </c>
      <c r="D7" s="3">
        <f>ROUND(F7/2,0)</f>
        <v>8</v>
      </c>
      <c r="E7" s="3">
        <f>F7-D7</f>
        <v>7</v>
      </c>
      <c r="F7" s="3">
        <f>Theory!G7</f>
        <v>15</v>
      </c>
      <c r="X7" s="3" t="e">
        <f>IF(#REF!&lt;&gt;"",IF(#REF!="A",0,#REF!),"")</f>
        <v>#REF!</v>
      </c>
      <c r="Y7" s="3" t="e">
        <f>IF(#REF!&lt;&gt;"",IF(#REF!="A",0,#REF!),"")</f>
        <v>#REF!</v>
      </c>
      <c r="Z7" s="3" t="e">
        <f>IF(#REF!&lt;&gt;"",IF(#REF!="A",0,#REF!),"")</f>
        <v>#REF!</v>
      </c>
      <c r="AB7" s="3">
        <f>IF(F7&lt;&gt;"",IF(F7="A",0,F7),"")</f>
        <v>15</v>
      </c>
    </row>
    <row r="8">
      <c r="A8" s="3">
        <f>Theory!A8</f>
        <v>3</v>
      </c>
      <c r="B8" s="3" t="str">
        <f>Theory!B8</f>
        <v>7376231EE104</v>
      </c>
      <c r="C8" s="3" t="str">
        <f>Theory!C8</f>
        <v>ANBARASU G</v>
      </c>
      <c r="D8" s="3">
        <f>ROUND(F8/2,0)</f>
        <v>5</v>
      </c>
      <c r="E8" s="3">
        <f>F8-D8</f>
        <v>4</v>
      </c>
      <c r="F8" s="3">
        <f>Theory!G8</f>
        <v>9</v>
      </c>
      <c r="X8" s="3" t="e">
        <f>IF(#REF!&lt;&gt;"",IF(#REF!="A",0,#REF!),"")</f>
        <v>#REF!</v>
      </c>
      <c r="Y8" s="3" t="e">
        <f>IF(#REF!&lt;&gt;"",IF(#REF!="A",0,#REF!),"")</f>
        <v>#REF!</v>
      </c>
      <c r="Z8" s="3" t="e">
        <f>IF(#REF!&lt;&gt;"",IF(#REF!="A",0,#REF!),"")</f>
        <v>#REF!</v>
      </c>
      <c r="AB8" s="3">
        <f>IF(F8&lt;&gt;"",IF(F8="A",0,F8),"")</f>
        <v>9</v>
      </c>
    </row>
    <row r="9">
      <c r="A9" s="3">
        <f>Theory!A9</f>
        <v>4</v>
      </c>
      <c r="B9" s="3" t="str">
        <f>Theory!B9</f>
        <v>7376231EE105</v>
      </c>
      <c r="C9" s="3" t="str">
        <f>Theory!C9</f>
        <v>ANUJA N</v>
      </c>
      <c r="D9" s="3">
        <f>ROUND(F9/2,0)</f>
        <v>8</v>
      </c>
      <c r="E9" s="3">
        <f>F9-D9</f>
        <v>7</v>
      </c>
      <c r="F9" s="3">
        <f>Theory!G9</f>
        <v>15</v>
      </c>
      <c r="X9" s="3" t="e">
        <f>IF(#REF!&lt;&gt;"",IF(#REF!="A",0,#REF!),"")</f>
        <v>#REF!</v>
      </c>
      <c r="Y9" s="3" t="e">
        <f>IF(#REF!&lt;&gt;"",IF(#REF!="A",0,#REF!),"")</f>
        <v>#REF!</v>
      </c>
      <c r="Z9" s="3" t="e">
        <f>IF(#REF!&lt;&gt;"",IF(#REF!="A",0,#REF!),"")</f>
        <v>#REF!</v>
      </c>
      <c r="AB9" s="3">
        <f>IF(F9&lt;&gt;"",IF(F9="A",0,F9),"")</f>
        <v>15</v>
      </c>
    </row>
    <row r="10">
      <c r="A10" s="3">
        <f>Theory!A10</f>
        <v>5</v>
      </c>
      <c r="B10" s="3" t="str">
        <f>Theory!B10</f>
        <v>7376231EE106</v>
      </c>
      <c r="C10" s="3" t="str">
        <f>Theory!C10</f>
        <v>ARUN BHAGAVATH S</v>
      </c>
      <c r="D10" s="3">
        <f>ROUND(F10/2,0)</f>
        <v>7</v>
      </c>
      <c r="E10" s="3">
        <f>F10-D10</f>
        <v>7</v>
      </c>
      <c r="F10" s="3">
        <f>Theory!G10</f>
        <v>14</v>
      </c>
      <c r="X10" s="3" t="e">
        <f>IF(#REF!&lt;&gt;"",IF(#REF!="A",0,#REF!),"")</f>
        <v>#REF!</v>
      </c>
      <c r="Y10" s="3" t="e">
        <f>IF(#REF!&lt;&gt;"",IF(#REF!="A",0,#REF!),"")</f>
        <v>#REF!</v>
      </c>
      <c r="Z10" s="3" t="e">
        <f>IF(#REF!&lt;&gt;"",IF(#REF!="A",0,#REF!),"")</f>
        <v>#REF!</v>
      </c>
      <c r="AB10" s="3">
        <f>IF(F10&lt;&gt;"",IF(F10="A",0,F10),"")</f>
        <v>14</v>
      </c>
    </row>
    <row r="11">
      <c r="A11" s="3">
        <f>Theory!A11</f>
        <v>6</v>
      </c>
      <c r="B11" s="3" t="str">
        <f>Theory!B11</f>
        <v>7376231EE107</v>
      </c>
      <c r="C11" s="3" t="str">
        <f>Theory!C11</f>
        <v>ARUNIKA T K</v>
      </c>
      <c r="D11" s="3">
        <f>ROUND(F11/2,0)</f>
        <v>8</v>
      </c>
      <c r="E11" s="3">
        <f>F11-D11</f>
        <v>8</v>
      </c>
      <c r="F11" s="3">
        <f>Theory!G11</f>
        <v>16</v>
      </c>
      <c r="X11" s="3" t="e">
        <f>IF(#REF!&lt;&gt;"",IF(#REF!="A",0,#REF!),"")</f>
        <v>#REF!</v>
      </c>
      <c r="Y11" s="3" t="e">
        <f>IF(#REF!&lt;&gt;"",IF(#REF!="A",0,#REF!),"")</f>
        <v>#REF!</v>
      </c>
      <c r="Z11" s="3" t="e">
        <f>IF(#REF!&lt;&gt;"",IF(#REF!="A",0,#REF!),"")</f>
        <v>#REF!</v>
      </c>
      <c r="AB11" s="3">
        <f>IF(F11&lt;&gt;"",IF(F11="A",0,F11),"")</f>
        <v>16</v>
      </c>
    </row>
    <row r="12">
      <c r="A12" s="3">
        <f>Theory!A12</f>
        <v>7</v>
      </c>
      <c r="B12" s="3" t="str">
        <f>Theory!B12</f>
        <v>7376231EE108</v>
      </c>
      <c r="C12" s="3" t="str">
        <f>Theory!C12</f>
        <v>BALAJI M J</v>
      </c>
      <c r="D12" s="3">
        <f>ROUND(F12/2,0)</f>
        <v>8</v>
      </c>
      <c r="E12" s="3">
        <f>F12-D12</f>
        <v>8</v>
      </c>
      <c r="F12" s="3">
        <f>Theory!G12</f>
        <v>16</v>
      </c>
      <c r="X12" s="3" t="e">
        <f>IF(#REF!&lt;&gt;"",IF(#REF!="A",0,#REF!),"")</f>
        <v>#REF!</v>
      </c>
      <c r="Y12" s="3" t="e">
        <f>IF(#REF!&lt;&gt;"",IF(#REF!="A",0,#REF!),"")</f>
        <v>#REF!</v>
      </c>
      <c r="Z12" s="3" t="e">
        <f>IF(#REF!&lt;&gt;"",IF(#REF!="A",0,#REF!),"")</f>
        <v>#REF!</v>
      </c>
      <c r="AB12" s="3">
        <f>IF(F12&lt;&gt;"",IF(F12="A",0,F12),"")</f>
        <v>16</v>
      </c>
    </row>
    <row r="13">
      <c r="A13" s="3">
        <f>Theory!A13</f>
        <v>8</v>
      </c>
      <c r="B13" s="3" t="str">
        <f>Theory!B13</f>
        <v>7376231EE109</v>
      </c>
      <c r="C13" s="3" t="str">
        <f>Theory!C13</f>
        <v>BHARANIDHARAN S</v>
      </c>
      <c r="D13" s="3">
        <f>ROUND(F13/2,0)</f>
        <v>8</v>
      </c>
      <c r="E13" s="3">
        <f>F13-D13</f>
        <v>7</v>
      </c>
      <c r="F13" s="3">
        <f>Theory!G13</f>
        <v>15</v>
      </c>
      <c r="X13" s="3" t="e">
        <f>IF(#REF!&lt;&gt;"",IF(#REF!="A",0,#REF!),"")</f>
        <v>#REF!</v>
      </c>
      <c r="Y13" s="3" t="e">
        <f>IF(#REF!&lt;&gt;"",IF(#REF!="A",0,#REF!),"")</f>
        <v>#REF!</v>
      </c>
      <c r="Z13" s="3" t="e">
        <f>IF(#REF!&lt;&gt;"",IF(#REF!="A",0,#REF!),"")</f>
        <v>#REF!</v>
      </c>
      <c r="AB13" s="3">
        <f>IF(F13&lt;&gt;"",IF(F13="A",0,F13),"")</f>
        <v>15</v>
      </c>
    </row>
    <row r="14">
      <c r="A14" s="3">
        <f>Theory!A14</f>
        <v>9</v>
      </c>
      <c r="B14" s="3" t="str">
        <f>Theory!B14</f>
        <v>7376231EE110</v>
      </c>
      <c r="C14" s="3" t="str">
        <f>Theory!C14</f>
        <v>DEEPTHI A</v>
      </c>
      <c r="D14" s="3">
        <f>ROUND(F14/2,0)</f>
        <v>8</v>
      </c>
      <c r="E14" s="3">
        <f>F14-D14</f>
        <v>8</v>
      </c>
      <c r="F14" s="3">
        <f>Theory!G14</f>
        <v>16</v>
      </c>
      <c r="X14" s="3" t="e">
        <f>IF(#REF!&lt;&gt;"",IF(#REF!="A",0,#REF!),"")</f>
        <v>#REF!</v>
      </c>
      <c r="Y14" s="3" t="e">
        <f>IF(#REF!&lt;&gt;"",IF(#REF!="A",0,#REF!),"")</f>
        <v>#REF!</v>
      </c>
      <c r="Z14" s="3" t="e">
        <f>IF(#REF!&lt;&gt;"",IF(#REF!="A",0,#REF!),"")</f>
        <v>#REF!</v>
      </c>
      <c r="AB14" s="3">
        <f>IF(F14&lt;&gt;"",IF(F14="A",0,F14),"")</f>
        <v>16</v>
      </c>
    </row>
    <row r="15">
      <c r="A15" s="3">
        <f>Theory!A15</f>
        <v>10</v>
      </c>
      <c r="B15" s="3" t="str">
        <f>Theory!B15</f>
        <v>7376231EE111</v>
      </c>
      <c r="C15" s="3" t="str">
        <f>Theory!C15</f>
        <v>DEPEN T</v>
      </c>
      <c r="D15" s="3">
        <f>ROUND(F15/2,0)</f>
        <v>2</v>
      </c>
      <c r="E15" s="3">
        <f>F15-D15</f>
        <v>1</v>
      </c>
      <c r="F15" s="3">
        <f>Theory!G15</f>
        <v>3</v>
      </c>
      <c r="X15" s="3" t="e">
        <f>IF(#REF!&lt;&gt;"",IF(#REF!="A",0,#REF!),"")</f>
        <v>#REF!</v>
      </c>
      <c r="Y15" s="3" t="e">
        <f>IF(#REF!&lt;&gt;"",IF(#REF!="A",0,#REF!),"")</f>
        <v>#REF!</v>
      </c>
      <c r="Z15" s="3" t="e">
        <f>IF(#REF!&lt;&gt;"",IF(#REF!="A",0,#REF!),"")</f>
        <v>#REF!</v>
      </c>
      <c r="AB15" s="3">
        <f>IF(F15&lt;&gt;"",IF(F15="A",0,F15),"")</f>
        <v>3</v>
      </c>
    </row>
    <row r="16" ht="30" customHeight="1">
      <c r="A16" s="3">
        <f>Theory!A16</f>
        <v>11</v>
      </c>
      <c r="B16" s="3" t="str">
        <f>Theory!B16</f>
        <v>7376231EE112</v>
      </c>
      <c r="C16" s="3" t="str">
        <f>Theory!C16</f>
        <v>DHANUSHA CHITRA PALANISAMY</v>
      </c>
      <c r="D16" s="3">
        <f>ROUND(F16/2,0)</f>
        <v>7</v>
      </c>
      <c r="E16" s="3">
        <f>F16-D16</f>
        <v>6</v>
      </c>
      <c r="F16" s="3">
        <f>Theory!G16</f>
        <v>13</v>
      </c>
      <c r="X16" s="3" t="e">
        <f>IF(#REF!&lt;&gt;"",IF(#REF!="A",0,#REF!),"")</f>
        <v>#REF!</v>
      </c>
      <c r="Y16" s="3" t="e">
        <f>IF(#REF!&lt;&gt;"",IF(#REF!="A",0,#REF!),"")</f>
        <v>#REF!</v>
      </c>
      <c r="Z16" s="3" t="e">
        <f>IF(#REF!&lt;&gt;"",IF(#REF!="A",0,#REF!),"")</f>
        <v>#REF!</v>
      </c>
      <c r="AB16" s="3">
        <f>IF(F16&lt;&gt;"",IF(F16="A",0,F16),"")</f>
        <v>13</v>
      </c>
    </row>
    <row r="17">
      <c r="A17" s="3">
        <f>Theory!A17</f>
        <v>12</v>
      </c>
      <c r="B17" s="3" t="str">
        <f>Theory!B17</f>
        <v>7376231EE113</v>
      </c>
      <c r="C17" s="3" t="str">
        <f>Theory!C17</f>
        <v>DHARSHINI M</v>
      </c>
      <c r="D17" s="3">
        <f>ROUND(F17/2,0)</f>
        <v>8</v>
      </c>
      <c r="E17" s="3">
        <f>F17-D17</f>
        <v>7</v>
      </c>
      <c r="F17" s="3">
        <f>Theory!G17</f>
        <v>15</v>
      </c>
      <c r="X17" s="3" t="e">
        <f>IF(#REF!&lt;&gt;"",IF(#REF!="A",0,#REF!),"")</f>
        <v>#REF!</v>
      </c>
      <c r="Y17" s="3" t="e">
        <f>IF(#REF!&lt;&gt;"",IF(#REF!="A",0,#REF!),"")</f>
        <v>#REF!</v>
      </c>
      <c r="Z17" s="3" t="e">
        <f>IF(#REF!&lt;&gt;"",IF(#REF!="A",0,#REF!),"")</f>
        <v>#REF!</v>
      </c>
      <c r="AB17" s="3">
        <f>IF(F17&lt;&gt;"",IF(F17="A",0,F17),"")</f>
        <v>15</v>
      </c>
    </row>
    <row r="18">
      <c r="A18" s="3">
        <f>Theory!A18</f>
        <v>13</v>
      </c>
      <c r="B18" s="3" t="str">
        <f>Theory!B18</f>
        <v>7376231EE114</v>
      </c>
      <c r="C18" s="3" t="str">
        <f>Theory!C18</f>
        <v>DHILIP M V</v>
      </c>
      <c r="D18" s="3">
        <f>ROUND(F18/2,0)</f>
        <v>6</v>
      </c>
      <c r="E18" s="3">
        <f>F18-D18</f>
        <v>5</v>
      </c>
      <c r="F18" s="3">
        <f>Theory!G18</f>
        <v>11</v>
      </c>
      <c r="X18" s="3" t="e">
        <f>IF(#REF!&lt;&gt;"",IF(#REF!="A",0,#REF!),"")</f>
        <v>#REF!</v>
      </c>
      <c r="Y18" s="3" t="e">
        <f>IF(#REF!&lt;&gt;"",IF(#REF!="A",0,#REF!),"")</f>
        <v>#REF!</v>
      </c>
      <c r="Z18" s="3" t="e">
        <f>IF(#REF!&lt;&gt;"",IF(#REF!="A",0,#REF!),"")</f>
        <v>#REF!</v>
      </c>
      <c r="AB18" s="3">
        <f>IF(F18&lt;&gt;"",IF(F18="A",0,F18),"")</f>
        <v>11</v>
      </c>
    </row>
    <row r="19">
      <c r="A19" s="3">
        <f>Theory!A19</f>
        <v>14</v>
      </c>
      <c r="B19" s="3" t="str">
        <f>Theory!B19</f>
        <v>7376231EE115</v>
      </c>
      <c r="C19" s="3" t="str">
        <f>Theory!C19</f>
        <v>DHIVA R</v>
      </c>
      <c r="D19" s="3">
        <f>ROUND(F19/2,0)</f>
        <v>5</v>
      </c>
      <c r="E19" s="3">
        <f>F19-D19</f>
        <v>4</v>
      </c>
      <c r="F19" s="3">
        <f>Theory!G19</f>
        <v>9</v>
      </c>
      <c r="X19" s="3" t="e">
        <f>IF(#REF!&lt;&gt;"",IF(#REF!="A",0,#REF!),"")</f>
        <v>#REF!</v>
      </c>
      <c r="Y19" s="3" t="e">
        <f>IF(#REF!&lt;&gt;"",IF(#REF!="A",0,#REF!),"")</f>
        <v>#REF!</v>
      </c>
      <c r="Z19" s="3" t="e">
        <f>IF(#REF!&lt;&gt;"",IF(#REF!="A",0,#REF!),"")</f>
        <v>#REF!</v>
      </c>
      <c r="AB19" s="3">
        <f>IF(F19&lt;&gt;"",IF(F19="A",0,F19),"")</f>
        <v>9</v>
      </c>
    </row>
    <row r="20">
      <c r="A20" s="3">
        <f>Theory!A20</f>
        <v>15</v>
      </c>
      <c r="B20" s="3" t="str">
        <f>Theory!B20</f>
        <v>7376231EE116</v>
      </c>
      <c r="C20" s="3" t="str">
        <f>Theory!C20</f>
        <v>GOWTHAM M</v>
      </c>
      <c r="D20" s="3">
        <f>ROUND(F20/2,0)</f>
        <v>6</v>
      </c>
      <c r="E20" s="3">
        <f>F20-D20</f>
        <v>6</v>
      </c>
      <c r="F20" s="3">
        <f>Theory!G20</f>
        <v>12</v>
      </c>
      <c r="X20" s="3" t="e">
        <f>IF(#REF!&lt;&gt;"",IF(#REF!="A",0,#REF!),"")</f>
        <v>#REF!</v>
      </c>
      <c r="Y20" s="3" t="e">
        <f>IF(#REF!&lt;&gt;"",IF(#REF!="A",0,#REF!),"")</f>
        <v>#REF!</v>
      </c>
      <c r="Z20" s="3" t="e">
        <f>IF(#REF!&lt;&gt;"",IF(#REF!="A",0,#REF!),"")</f>
        <v>#REF!</v>
      </c>
      <c r="AB20" s="3">
        <f>IF(F20&lt;&gt;"",IF(F20="A",0,F20),"")</f>
        <v>12</v>
      </c>
    </row>
    <row r="21" ht="15.75" customHeight="1">
      <c r="A21" s="3">
        <f>Theory!A21</f>
        <v>16</v>
      </c>
      <c r="B21" s="3" t="str">
        <f>Theory!B21</f>
        <v>7376231EE117</v>
      </c>
      <c r="C21" s="3" t="str">
        <f>Theory!C21</f>
        <v>GOWTHAM T</v>
      </c>
      <c r="D21" s="3">
        <f>ROUND(F21/2,0)</f>
        <v>8</v>
      </c>
      <c r="E21" s="3">
        <f>F21-D21</f>
        <v>7</v>
      </c>
      <c r="F21" s="3">
        <f>Theory!G21</f>
        <v>15</v>
      </c>
      <c r="X21" s="3" t="e">
        <f>IF(#REF!&lt;&gt;"",IF(#REF!="A",0,#REF!),"")</f>
        <v>#REF!</v>
      </c>
      <c r="Y21" s="3" t="e">
        <f>IF(#REF!&lt;&gt;"",IF(#REF!="A",0,#REF!),"")</f>
        <v>#REF!</v>
      </c>
      <c r="Z21" s="3" t="e">
        <f>IF(#REF!&lt;&gt;"",IF(#REF!="A",0,#REF!),"")</f>
        <v>#REF!</v>
      </c>
      <c r="AB21" s="3">
        <f>IF(F21&lt;&gt;"",IF(F21="A",0,F21),"")</f>
        <v>15</v>
      </c>
    </row>
    <row r="22" ht="15.75" customHeight="1">
      <c r="A22" s="3">
        <f>Theory!A22</f>
        <v>17</v>
      </c>
      <c r="B22" s="3" t="str">
        <f>Theory!B22</f>
        <v>7376231EE118</v>
      </c>
      <c r="C22" s="3" t="str">
        <f>Theory!C22</f>
        <v>HARIKRISHNA N</v>
      </c>
      <c r="D22" s="3">
        <f>ROUND(F22/2,0)</f>
        <v>7</v>
      </c>
      <c r="E22" s="3">
        <f>F22-D22</f>
        <v>7</v>
      </c>
      <c r="F22" s="3">
        <f>Theory!G22</f>
        <v>14</v>
      </c>
      <c r="X22" s="3" t="e">
        <f>IF(#REF!&lt;&gt;"",IF(#REF!="A",0,#REF!),"")</f>
        <v>#REF!</v>
      </c>
      <c r="Y22" s="3" t="e">
        <f>IF(#REF!&lt;&gt;"",IF(#REF!="A",0,#REF!),"")</f>
        <v>#REF!</v>
      </c>
      <c r="Z22" s="3" t="e">
        <f>IF(#REF!&lt;&gt;"",IF(#REF!="A",0,#REF!),"")</f>
        <v>#REF!</v>
      </c>
      <c r="AB22" s="3">
        <f>IF(F22&lt;&gt;"",IF(F22="A",0,F22),"")</f>
        <v>14</v>
      </c>
    </row>
    <row r="23" ht="15.75" customHeight="1">
      <c r="A23" s="3">
        <f>Theory!A23</f>
        <v>18</v>
      </c>
      <c r="B23" s="3" t="str">
        <f>Theory!B23</f>
        <v>7376231EE119</v>
      </c>
      <c r="C23" s="3" t="str">
        <f>Theory!C23</f>
        <v>HARINI K S</v>
      </c>
      <c r="D23" s="3">
        <f>ROUND(F23/2,0)</f>
        <v>7</v>
      </c>
      <c r="E23" s="3">
        <f>F23-D23</f>
        <v>7</v>
      </c>
      <c r="F23" s="3">
        <f>Theory!G23</f>
        <v>14</v>
      </c>
      <c r="X23" s="3" t="e">
        <f>IF(#REF!&lt;&gt;"",IF(#REF!="A",0,#REF!),"")</f>
        <v>#REF!</v>
      </c>
      <c r="Y23" s="3" t="e">
        <f>IF(#REF!&lt;&gt;"",IF(#REF!="A",0,#REF!),"")</f>
        <v>#REF!</v>
      </c>
      <c r="Z23" s="3" t="e">
        <f>IF(#REF!&lt;&gt;"",IF(#REF!="A",0,#REF!),"")</f>
        <v>#REF!</v>
      </c>
      <c r="AB23" s="3">
        <f>IF(F23&lt;&gt;"",IF(F23="A",0,F23),"")</f>
        <v>14</v>
      </c>
    </row>
    <row r="24" ht="15.75" customHeight="1">
      <c r="A24" s="3">
        <f>Theory!A24</f>
        <v>19</v>
      </c>
      <c r="B24" s="3" t="str">
        <f>Theory!B24</f>
        <v>7376231EE120</v>
      </c>
      <c r="C24" s="3" t="str">
        <f>Theory!C24</f>
        <v>JANANI N</v>
      </c>
      <c r="D24" s="3">
        <f>ROUND(F24/2,0)</f>
        <v>8</v>
      </c>
      <c r="E24" s="3">
        <f>F24-D24</f>
        <v>7</v>
      </c>
      <c r="F24" s="3">
        <f>Theory!G24</f>
        <v>15</v>
      </c>
      <c r="X24" s="3" t="e">
        <f>IF(#REF!&lt;&gt;"",IF(#REF!="A",0,#REF!),"")</f>
        <v>#REF!</v>
      </c>
      <c r="Y24" s="3" t="e">
        <f>IF(#REF!&lt;&gt;"",IF(#REF!="A",0,#REF!),"")</f>
        <v>#REF!</v>
      </c>
      <c r="Z24" s="3" t="e">
        <f>IF(#REF!&lt;&gt;"",IF(#REF!="A",0,#REF!),"")</f>
        <v>#REF!</v>
      </c>
      <c r="AB24" s="3">
        <f>IF(F24&lt;&gt;"",IF(F24="A",0,F24),"")</f>
        <v>15</v>
      </c>
    </row>
    <row r="25" ht="15.75" customHeight="1">
      <c r="A25" s="3">
        <f>Theory!A25</f>
        <v>20</v>
      </c>
      <c r="B25" s="3" t="str">
        <f>Theory!B25</f>
        <v>7376231EE121</v>
      </c>
      <c r="C25" s="3" t="str">
        <f>Theory!C25</f>
        <v>JEBASTIN JOSEPH PAUL J</v>
      </c>
      <c r="D25" s="3">
        <f>ROUND(F25/2,0)</f>
        <v>8</v>
      </c>
      <c r="E25" s="3">
        <f>F25-D25</f>
        <v>8</v>
      </c>
      <c r="F25" s="3">
        <f>Theory!G25</f>
        <v>16</v>
      </c>
      <c r="X25" s="3" t="e">
        <f>IF(#REF!&lt;&gt;"",IF(#REF!="A",0,#REF!),"")</f>
        <v>#REF!</v>
      </c>
      <c r="Y25" s="3" t="e">
        <f>IF(#REF!&lt;&gt;"",IF(#REF!="A",0,#REF!),"")</f>
        <v>#REF!</v>
      </c>
      <c r="Z25" s="3" t="e">
        <f>IF(#REF!&lt;&gt;"",IF(#REF!="A",0,#REF!),"")</f>
        <v>#REF!</v>
      </c>
      <c r="AB25" s="3">
        <f>IF(F25&lt;&gt;"",IF(F25="A",0,F25),"")</f>
        <v>16</v>
      </c>
    </row>
    <row r="26" ht="15.75" customHeight="1">
      <c r="A26" s="3">
        <f>Theory!A26</f>
        <v>21</v>
      </c>
      <c r="B26" s="3" t="str">
        <f>Theory!B26</f>
        <v>7376231EE122</v>
      </c>
      <c r="C26" s="3" t="str">
        <f>Theory!C26</f>
        <v>JEEVITHA S</v>
      </c>
      <c r="D26" s="3">
        <f>ROUND(F26/2,0)</f>
        <v>8</v>
      </c>
      <c r="E26" s="3">
        <f>F26-D26</f>
        <v>8</v>
      </c>
      <c r="F26" s="3">
        <f>Theory!G26</f>
        <v>16</v>
      </c>
      <c r="X26" s="3" t="e">
        <f>IF(#REF!&lt;&gt;"",IF(#REF!="A",0,#REF!),"")</f>
        <v>#REF!</v>
      </c>
      <c r="Y26" s="3" t="e">
        <f>IF(#REF!&lt;&gt;"",IF(#REF!="A",0,#REF!),"")</f>
        <v>#REF!</v>
      </c>
      <c r="Z26" s="3" t="e">
        <f>IF(#REF!&lt;&gt;"",IF(#REF!="A",0,#REF!),"")</f>
        <v>#REF!</v>
      </c>
      <c r="AB26" s="3">
        <f>IF(F26&lt;&gt;"",IF(F26="A",0,F26),"")</f>
        <v>16</v>
      </c>
    </row>
    <row r="27" ht="15.75" customHeight="1">
      <c r="A27" s="3">
        <f>Theory!A27</f>
        <v>22</v>
      </c>
      <c r="B27" s="3" t="str">
        <f>Theory!B27</f>
        <v>7376231EE123</v>
      </c>
      <c r="C27" s="3" t="str">
        <f>Theory!C27</f>
        <v>KAMALESH A P</v>
      </c>
      <c r="D27" s="3">
        <f>ROUND(F27/2,0)</f>
        <v>8</v>
      </c>
      <c r="E27" s="3">
        <f>F27-D27</f>
        <v>8</v>
      </c>
      <c r="F27" s="3">
        <f>Theory!G27</f>
        <v>16</v>
      </c>
      <c r="X27" s="3" t="e">
        <f>IF(#REF!&lt;&gt;"",IF(#REF!="A",0,#REF!),"")</f>
        <v>#REF!</v>
      </c>
      <c r="Y27" s="3" t="e">
        <f>IF(#REF!&lt;&gt;"",IF(#REF!="A",0,#REF!),"")</f>
        <v>#REF!</v>
      </c>
      <c r="Z27" s="3" t="e">
        <f>IF(#REF!&lt;&gt;"",IF(#REF!="A",0,#REF!),"")</f>
        <v>#REF!</v>
      </c>
      <c r="AB27" s="3">
        <f>IF(F27&lt;&gt;"",IF(F27="A",0,F27),"")</f>
        <v>16</v>
      </c>
    </row>
    <row r="28" ht="15.75" customHeight="1">
      <c r="A28" s="3">
        <f>Theory!A28</f>
        <v>23</v>
      </c>
      <c r="B28" s="3" t="str">
        <f>Theory!B28</f>
        <v>7376231EE124</v>
      </c>
      <c r="C28" s="3" t="str">
        <f>Theory!C28</f>
        <v>KAMALESH VARMA V G</v>
      </c>
      <c r="D28" s="3">
        <f>ROUND(F28/2,0)</f>
        <v>7</v>
      </c>
      <c r="E28" s="3">
        <f>F28-D28</f>
        <v>7</v>
      </c>
      <c r="F28" s="3">
        <f>Theory!G28</f>
        <v>14</v>
      </c>
      <c r="X28" s="3" t="e">
        <f>IF(#REF!&lt;&gt;"",IF(#REF!="A",0,#REF!),"")</f>
        <v>#REF!</v>
      </c>
      <c r="Y28" s="3" t="e">
        <f>IF(#REF!&lt;&gt;"",IF(#REF!="A",0,#REF!),"")</f>
        <v>#REF!</v>
      </c>
      <c r="Z28" s="3" t="e">
        <f>IF(#REF!&lt;&gt;"",IF(#REF!="A",0,#REF!),"")</f>
        <v>#REF!</v>
      </c>
      <c r="AB28" s="3">
        <f>IF(F28&lt;&gt;"",IF(F28="A",0,F28),"")</f>
        <v>14</v>
      </c>
    </row>
    <row r="29" ht="15.75" customHeight="1">
      <c r="A29" s="3">
        <f>Theory!A29</f>
        <v>24</v>
      </c>
      <c r="B29" s="3" t="str">
        <f>Theory!B29</f>
        <v>7376231EE125</v>
      </c>
      <c r="C29" s="3" t="str">
        <f>Theory!C29</f>
        <v>KATHIR NITHESH R</v>
      </c>
      <c r="D29" s="3">
        <f>ROUND(F29/2,0)</f>
        <v>8</v>
      </c>
      <c r="E29" s="3">
        <f>F29-D29</f>
        <v>7</v>
      </c>
      <c r="F29" s="3">
        <f>Theory!G29</f>
        <v>15</v>
      </c>
      <c r="X29" s="3" t="e">
        <f>IF(#REF!&lt;&gt;"",IF(#REF!="A",0,#REF!),"")</f>
        <v>#REF!</v>
      </c>
      <c r="Y29" s="3" t="e">
        <f>IF(#REF!&lt;&gt;"",IF(#REF!="A",0,#REF!),"")</f>
        <v>#REF!</v>
      </c>
      <c r="Z29" s="3" t="e">
        <f>IF(#REF!&lt;&gt;"",IF(#REF!="A",0,#REF!),"")</f>
        <v>#REF!</v>
      </c>
      <c r="AB29" s="3">
        <f>IF(F29&lt;&gt;"",IF(F29="A",0,F29),"")</f>
        <v>15</v>
      </c>
    </row>
    <row r="30" ht="15.75" customHeight="1">
      <c r="A30" s="3">
        <f>Theory!A30</f>
        <v>25</v>
      </c>
      <c r="B30" s="3" t="str">
        <f>Theory!B30</f>
        <v>7376231EE126</v>
      </c>
      <c r="C30" s="3" t="str">
        <f>Theory!C30</f>
        <v>KAVITHA M</v>
      </c>
      <c r="D30" s="3">
        <f>ROUND(F30/2,0)</f>
        <v>8</v>
      </c>
      <c r="E30" s="3">
        <f>F30-D30</f>
        <v>7</v>
      </c>
      <c r="F30" s="3">
        <f>Theory!G30</f>
        <v>15</v>
      </c>
    </row>
    <row r="31" ht="15.75" customHeight="1">
      <c r="A31" s="3">
        <f>Theory!A31</f>
        <v>26</v>
      </c>
      <c r="B31" s="3" t="str">
        <f>Theory!B31</f>
        <v>7376231EE127</v>
      </c>
      <c r="C31" s="3" t="str">
        <f>Theory!C31</f>
        <v>KAVIYARASU V K</v>
      </c>
      <c r="D31" s="3">
        <f>ROUND(F31/2,0)</f>
        <v>7</v>
      </c>
      <c r="E31" s="3">
        <f>F31-D31</f>
        <v>7</v>
      </c>
      <c r="F31" s="3">
        <f>Theory!G31</f>
        <v>14</v>
      </c>
    </row>
    <row r="32" ht="15.75" customHeight="1">
      <c r="A32" s="3">
        <f>Theory!A32</f>
        <v>27</v>
      </c>
      <c r="B32" s="3" t="str">
        <f>Theory!B32</f>
        <v>7376231EE128</v>
      </c>
      <c r="C32" s="3" t="str">
        <f>Theory!C32</f>
        <v>KEERTHISANKAR S</v>
      </c>
      <c r="D32" s="3">
        <f>ROUND(F32/2,0)</f>
        <v>5</v>
      </c>
      <c r="E32" s="3">
        <f>F32-D32</f>
        <v>5</v>
      </c>
      <c r="F32" s="3">
        <f>Theory!G32</f>
        <v>10</v>
      </c>
    </row>
    <row r="33" ht="15.75" customHeight="1">
      <c r="A33" s="3">
        <f>Theory!A33</f>
        <v>28</v>
      </c>
      <c r="B33" s="3" t="str">
        <f>Theory!B33</f>
        <v>7376231EE129</v>
      </c>
      <c r="C33" s="3" t="str">
        <f>Theory!C33</f>
        <v>KEERTHIVASAN S</v>
      </c>
      <c r="D33" s="3">
        <f>ROUND(F33/2,0)</f>
        <v>7</v>
      </c>
      <c r="E33" s="3">
        <f>F33-D33</f>
        <v>7</v>
      </c>
      <c r="F33" s="3">
        <f>Theory!G33</f>
        <v>14</v>
      </c>
    </row>
    <row r="34" ht="15.75" customHeight="1">
      <c r="A34" s="3">
        <f>Theory!A34</f>
        <v>29</v>
      </c>
      <c r="B34" s="3" t="str">
        <f>Theory!B34</f>
        <v>7376231EE130</v>
      </c>
      <c r="C34" s="3" t="str">
        <f>Theory!C34</f>
        <v>KHAJA PARVEZ T</v>
      </c>
      <c r="D34" s="3">
        <f>ROUND(F34/2,0)</f>
        <v>7</v>
      </c>
      <c r="E34" s="3">
        <f>F34-D34</f>
        <v>7</v>
      </c>
      <c r="F34" s="3">
        <f>Theory!G34</f>
        <v>14</v>
      </c>
    </row>
    <row r="35" ht="15.75" customHeight="1">
      <c r="A35" s="3">
        <f>Theory!A35</f>
        <v>30</v>
      </c>
      <c r="B35" s="3" t="str">
        <f>Theory!B35</f>
        <v>7376231EE131</v>
      </c>
      <c r="C35" s="3" t="str">
        <f>Theory!C35</f>
        <v>KIRUBA O C</v>
      </c>
      <c r="D35" s="3">
        <f>ROUND(F35/2,0)</f>
        <v>7</v>
      </c>
      <c r="E35" s="3">
        <f>F35-D35</f>
        <v>7</v>
      </c>
      <c r="F35" s="3">
        <f>Theory!G35</f>
        <v>14</v>
      </c>
    </row>
    <row r="36" ht="15.75" customHeight="1">
      <c r="A36" s="3">
        <f>Theory!A36</f>
        <v>31</v>
      </c>
      <c r="B36" s="3" t="str">
        <f>Theory!B36</f>
        <v>7376231EE132</v>
      </c>
      <c r="C36" s="3" t="str">
        <f>Theory!C36</f>
        <v>KOWSHIK ARAVIND K S P</v>
      </c>
      <c r="D36" s="3">
        <f>ROUND(F36/2,0)</f>
        <v>8</v>
      </c>
      <c r="E36" s="3">
        <f>F36-D36</f>
        <v>8</v>
      </c>
      <c r="F36" s="3">
        <f>Theory!G36</f>
        <v>16</v>
      </c>
    </row>
    <row r="37" ht="15.75" customHeight="1">
      <c r="A37" s="3">
        <f>Theory!A37</f>
        <v>32</v>
      </c>
      <c r="B37" s="3" t="str">
        <f>Theory!B37</f>
        <v>7376231EE133</v>
      </c>
      <c r="C37" s="3" t="str">
        <f>Theory!C37</f>
        <v>MANEESH D</v>
      </c>
      <c r="D37" s="3">
        <f>ROUND(F37/2,0)</f>
        <v>6</v>
      </c>
      <c r="E37" s="3">
        <f>F37-D37</f>
        <v>6</v>
      </c>
      <c r="F37" s="3">
        <f>Theory!G37</f>
        <v>12</v>
      </c>
    </row>
    <row r="38" ht="15.75" customHeight="1">
      <c r="A38" s="3">
        <f>Theory!A38</f>
        <v>33</v>
      </c>
      <c r="B38" s="3" t="str">
        <f>Theory!B38</f>
        <v>7376231EE134</v>
      </c>
      <c r="C38" s="3" t="str">
        <f>Theory!C38</f>
        <v>MATHIYARASI K</v>
      </c>
      <c r="D38" s="3">
        <f>ROUND(F38/2,0)</f>
        <v>8</v>
      </c>
      <c r="E38" s="3">
        <f>F38-D38</f>
        <v>7</v>
      </c>
      <c r="F38" s="3">
        <f>Theory!G38</f>
        <v>15</v>
      </c>
    </row>
    <row r="39" ht="15.75" customHeight="1">
      <c r="A39" s="3">
        <f>Theory!A39</f>
        <v>34</v>
      </c>
      <c r="B39" s="3" t="str">
        <f>Theory!B39</f>
        <v>7376231EE135</v>
      </c>
      <c r="C39" s="3" t="str">
        <f>Theory!C39</f>
        <v>MAURYA A S</v>
      </c>
      <c r="D39" s="3">
        <f>ROUND(F39/2,0)</f>
        <v>8</v>
      </c>
      <c r="E39" s="3">
        <f>F39-D39</f>
        <v>8</v>
      </c>
      <c r="F39" s="3">
        <f>Theory!G39</f>
        <v>16</v>
      </c>
    </row>
    <row r="40" ht="15.75" customHeight="1">
      <c r="A40" s="3">
        <f>Theory!A40</f>
        <v>35</v>
      </c>
      <c r="B40" s="3" t="str">
        <f>Theory!B40</f>
        <v>7376231EE136</v>
      </c>
      <c r="C40" s="3" t="str">
        <f>Theory!C40</f>
        <v>MITHUN P P</v>
      </c>
      <c r="D40" s="3">
        <f>ROUND(F40/2,0)</f>
        <v>8</v>
      </c>
      <c r="E40" s="3">
        <f>F40-D40</f>
        <v>7</v>
      </c>
      <c r="F40" s="3">
        <f>Theory!G40</f>
        <v>15</v>
      </c>
    </row>
    <row r="41" ht="15.75" customHeight="1">
      <c r="A41" s="3">
        <f>Theory!A41</f>
        <v>36</v>
      </c>
      <c r="B41" s="3" t="str">
        <f>Theory!B41</f>
        <v>7376231EE137</v>
      </c>
      <c r="C41" s="3" t="str">
        <f>Theory!C41</f>
        <v>MOHAN PRASANTH N</v>
      </c>
      <c r="D41" s="3">
        <f>ROUND(F41/2,0)</f>
        <v>8</v>
      </c>
      <c r="E41" s="3">
        <f>F41-D41</f>
        <v>8</v>
      </c>
      <c r="F41" s="3">
        <f>Theory!G41</f>
        <v>16</v>
      </c>
    </row>
    <row r="42" ht="15.75" customHeight="1">
      <c r="A42" s="3">
        <f>Theory!A42</f>
        <v>37</v>
      </c>
      <c r="B42" s="3" t="str">
        <f>Theory!B42</f>
        <v>7376231EE138</v>
      </c>
      <c r="C42" s="3" t="str">
        <f>Theory!C42</f>
        <v>MONIKA S</v>
      </c>
      <c r="D42" s="3">
        <f>ROUND(F42/2,0)</f>
        <v>8</v>
      </c>
      <c r="E42" s="3">
        <f>F42-D42</f>
        <v>7</v>
      </c>
      <c r="F42" s="3">
        <f>Theory!G42</f>
        <v>15</v>
      </c>
    </row>
    <row r="43" ht="15.75" customHeight="1">
      <c r="A43" s="3">
        <f>Theory!A43</f>
        <v>38</v>
      </c>
      <c r="B43" s="3" t="str">
        <f>Theory!B43</f>
        <v>7376231EE139</v>
      </c>
      <c r="C43" s="3" t="str">
        <f>Theory!C43</f>
        <v>MONISHWARAN R</v>
      </c>
      <c r="D43" s="3">
        <f>ROUND(F43/2,0)</f>
        <v>8</v>
      </c>
      <c r="E43" s="3">
        <f>F43-D43</f>
        <v>8</v>
      </c>
      <c r="F43" s="3">
        <f>Theory!G43</f>
        <v>16</v>
      </c>
    </row>
    <row r="44" ht="15.75" customHeight="1">
      <c r="A44" s="3">
        <f>Theory!A44</f>
        <v>39</v>
      </c>
      <c r="B44" s="3" t="str">
        <f>Theory!B44</f>
        <v>7376231EE140</v>
      </c>
      <c r="C44" s="3" t="str">
        <f>Theory!C44</f>
        <v>NIKILESHKUMAR S</v>
      </c>
      <c r="D44" s="3">
        <f>ROUND(F44/2,0)</f>
        <v>7</v>
      </c>
      <c r="E44" s="3">
        <f>F44-D44</f>
        <v>7</v>
      </c>
      <c r="F44" s="3">
        <f>Theory!G44</f>
        <v>14</v>
      </c>
    </row>
    <row r="45" ht="15.75" customHeight="1">
      <c r="A45" s="3">
        <f>Theory!A45</f>
        <v>40</v>
      </c>
      <c r="B45" s="3" t="str">
        <f>Theory!B45</f>
        <v>7376231EE141</v>
      </c>
      <c r="C45" s="3" t="str">
        <f>Theory!C45</f>
        <v>NITHYA SHREE K A</v>
      </c>
      <c r="D45" s="3">
        <f>ROUND(F45/2,0)</f>
        <v>8</v>
      </c>
      <c r="E45" s="3">
        <f>F45-D45</f>
        <v>7</v>
      </c>
      <c r="F45" s="3">
        <f>Theory!G45</f>
        <v>15</v>
      </c>
    </row>
    <row r="46" ht="15.75" customHeight="1">
      <c r="A46" s="3">
        <f>Theory!A46</f>
        <v>41</v>
      </c>
      <c r="B46" s="3" t="str">
        <f>Theory!B46</f>
        <v>7376231EE142</v>
      </c>
      <c r="C46" s="3" t="str">
        <f>Theory!C46</f>
        <v>PRANAV T S S</v>
      </c>
      <c r="D46" s="3">
        <f>ROUND(F46/2,0)</f>
        <v>8</v>
      </c>
      <c r="E46" s="3">
        <f>F46-D46</f>
        <v>8</v>
      </c>
      <c r="F46" s="3">
        <f>Theory!G46</f>
        <v>16</v>
      </c>
    </row>
    <row r="47" ht="15.75" customHeight="1">
      <c r="A47" s="3">
        <f>Theory!A47</f>
        <v>42</v>
      </c>
      <c r="B47" s="3" t="str">
        <f>Theory!B47</f>
        <v>7376231EE143</v>
      </c>
      <c r="C47" s="3" t="str">
        <f>Theory!C47</f>
        <v>PRAVIN RAJ P</v>
      </c>
      <c r="D47" s="3">
        <f>ROUND(F47/2,0)</f>
        <v>7</v>
      </c>
      <c r="E47" s="3">
        <f>F47-D47</f>
        <v>6</v>
      </c>
      <c r="F47" s="3">
        <f>Theory!G47</f>
        <v>13</v>
      </c>
    </row>
    <row r="48" ht="15.75" customHeight="1">
      <c r="A48" s="3">
        <f>Theory!A48</f>
        <v>43</v>
      </c>
      <c r="B48" s="3" t="str">
        <f>Theory!B48</f>
        <v>7376231EE144</v>
      </c>
      <c r="C48" s="3" t="str">
        <f>Theory!C48</f>
        <v>PUNITHA S</v>
      </c>
      <c r="D48" s="3">
        <f>ROUND(F48/2,0)</f>
        <v>7</v>
      </c>
      <c r="E48" s="3">
        <f>F48-D48</f>
        <v>7</v>
      </c>
      <c r="F48" s="3">
        <f>Theory!G48</f>
        <v>14</v>
      </c>
    </row>
    <row r="49" ht="15.75" customHeight="1">
      <c r="A49" s="3">
        <f>Theory!A49</f>
        <v>44</v>
      </c>
      <c r="B49" s="3" t="str">
        <f>Theory!B49</f>
        <v>7376231EE145</v>
      </c>
      <c r="C49" s="3" t="str">
        <f>Theory!C49</f>
        <v>RAGUPATHI M</v>
      </c>
      <c r="D49" s="3">
        <f>ROUND(F49/2,0)</f>
        <v>8</v>
      </c>
      <c r="E49" s="3">
        <f>F49-D49</f>
        <v>7</v>
      </c>
      <c r="F49" s="3">
        <f>Theory!G49</f>
        <v>15</v>
      </c>
    </row>
    <row r="50" ht="15.75" customHeight="1">
      <c r="A50" s="3">
        <f>Theory!A50</f>
        <v>45</v>
      </c>
      <c r="B50" s="3" t="str">
        <f>Theory!B50</f>
        <v>7376231EE146</v>
      </c>
      <c r="C50" s="3" t="str">
        <f>Theory!C50</f>
        <v>RAJA PRADEEPA R</v>
      </c>
      <c r="D50" s="3">
        <f>ROUND(F50/2,0)</f>
        <v>8</v>
      </c>
      <c r="E50" s="3">
        <f>F50-D50</f>
        <v>8</v>
      </c>
      <c r="F50" s="3">
        <f>Theory!G50</f>
        <v>16</v>
      </c>
    </row>
    <row r="51" ht="15.75" customHeight="1">
      <c r="A51" s="3">
        <f>Theory!A51</f>
        <v>46</v>
      </c>
      <c r="B51" s="3" t="str">
        <f>Theory!B51</f>
        <v>7376231EE147</v>
      </c>
      <c r="C51" s="3" t="str">
        <f>Theory!C51</f>
        <v>ROHITH M</v>
      </c>
      <c r="D51" s="3">
        <f>ROUND(F51/2,0)</f>
        <v>7</v>
      </c>
      <c r="E51" s="3">
        <f>F51-D51</f>
        <v>7</v>
      </c>
      <c r="F51" s="3">
        <f>Theory!G51</f>
        <v>14</v>
      </c>
    </row>
    <row r="52" ht="15.75" customHeight="1">
      <c r="A52" s="3">
        <f>Theory!A52</f>
        <v>47</v>
      </c>
      <c r="B52" s="3" t="str">
        <f>Theory!B52</f>
        <v>7376231EE148</v>
      </c>
      <c r="C52" s="3" t="str">
        <f>Theory!C52</f>
        <v>SANTHIYA V</v>
      </c>
      <c r="D52" s="3">
        <f>ROUND(F52/2,0)</f>
        <v>8</v>
      </c>
      <c r="E52" s="3">
        <f>F52-D52</f>
        <v>7</v>
      </c>
      <c r="F52" s="3">
        <f>Theory!G52</f>
        <v>15</v>
      </c>
    </row>
    <row r="53" ht="15.75" customHeight="1">
      <c r="A53" s="3">
        <f>Theory!A53</f>
        <v>48</v>
      </c>
      <c r="B53" s="3" t="str">
        <f>Theory!B53</f>
        <v>7376231EE149</v>
      </c>
      <c r="C53" s="3" t="str">
        <f>Theory!C53</f>
        <v>SANTHOSH V</v>
      </c>
      <c r="D53" s="3">
        <f>ROUND(F53/2,0)</f>
        <v>5</v>
      </c>
      <c r="E53" s="3">
        <f>F53-D53</f>
        <v>4</v>
      </c>
      <c r="F53" s="3">
        <f>Theory!G53</f>
        <v>9</v>
      </c>
    </row>
    <row r="54" ht="15.75" customHeight="1">
      <c r="A54" s="3">
        <f>Theory!A54</f>
        <v>49</v>
      </c>
      <c r="B54" s="3" t="str">
        <f>Theory!B54</f>
        <v>7376231EE150</v>
      </c>
      <c r="C54" s="3" t="str">
        <f>Theory!C54</f>
        <v>SARAN R</v>
      </c>
      <c r="D54" s="3">
        <f>ROUND(F54/2,0)</f>
        <v>5</v>
      </c>
      <c r="E54" s="3">
        <f>F54-D54</f>
        <v>4</v>
      </c>
      <c r="F54" s="3">
        <f>Theory!G54</f>
        <v>9</v>
      </c>
    </row>
    <row r="55" ht="15.75" customHeight="1">
      <c r="A55" s="3">
        <f>Theory!A55</f>
        <v>50</v>
      </c>
      <c r="B55" s="3" t="str">
        <f>Theory!B55</f>
        <v>7376231EE151</v>
      </c>
      <c r="C55" s="3" t="str">
        <f>Theory!C55</f>
        <v>SARVESH K</v>
      </c>
      <c r="D55" s="3">
        <f>ROUND(F55/2,0)</f>
        <v>4</v>
      </c>
      <c r="E55" s="3">
        <f>F55-D55</f>
        <v>4</v>
      </c>
      <c r="F55" s="3">
        <f>Theory!G55</f>
        <v>8</v>
      </c>
    </row>
    <row r="56" ht="15.75" customHeight="1">
      <c r="A56" s="3">
        <f>Theory!A56</f>
        <v>51</v>
      </c>
      <c r="B56" s="3" t="str">
        <f>Theory!B56</f>
        <v>7376231EE152</v>
      </c>
      <c r="C56" s="3" t="str">
        <f>Theory!C56</f>
        <v>SHREE SUBI G</v>
      </c>
      <c r="D56" s="3">
        <f>ROUND(F56/2,0)</f>
        <v>8</v>
      </c>
      <c r="E56" s="3">
        <f>F56-D56</f>
        <v>7</v>
      </c>
      <c r="F56" s="3">
        <f>Theory!G56</f>
        <v>15</v>
      </c>
    </row>
    <row r="57" ht="15.75" customHeight="1">
      <c r="A57" s="3">
        <f>Theory!A57</f>
        <v>52</v>
      </c>
      <c r="B57" s="3" t="str">
        <f>Theory!B57</f>
        <v>7376231EE153</v>
      </c>
      <c r="C57" s="3" t="str">
        <f>Theory!C57</f>
        <v>SIVA P</v>
      </c>
      <c r="D57" s="3">
        <f>ROUND(F57/2,0)</f>
        <v>7</v>
      </c>
      <c r="E57" s="3">
        <f>F57-D57</f>
        <v>7</v>
      </c>
      <c r="F57" s="3">
        <f>Theory!G57</f>
        <v>14</v>
      </c>
    </row>
    <row r="58" ht="15.75" customHeight="1">
      <c r="A58" s="3">
        <f>Theory!A58</f>
        <v>53</v>
      </c>
      <c r="B58" s="3" t="str">
        <f>Theory!B58</f>
        <v>7376231EE154</v>
      </c>
      <c r="C58" s="3" t="str">
        <f>Theory!C58</f>
        <v>SOWKANDHIKA M</v>
      </c>
      <c r="D58" s="3">
        <f>ROUND(F58/2,0)</f>
        <v>8</v>
      </c>
      <c r="E58" s="3">
        <f>F58-D58</f>
        <v>7</v>
      </c>
      <c r="F58" s="3">
        <f>Theory!G58</f>
        <v>15</v>
      </c>
    </row>
    <row r="59" ht="15.75" customHeight="1">
      <c r="A59" s="3">
        <f>Theory!A59</f>
        <v>54</v>
      </c>
      <c r="B59" s="3" t="str">
        <f>Theory!B59</f>
        <v>7376231EE155</v>
      </c>
      <c r="C59" s="3" t="str">
        <f>Theory!C59</f>
        <v>SRI BALAJI S</v>
      </c>
      <c r="D59" s="3">
        <f>ROUND(F59/2,0)</f>
        <v>7</v>
      </c>
      <c r="E59" s="3">
        <f>F59-D59</f>
        <v>6</v>
      </c>
      <c r="F59" s="3">
        <f>Theory!G59</f>
        <v>13</v>
      </c>
    </row>
    <row r="60" ht="15.75" customHeight="1">
      <c r="A60" s="3">
        <f>Theory!A60</f>
        <v>55</v>
      </c>
      <c r="B60" s="3" t="str">
        <f>Theory!B60</f>
        <v>7376231EE156</v>
      </c>
      <c r="C60" s="3" t="str">
        <f>Theory!C60</f>
        <v>SUBASRI N</v>
      </c>
      <c r="D60" s="3">
        <f>ROUND(F60/2,0)</f>
        <v>8</v>
      </c>
      <c r="E60" s="3">
        <f>F60-D60</f>
        <v>8</v>
      </c>
      <c r="F60" s="3">
        <f>Theory!G60</f>
        <v>16</v>
      </c>
    </row>
    <row r="61" ht="15.75" customHeight="1">
      <c r="A61" s="3">
        <f>Theory!A61</f>
        <v>56</v>
      </c>
      <c r="B61" s="3" t="str">
        <f>Theory!B61</f>
        <v>7376231EE157</v>
      </c>
      <c r="C61" s="3" t="str">
        <f>Theory!C61</f>
        <v>THARUNYA S T</v>
      </c>
      <c r="D61" s="3">
        <f>ROUND(F61/2,0)</f>
        <v>8</v>
      </c>
      <c r="E61" s="3">
        <f>F61-D61</f>
        <v>8</v>
      </c>
      <c r="F61" s="3">
        <f>Theory!G61</f>
        <v>16</v>
      </c>
    </row>
    <row r="62" ht="15.75" customHeight="1">
      <c r="A62" s="3">
        <f>Theory!A62</f>
        <v>57</v>
      </c>
      <c r="B62" s="3" t="str">
        <f>Theory!B62</f>
        <v>7376231EE158</v>
      </c>
      <c r="C62" s="3" t="str">
        <f>Theory!C62</f>
        <v>VEDARISHABAA J</v>
      </c>
      <c r="D62" s="3">
        <f>ROUND(F62/2,0)</f>
        <v>6</v>
      </c>
      <c r="E62" s="3">
        <f>F62-D62</f>
        <v>6</v>
      </c>
      <c r="F62" s="3">
        <f>Theory!G62</f>
        <v>12</v>
      </c>
    </row>
    <row r="63" ht="15.75" customHeight="1">
      <c r="A63" s="3">
        <f>Theory!A63</f>
        <v>58</v>
      </c>
      <c r="B63" s="3" t="str">
        <f>Theory!B63</f>
        <v>7376231EE159</v>
      </c>
      <c r="C63" s="3" t="str">
        <f>Theory!C63</f>
        <v>VISHNU V</v>
      </c>
      <c r="D63" s="3">
        <f>ROUND(F63/2,0)</f>
        <v>6</v>
      </c>
      <c r="E63" s="3">
        <f>F63-D63</f>
        <v>5</v>
      </c>
      <c r="F63" s="3">
        <f>Theory!G63</f>
        <v>11</v>
      </c>
    </row>
    <row r="64" ht="15.75" customHeight="1">
      <c r="A64" s="3">
        <f>Theory!A64</f>
        <v>59</v>
      </c>
      <c r="B64" s="3" t="str">
        <f>Theory!B64</f>
        <v>7376231EE160</v>
      </c>
      <c r="C64" s="3" t="str">
        <f>Theory!C64</f>
        <v>VISHNUTHARAN K</v>
      </c>
      <c r="D64" s="3">
        <f>ROUND(F64/2,0)</f>
        <v>6</v>
      </c>
      <c r="E64" s="3">
        <f>F64-D64</f>
        <v>5</v>
      </c>
      <c r="F64" s="3">
        <f>Theory!G64</f>
        <v>11</v>
      </c>
    </row>
    <row r="65" ht="15.75" customHeight="1">
      <c r="A65" s="3">
        <f>Theory!A65</f>
        <v>60</v>
      </c>
      <c r="B65" s="3" t="str">
        <f>Theory!B65</f>
        <v>7376231EE161</v>
      </c>
      <c r="C65" s="3" t="str">
        <f>Theory!C65</f>
        <v>YUVASHRI J</v>
      </c>
      <c r="D65" s="3">
        <f>ROUND(F65/2,0)</f>
        <v>7</v>
      </c>
      <c r="E65" s="3">
        <f>F65-D65</f>
        <v>7</v>
      </c>
      <c r="F65" s="3">
        <f>Theory!G65</f>
        <v>14</v>
      </c>
    </row>
    <row r="66" ht="15.75" customHeight="1">
      <c r="A66" s="3">
        <f>Theory!A66</f>
        <v>61</v>
      </c>
      <c r="B66" s="3" t="str">
        <f>Theory!B66</f>
        <v>7376241EE501</v>
      </c>
      <c r="C66" s="3" t="str">
        <f>Theory!C66</f>
        <v>JEEVA PRAKASH S</v>
      </c>
      <c r="D66" s="3">
        <f>ROUND(F66/2,0)</f>
        <v>6</v>
      </c>
      <c r="E66" s="3">
        <f>F66-D66</f>
        <v>6</v>
      </c>
      <c r="F66" s="3">
        <f>Theory!G66</f>
        <v>12</v>
      </c>
    </row>
    <row r="67" ht="15.75" customHeight="1">
      <c r="A67" s="3">
        <f>Theory!A67</f>
        <v>62</v>
      </c>
      <c r="B67" s="3" t="str">
        <f>Theory!B67</f>
        <v>7376241EE502</v>
      </c>
      <c r="C67" s="3" t="str">
        <f>Theory!C67</f>
        <v>KANISHK S J</v>
      </c>
      <c r="D67" s="3">
        <f>ROUND(F67/2,0)</f>
        <v>4</v>
      </c>
      <c r="E67" s="3">
        <f>F67-D67</f>
        <v>3</v>
      </c>
      <c r="F67" s="3">
        <f>Theory!G67</f>
        <v>7</v>
      </c>
    </row>
    <row r="68" ht="15.75" customHeight="1">
      <c r="A68" s="3">
        <f>Theory!A68</f>
        <v>63</v>
      </c>
      <c r="B68" s="3" t="str">
        <f>Theory!B68</f>
        <v>7376241EE503</v>
      </c>
      <c r="C68" s="3" t="str">
        <f>Theory!C68</f>
        <v>RANJITH R</v>
      </c>
      <c r="D68" s="3">
        <f>ROUND(F68/2,0)</f>
        <v>5</v>
      </c>
      <c r="E68" s="3">
        <f>F68-D68</f>
        <v>4</v>
      </c>
      <c r="F68" s="3">
        <f>Theory!G68</f>
        <v>9</v>
      </c>
    </row>
    <row r="69" ht="15.75" customHeight="1">
      <c r="A69" s="3">
        <f>Theory!A69</f>
        <v>64</v>
      </c>
      <c r="B69" s="3" t="str">
        <f>Theory!B69</f>
        <v>7376241EE504</v>
      </c>
      <c r="C69" s="3" t="str">
        <f>Theory!C69</f>
        <v>SELVA LATHISH S</v>
      </c>
      <c r="D69" s="3">
        <f>ROUND(F69/2,0)</f>
        <v>7</v>
      </c>
      <c r="E69" s="3">
        <f>F69-D69</f>
        <v>6</v>
      </c>
      <c r="F69" s="3">
        <f>Theory!G69</f>
        <v>13</v>
      </c>
    </row>
    <row r="70" ht="15.75" customHeight="1">
      <c r="A70" s="3">
        <f>Theory!A70</f>
        <v>65</v>
      </c>
      <c r="B70" s="3" t="str">
        <f>Theory!B70</f>
        <v>7376241EE505</v>
      </c>
      <c r="C70" s="3" t="str">
        <f>Theory!C70</f>
        <v>VASUKI A S</v>
      </c>
      <c r="D70" s="3">
        <f>ROUND(F70/2,0)</f>
        <v>6</v>
      </c>
      <c r="E70" s="3">
        <f>F70-D70</f>
        <v>5</v>
      </c>
      <c r="F70" s="3">
        <f>Theory!G70</f>
        <v>11</v>
      </c>
    </row>
    <row r="71" ht="15.75" customHeight="1">
      <c r="A71" s="3">
        <f>Theory!A71</f>
        <v>66</v>
      </c>
      <c r="B71" s="3" t="str">
        <f>Theory!B71</f>
        <v>7376241EE506</v>
      </c>
      <c r="C71" s="3" t="str">
        <f>Theory!C71</f>
        <v>VELU PRABHAKARAN M</v>
      </c>
      <c r="D71" s="3">
        <f>ROUND(F71/2,0)</f>
        <v>7</v>
      </c>
      <c r="E71" s="3">
        <f>F71-D71</f>
        <v>7</v>
      </c>
      <c r="F71" s="3">
        <f>Theory!G71</f>
        <v>14</v>
      </c>
    </row>
    <row r="72" hidden="1" ht="15.75" customHeight="1"/>
    <row r="73" hidden="1" ht="15.75" customHeight="1"/>
    <row r="74" hidden="1" ht="15.75" customHeight="1"/>
    <row r="75" hidden="1" ht="15.75" customHeight="1"/>
    <row r="76" hidden="1" ht="15.75" customHeight="1"/>
    <row r="77" hidden="1" ht="15.75" customHeight="1"/>
    <row r="78" hidden="1" ht="15.75" customHeight="1"/>
    <row r="79" hidden="1" ht="15.75" customHeight="1"/>
    <row r="80" hidden="1" ht="15.75" customHeight="1"/>
    <row r="81" hidden="1" ht="15.75" customHeight="1"/>
    <row r="82" hidden="1" ht="15.75" customHeight="1"/>
    <row r="83" hidden="1" ht="15.75" customHeight="1"/>
    <row r="84" hidden="1" ht="15.75" customHeight="1"/>
    <row r="85" hidden="1" ht="15.75" customHeight="1"/>
    <row r="86" hidden="1" ht="15.75" customHeight="1"/>
    <row r="87" hidden="1" ht="15.75" customHeight="1"/>
    <row r="88" hidden="1" ht="15.75" customHeight="1"/>
    <row r="89" hidden="1" ht="15.75" customHeight="1"/>
    <row r="90" hidden="1" ht="15.75" customHeight="1"/>
    <row r="91" hidden="1" ht="15.75" customHeight="1"/>
    <row r="92" hidden="1" ht="15.75" customHeight="1"/>
    <row r="93" hidden="1" ht="15.75" customHeight="1"/>
    <row r="94" hidden="1" ht="15.75" customHeight="1"/>
    <row r="95" hidden="1" ht="15.75" customHeight="1"/>
    <row r="96" hidden="1" ht="15.75" customHeight="1"/>
    <row r="97" hidden="1" ht="15.75" customHeight="1"/>
    <row r="98" hidden="1" ht="15.75" customHeight="1"/>
    <row r="99" hidden="1" ht="15.75" customHeight="1"/>
    <row r="100" hidden="1" ht="15.75" customHeight="1"/>
    <row r="101" hidden="1" ht="15.75" customHeight="1"/>
    <row r="102" hidden="1" ht="15.75" customHeight="1"/>
    <row r="103" hidden="1" ht="15.75" customHeight="1"/>
    <row r="104" hidden="1" ht="15.75" customHeight="1"/>
    <row r="105" hidden="1" ht="15.75" customHeight="1"/>
    <row r="106" hidden="1" ht="15.75" customHeight="1"/>
    <row r="107" hidden="1" ht="15.75" customHeight="1"/>
    <row r="108" hidden="1" ht="15.75" customHeight="1"/>
    <row r="109" hidden="1" ht="15.75" customHeight="1"/>
    <row r="110" hidden="1" ht="15.75" customHeight="1"/>
    <row r="111" hidden="1" ht="15.75" customHeight="1"/>
    <row r="112" hidden="1" ht="15.75" customHeight="1"/>
    <row r="113" hidden="1" ht="15.75" customHeight="1"/>
    <row r="114" hidden="1" ht="15.75" customHeight="1"/>
    <row r="115" hidden="1" ht="15.75" customHeight="1"/>
    <row r="116" hidden="1" ht="15.75" customHeight="1"/>
    <row r="117" hidden="1" ht="15.75" customHeight="1"/>
    <row r="118" hidden="1" ht="15.75" customHeight="1"/>
    <row r="119" hidden="1" ht="15.75" customHeight="1"/>
    <row r="120" hidden="1" ht="15.75" customHeight="1"/>
    <row r="121" hidden="1" ht="15.75" customHeight="1"/>
    <row r="122" hidden="1" ht="15.75" customHeight="1"/>
    <row r="123" hidden="1" ht="15.75" customHeight="1"/>
    <row r="124" hidden="1" ht="15.75" customHeight="1"/>
    <row r="125" hidden="1" ht="15.75" customHeight="1"/>
    <row r="126" hidden="1" ht="15.75" customHeight="1"/>
    <row r="127" hidden="1" ht="15.75" customHeight="1"/>
    <row r="128" hidden="1" ht="15.75" customHeight="1"/>
    <row r="129" hidden="1" ht="15.75" customHeight="1"/>
    <row r="130" hidden="1" ht="15.75" customHeight="1"/>
    <row r="131" hidden="1" ht="15.75" customHeight="1"/>
    <row r="132" hidden="1" ht="15.75" customHeight="1"/>
    <row r="133" hidden="1" ht="15.75" customHeight="1"/>
    <row r="134" hidden="1" ht="15.75" customHeight="1"/>
    <row r="135" hidden="1" ht="15.75" customHeight="1"/>
    <row r="136" hidden="1" ht="15.75" customHeight="1"/>
    <row r="137" hidden="1" ht="15.75" customHeight="1"/>
    <row r="138" hidden="1" ht="15.75" customHeight="1"/>
    <row r="139" hidden="1" ht="15.75" customHeight="1"/>
    <row r="140" hidden="1" ht="15.75" customHeight="1"/>
    <row r="141" hidden="1" ht="15.75" customHeight="1"/>
    <row r="142" hidden="1" ht="15.75" customHeight="1"/>
    <row r="143" hidden="1" ht="15.75" customHeight="1"/>
    <row r="144" hidden="1" ht="15.75" customHeight="1"/>
    <row r="145" hidden="1" ht="15.75" customHeight="1"/>
    <row r="146" hidden="1" ht="15.75" customHeight="1"/>
    <row r="147" hidden="1" ht="15.75" customHeight="1"/>
    <row r="148" hidden="1" ht="15.75" customHeight="1"/>
    <row r="149" hidden="1" ht="15.75" customHeight="1"/>
    <row r="150" hidden="1" ht="15.75" customHeight="1"/>
    <row r="151" hidden="1" ht="15.75" customHeight="1"/>
    <row r="152" hidden="1" ht="15.75" customHeight="1"/>
    <row r="153" hidden="1" ht="15.75" customHeight="1"/>
    <row r="154" hidden="1" ht="15.75" customHeight="1"/>
    <row r="155" hidden="1" ht="15.75" customHeight="1"/>
    <row r="156" hidden="1" ht="15.75" customHeight="1"/>
    <row r="157" hidden="1" ht="15.75" customHeight="1"/>
    <row r="158" hidden="1" ht="15.75" customHeight="1"/>
    <row r="159" hidden="1" ht="15.75" customHeight="1"/>
    <row r="160" hidden="1" ht="15.75" customHeight="1"/>
    <row r="161" hidden="1" ht="15.75" customHeight="1"/>
    <row r="162" hidden="1" ht="15.75" customHeight="1"/>
    <row r="163" hidden="1" ht="15.75" customHeight="1"/>
    <row r="164" hidden="1" ht="15.75" customHeight="1"/>
    <row r="165" hidden="1" ht="15.75" customHeight="1"/>
    <row r="166" hidden="1" ht="15.75" customHeight="1"/>
    <row r="167" hidden="1" ht="15.75" customHeight="1"/>
    <row r="168" hidden="1" ht="15.75" customHeight="1"/>
    <row r="169" hidden="1" ht="15.75" customHeight="1"/>
    <row r="170" hidden="1" ht="15.75" customHeight="1"/>
    <row r="171" hidden="1" ht="15.75" customHeight="1"/>
    <row r="172" hidden="1" ht="15.75" customHeight="1"/>
    <row r="173" hidden="1" ht="15.75" customHeight="1"/>
    <row r="174" hidden="1" ht="15.75" customHeight="1"/>
    <row r="175" hidden="1" ht="15.75" customHeight="1"/>
    <row r="176" hidden="1" ht="15.75" customHeight="1"/>
    <row r="177" hidden="1" ht="15.75" customHeight="1"/>
    <row r="178" hidden="1" ht="15.75" customHeight="1"/>
    <row r="179" hidden="1" ht="15.75" customHeight="1"/>
    <row r="180" hidden="1" ht="15.75" customHeight="1"/>
    <row r="181" hidden="1" ht="15.75" customHeight="1"/>
    <row r="182" hidden="1" ht="15.75" customHeight="1"/>
    <row r="183" hidden="1" ht="15.75" customHeight="1"/>
    <row r="184" hidden="1" ht="15.75" customHeight="1"/>
    <row r="185" hidden="1" ht="15.75" customHeight="1"/>
    <row r="186" hidden="1" ht="15.75" customHeight="1"/>
    <row r="187" hidden="1" ht="15.75" customHeight="1"/>
    <row r="188" hidden="1" ht="15.75" customHeight="1"/>
    <row r="189" hidden="1" ht="15.75" customHeight="1"/>
    <row r="190" hidden="1" ht="15.75" customHeight="1"/>
    <row r="191" hidden="1" ht="15.75" customHeight="1"/>
    <row r="192" hidden="1" ht="15.75" customHeight="1"/>
    <row r="193" hidden="1" ht="15.75" customHeight="1"/>
    <row r="194" hidden="1" ht="15.75" customHeight="1"/>
    <row r="195" hidden="1" ht="15.75" customHeight="1"/>
    <row r="196" hidden="1" ht="15.75" customHeight="1"/>
    <row r="197" hidden="1" ht="15.75" customHeight="1"/>
    <row r="198" hidden="1" ht="15.75" customHeight="1"/>
    <row r="199" hidden="1" ht="15.75" customHeight="1"/>
    <row r="200" hidden="1" ht="15.75" customHeight="1"/>
    <row r="201" hidden="1" ht="15.75" customHeight="1"/>
    <row r="202" hidden="1" ht="15.75" customHeight="1"/>
    <row r="203" hidden="1" ht="15.75" customHeight="1"/>
    <row r="204" hidden="1" ht="15.75" customHeight="1"/>
    <row r="205" hidden="1" ht="15.75" customHeight="1"/>
    <row r="206" hidden="1" ht="15.75" customHeight="1"/>
    <row r="207" hidden="1" ht="15.75" customHeight="1"/>
    <row r="208" hidden="1" ht="15.75" customHeight="1"/>
    <row r="209" hidden="1" ht="15.75" customHeight="1"/>
    <row r="210" hidden="1" ht="15.75" customHeight="1"/>
    <row r="211" hidden="1" ht="15.75" customHeight="1"/>
    <row r="212" hidden="1" ht="15.75" customHeight="1"/>
    <row r="213" hidden="1" ht="15.75" customHeight="1"/>
    <row r="214" hidden="1" ht="15.75" customHeight="1"/>
    <row r="215" hidden="1" ht="15.75" customHeight="1"/>
    <row r="216" hidden="1" ht="15.75" customHeight="1"/>
    <row r="217" hidden="1" ht="15.75" customHeight="1"/>
    <row r="218" hidden="1" ht="15.75" customHeight="1"/>
    <row r="219" hidden="1" ht="15.75" customHeight="1"/>
    <row r="220" hidden="1" ht="15.75" customHeight="1"/>
    <row r="221" hidden="1" ht="15.75" customHeight="1"/>
    <row r="222" hidden="1" ht="15.75" customHeight="1"/>
    <row r="223" hidden="1" ht="15.75" customHeight="1"/>
    <row r="224" hidden="1" ht="15.75" customHeight="1"/>
    <row r="225" hidden="1" ht="15.75" customHeight="1"/>
    <row r="226" hidden="1" ht="15.75" customHeight="1"/>
    <row r="227" hidden="1" ht="15.75" customHeight="1"/>
    <row r="228" hidden="1" ht="15.75" customHeight="1"/>
    <row r="229" hidden="1" ht="15.75" customHeight="1"/>
    <row r="230" hidden="1" ht="15.75" customHeight="1"/>
    <row r="231" hidden="1" ht="15.75" customHeight="1"/>
    <row r="232" hidden="1" ht="15.75" customHeight="1"/>
    <row r="233" hidden="1" ht="15.75" customHeight="1"/>
    <row r="234" hidden="1" ht="15.75" customHeight="1"/>
    <row r="235" hidden="1" ht="15.75" customHeight="1"/>
    <row r="236" hidden="1" ht="15.75" customHeight="1"/>
    <row r="237" hidden="1" ht="15.75" customHeight="1"/>
    <row r="238" hidden="1" ht="15.75" customHeight="1"/>
    <row r="239" hidden="1" ht="15.75" customHeight="1"/>
    <row r="240" hidden="1" ht="15.75" customHeight="1"/>
    <row r="241" hidden="1" ht="15.75" customHeight="1"/>
    <row r="242" hidden="1" ht="15.75" customHeight="1"/>
    <row r="243" hidden="1" ht="15.75" customHeight="1"/>
    <row r="244" hidden="1" ht="15.75" customHeight="1"/>
    <row r="245" hidden="1" ht="15.75" customHeight="1"/>
    <row r="246" hidden="1" ht="15.75" customHeight="1"/>
    <row r="247" hidden="1" ht="15.75" customHeight="1"/>
    <row r="248" hidden="1" ht="15.75" customHeight="1"/>
    <row r="249" hidden="1" ht="15.75" customHeight="1"/>
    <row r="250" hidden="1" ht="15.75" customHeight="1"/>
    <row r="251" hidden="1" ht="15.75" customHeight="1"/>
    <row r="252" hidden="1" ht="15.75" customHeight="1"/>
    <row r="253" hidden="1" ht="15.75" customHeight="1"/>
    <row r="254" hidden="1" ht="15.75" customHeight="1"/>
    <row r="255" hidden="1" ht="15.75" customHeight="1"/>
    <row r="256" hidden="1" ht="15.75" customHeight="1"/>
    <row r="257" hidden="1" ht="15.75" customHeight="1"/>
    <row r="258" hidden="1" ht="15.75" customHeight="1"/>
    <row r="259" hidden="1" ht="15.75" customHeight="1"/>
    <row r="260" hidden="1" ht="15.75" customHeight="1"/>
    <row r="261" hidden="1" ht="15.75" customHeight="1"/>
    <row r="262" hidden="1" ht="15.75" customHeight="1"/>
    <row r="263" hidden="1" ht="15.75" customHeight="1"/>
    <row r="264" hidden="1" ht="15.75" customHeight="1"/>
    <row r="265" hidden="1" ht="15.75" customHeight="1"/>
    <row r="266" hidden="1" ht="15.75" customHeight="1"/>
    <row r="267" hidden="1" ht="15.75" customHeight="1"/>
    <row r="268" hidden="1" ht="15.75" customHeight="1"/>
    <row r="269" hidden="1" ht="15.75" customHeight="1"/>
    <row r="270" hidden="1" ht="15.75" customHeight="1"/>
    <row r="271" hidden="1" ht="15.75" customHeight="1"/>
    <row r="272" hidden="1" ht="15.75" customHeight="1"/>
    <row r="273" hidden="1" ht="15.75" customHeight="1"/>
    <row r="274" hidden="1" ht="15.75" customHeight="1"/>
    <row r="275" hidden="1" ht="15.75" customHeight="1"/>
    <row r="276" hidden="1" ht="15.75" customHeight="1"/>
    <row r="277" hidden="1" ht="15.75" customHeight="1"/>
    <row r="278" hidden="1" ht="15.75" customHeight="1"/>
    <row r="279" hidden="1" ht="15.75" customHeight="1"/>
    <row r="280" hidden="1" ht="15.75" customHeight="1"/>
    <row r="281" hidden="1" ht="15.75" customHeight="1"/>
    <row r="282" hidden="1" ht="15.75" customHeight="1"/>
    <row r="283" hidden="1" ht="15.75" customHeight="1"/>
    <row r="284" hidden="1" ht="15.75" customHeight="1"/>
    <row r="285" hidden="1" ht="15.75" customHeight="1"/>
    <row r="286" hidden="1" ht="15.75" customHeight="1"/>
    <row r="287" hidden="1" ht="15.75" customHeight="1"/>
    <row r="288" hidden="1" ht="15.75" customHeight="1"/>
    <row r="289" hidden="1" ht="15.75" customHeight="1"/>
    <row r="290" hidden="1" ht="15.75" customHeight="1"/>
    <row r="291" hidden="1" ht="15.75" customHeight="1"/>
    <row r="292" hidden="1" ht="15.75" customHeight="1"/>
    <row r="293" hidden="1" ht="15.75" customHeight="1"/>
    <row r="294" hidden="1" ht="15.75" customHeight="1"/>
    <row r="295" hidden="1" ht="15.75" customHeight="1"/>
    <row r="296" hidden="1" ht="15.75" customHeight="1"/>
    <row r="297" hidden="1" ht="15.75" customHeight="1"/>
    <row r="298" hidden="1" ht="15.75" customHeight="1"/>
    <row r="299" hidden="1" ht="15.75" customHeight="1"/>
    <row r="300" hidden="1" ht="15.75" customHeight="1"/>
    <row r="301" hidden="1" ht="15.75" customHeight="1"/>
    <row r="302" hidden="1" ht="15.75" customHeight="1"/>
    <row r="303" hidden="1" ht="15.75" customHeight="1"/>
    <row r="304" hidden="1" ht="15.75" customHeight="1"/>
    <row r="305" hidden="1" ht="15.75" customHeight="1"/>
    <row r="306" hidden="1" ht="15.75" customHeight="1"/>
    <row r="307" hidden="1" ht="15.75" customHeight="1"/>
    <row r="308" hidden="1" ht="15.75" customHeight="1"/>
    <row r="309" hidden="1" ht="15.75" customHeight="1"/>
    <row r="310" hidden="1" ht="15.75" customHeight="1"/>
    <row r="311" hidden="1" ht="15.75" customHeight="1"/>
    <row r="312" hidden="1" ht="15.75" customHeight="1"/>
    <row r="313" hidden="1" ht="15.75" customHeight="1"/>
    <row r="314" hidden="1" ht="15.75" customHeight="1"/>
    <row r="315" hidden="1" ht="15.75" customHeight="1"/>
    <row r="316" hidden="1" ht="15.75" customHeight="1"/>
    <row r="317" hidden="1" ht="15.75" customHeight="1"/>
    <row r="318" hidden="1" ht="15.75" customHeight="1"/>
    <row r="319" hidden="1" ht="15.75" customHeight="1"/>
    <row r="320" hidden="1" ht="15.75" customHeight="1"/>
    <row r="321" hidden="1" ht="15.75" customHeight="1"/>
    <row r="322" hidden="1" ht="15.75" customHeight="1"/>
    <row r="323" hidden="1" ht="15.75" customHeight="1"/>
    <row r="324" hidden="1" ht="15.75" customHeight="1"/>
    <row r="325" hidden="1" ht="15.75" customHeight="1"/>
    <row r="326" hidden="1" ht="15.75" customHeight="1"/>
    <row r="327" hidden="1" ht="15.75" customHeight="1"/>
    <row r="328" hidden="1" ht="15.75" customHeight="1"/>
    <row r="329" hidden="1" ht="15.75" customHeight="1"/>
    <row r="330" hidden="1" ht="15.75" customHeight="1"/>
    <row r="331" hidden="1" ht="15.75" customHeight="1"/>
    <row r="332" hidden="1" ht="15.75" customHeight="1"/>
    <row r="333" hidden="1" ht="15.75" customHeight="1"/>
    <row r="334" hidden="1" ht="15.75" customHeight="1"/>
    <row r="335" hidden="1" ht="15.75" customHeight="1"/>
    <row r="336" hidden="1" ht="15.75" customHeight="1"/>
    <row r="337" hidden="1" ht="15.75" customHeight="1"/>
    <row r="338" hidden="1" ht="15.75" customHeight="1"/>
    <row r="339" hidden="1" ht="15.75" customHeight="1"/>
    <row r="340" hidden="1" ht="15.75" customHeight="1"/>
    <row r="341" hidden="1" ht="15.75" customHeight="1"/>
    <row r="342" hidden="1" ht="15.75" customHeight="1"/>
    <row r="343" hidden="1" ht="15.75" customHeight="1"/>
    <row r="344" hidden="1" ht="15.75" customHeight="1"/>
    <row r="345" hidden="1" ht="15.75" customHeight="1"/>
    <row r="346" hidden="1" ht="15.75" customHeight="1"/>
    <row r="347" hidden="1" ht="15.75" customHeight="1"/>
    <row r="348" hidden="1" ht="15.75" customHeight="1"/>
    <row r="349" hidden="1" ht="15.75" customHeight="1"/>
    <row r="350" hidden="1" ht="15.75" customHeight="1"/>
    <row r="351" hidden="1" ht="15.75" customHeight="1"/>
    <row r="352" hidden="1" ht="15.75" customHeight="1"/>
    <row r="353" hidden="1" ht="15.75" customHeight="1"/>
    <row r="354" hidden="1" ht="15.75" customHeight="1"/>
    <row r="355" hidden="1" ht="15.75" customHeight="1"/>
    <row r="356" hidden="1" ht="15.75" customHeight="1"/>
    <row r="357" hidden="1" ht="15.75" customHeight="1"/>
    <row r="358" hidden="1" ht="15.75" customHeight="1"/>
    <row r="359" hidden="1" ht="15.75" customHeight="1"/>
    <row r="360" hidden="1" ht="15.75" customHeight="1"/>
    <row r="361" hidden="1" ht="15.75" customHeight="1"/>
    <row r="362" hidden="1" ht="15.75" customHeight="1"/>
    <row r="363" hidden="1" ht="15.75" customHeight="1"/>
    <row r="364" hidden="1" ht="15.75" customHeight="1"/>
    <row r="365" hidden="1" ht="15.75" customHeight="1"/>
    <row r="366" hidden="1" ht="15.75" customHeight="1"/>
    <row r="367" hidden="1" ht="15.75" customHeight="1"/>
    <row r="368" hidden="1" ht="15.75" customHeight="1"/>
    <row r="369" hidden="1" ht="15.75" customHeight="1"/>
    <row r="370" hidden="1" ht="15.75" customHeight="1"/>
    <row r="371" hidden="1" ht="15.75" customHeight="1"/>
    <row r="372" hidden="1" ht="15.75" customHeight="1"/>
    <row r="373" hidden="1" ht="15.75" customHeight="1"/>
    <row r="374" hidden="1" ht="15.75" customHeight="1"/>
    <row r="375" hidden="1" ht="15.75" customHeight="1"/>
    <row r="376" hidden="1" ht="15.75" customHeight="1"/>
    <row r="377" hidden="1" ht="15.75" customHeight="1"/>
    <row r="378" hidden="1" ht="15.75" customHeight="1"/>
    <row r="379" hidden="1" ht="15.75" customHeight="1"/>
    <row r="380" hidden="1" ht="15.75" customHeight="1"/>
    <row r="381" hidden="1" ht="15.75" customHeight="1"/>
    <row r="382" hidden="1" ht="15.75" customHeight="1"/>
    <row r="383" hidden="1" ht="15.75" customHeight="1"/>
    <row r="384" hidden="1" ht="15.75" customHeight="1"/>
    <row r="385" hidden="1" ht="15.75" customHeight="1"/>
    <row r="386" hidden="1" ht="15.75" customHeight="1"/>
    <row r="387" hidden="1" ht="15.75" customHeight="1"/>
    <row r="388" hidden="1" ht="15.75" customHeight="1"/>
    <row r="389" hidden="1" ht="15.75" customHeight="1"/>
    <row r="390" hidden="1" ht="15.75" customHeight="1"/>
    <row r="391" hidden="1" ht="15.75" customHeight="1"/>
    <row r="392" hidden="1" ht="15.75" customHeight="1"/>
    <row r="393" hidden="1" ht="15.75" customHeight="1"/>
    <row r="394" hidden="1" ht="15.75" customHeight="1"/>
    <row r="395" hidden="1" ht="15.75" customHeight="1"/>
    <row r="396" hidden="1" ht="15.75" customHeight="1"/>
    <row r="397" hidden="1" ht="15.75" customHeight="1"/>
    <row r="398" hidden="1" ht="15.75" customHeight="1"/>
    <row r="399" hidden="1" ht="15.75" customHeight="1"/>
    <row r="400" hidden="1" ht="15.75" customHeight="1"/>
    <row r="401" hidden="1" ht="15.75" customHeight="1"/>
    <row r="402" hidden="1" ht="15.75" customHeight="1"/>
    <row r="403" hidden="1" ht="15.75" customHeight="1"/>
    <row r="404" hidden="1" ht="15.75" customHeight="1"/>
    <row r="405" hidden="1" ht="15.75" customHeight="1"/>
    <row r="406" hidden="1" ht="15.75" customHeight="1"/>
    <row r="407" hidden="1" ht="15.75" customHeight="1"/>
    <row r="408" hidden="1" ht="15.75" customHeight="1"/>
    <row r="409" hidden="1" ht="15.75" customHeight="1"/>
    <row r="410" hidden="1" ht="15.75" customHeight="1"/>
    <row r="411" hidden="1" ht="15.75" customHeight="1"/>
    <row r="412" hidden="1" ht="15.75" customHeight="1"/>
    <row r="413" hidden="1" ht="15.75" customHeight="1"/>
    <row r="414" hidden="1" ht="15.75" customHeight="1"/>
    <row r="415" hidden="1" ht="15.75" customHeight="1"/>
    <row r="416" hidden="1" ht="15.75" customHeight="1"/>
    <row r="417" hidden="1" ht="15.75" customHeight="1"/>
    <row r="418" hidden="1" ht="15.75" customHeight="1"/>
    <row r="419" hidden="1" ht="15.75" customHeight="1"/>
    <row r="420" hidden="1" ht="15.75" customHeight="1"/>
    <row r="421" hidden="1" ht="15.75" customHeight="1"/>
    <row r="422" hidden="1" ht="15.75" customHeight="1"/>
    <row r="423" hidden="1" ht="15.75" customHeight="1"/>
    <row r="424" hidden="1" ht="15.75" customHeight="1"/>
    <row r="425" hidden="1" ht="15.75" customHeight="1"/>
    <row r="426" hidden="1" ht="15.75" customHeight="1"/>
    <row r="427" hidden="1" ht="15.75" customHeight="1"/>
    <row r="428" hidden="1" ht="15.75" customHeight="1"/>
    <row r="429" hidden="1" ht="15.75" customHeight="1"/>
    <row r="430" hidden="1" ht="15.75" customHeight="1"/>
    <row r="431" hidden="1" ht="15.75" customHeight="1"/>
    <row r="432" hidden="1" ht="15.75" customHeight="1"/>
    <row r="433" hidden="1" ht="15.75" customHeight="1"/>
    <row r="434" hidden="1" ht="15.75" customHeight="1"/>
    <row r="435" hidden="1" ht="15.75" customHeight="1"/>
    <row r="436" hidden="1" ht="15.75" customHeight="1"/>
    <row r="437" hidden="1" ht="15.75" customHeight="1"/>
    <row r="438" hidden="1" ht="15.75" customHeight="1"/>
    <row r="439" hidden="1" ht="15.75" customHeight="1"/>
    <row r="440" hidden="1" ht="15.75" customHeight="1"/>
    <row r="441" hidden="1" ht="15.75" customHeight="1"/>
    <row r="442" hidden="1" ht="15.75" customHeight="1"/>
    <row r="443" hidden="1" ht="15.75" customHeight="1"/>
    <row r="444" hidden="1" ht="15.75" customHeight="1"/>
    <row r="445" hidden="1" ht="15.75" customHeight="1"/>
    <row r="446" hidden="1" ht="15.75" customHeight="1"/>
    <row r="447" hidden="1" ht="15.75" customHeight="1"/>
    <row r="448" hidden="1" ht="15.75" customHeight="1"/>
    <row r="449" hidden="1" ht="15.75" customHeight="1"/>
    <row r="450" hidden="1" ht="15.75" customHeight="1"/>
    <row r="451" hidden="1" ht="15.75" customHeight="1"/>
    <row r="452" hidden="1" ht="15.75" customHeight="1"/>
    <row r="453" hidden="1" ht="15.75" customHeight="1"/>
    <row r="454" hidden="1" ht="15.75" customHeight="1"/>
    <row r="455" hidden="1" ht="15.75" customHeight="1"/>
    <row r="456" hidden="1" ht="15.75" customHeight="1"/>
    <row r="457" hidden="1" ht="15.75" customHeight="1"/>
    <row r="458" hidden="1" ht="15.75" customHeight="1"/>
    <row r="459" hidden="1" ht="15.75" customHeight="1"/>
    <row r="460" hidden="1" ht="15.75" customHeight="1"/>
    <row r="461" hidden="1" ht="15.75" customHeight="1"/>
    <row r="462" hidden="1" ht="15.75" customHeight="1"/>
    <row r="463" hidden="1" ht="15.75" customHeight="1"/>
    <row r="464" hidden="1" ht="15.75" customHeight="1"/>
    <row r="465" hidden="1" ht="15.75" customHeight="1"/>
    <row r="466" hidden="1" ht="15.75" customHeight="1"/>
    <row r="467" hidden="1" ht="15.75" customHeight="1"/>
    <row r="468" hidden="1" ht="15.75" customHeight="1"/>
    <row r="469" hidden="1" ht="15.75" customHeight="1"/>
    <row r="470" hidden="1" ht="15.75" customHeight="1"/>
    <row r="471" hidden="1" ht="15.75" customHeight="1"/>
    <row r="472" hidden="1" ht="15.75" customHeight="1"/>
    <row r="473" hidden="1" ht="15.75" customHeight="1"/>
    <row r="474" hidden="1" ht="15.75" customHeight="1"/>
    <row r="475" hidden="1" ht="15.75" customHeight="1"/>
    <row r="476" hidden="1" ht="15.75" customHeight="1"/>
    <row r="477" hidden="1" ht="15.75" customHeight="1"/>
    <row r="478" hidden="1" ht="15.75" customHeight="1"/>
    <row r="479" hidden="1" ht="15.75" customHeight="1"/>
    <row r="480" hidden="1" ht="15.75" customHeight="1"/>
    <row r="481" hidden="1" ht="15.75" customHeight="1"/>
    <row r="482" hidden="1" ht="15.75" customHeight="1"/>
    <row r="483" hidden="1" ht="15.75" customHeight="1"/>
    <row r="484" hidden="1" ht="15.75" customHeight="1"/>
    <row r="485" hidden="1" ht="15.75" customHeight="1"/>
    <row r="486" hidden="1" ht="15.75" customHeight="1"/>
    <row r="487" hidden="1" ht="15.75" customHeight="1"/>
    <row r="488" hidden="1" ht="15.75" customHeight="1"/>
    <row r="489" hidden="1" ht="15.75" customHeight="1"/>
    <row r="490" hidden="1" ht="15.75" customHeight="1"/>
    <row r="491" hidden="1" ht="15.75" customHeight="1"/>
    <row r="492" hidden="1" ht="15.75" customHeight="1"/>
    <row r="493" hidden="1" ht="15.75" customHeight="1"/>
    <row r="494" hidden="1" ht="15.75" customHeight="1"/>
    <row r="495" hidden="1" ht="15.75" customHeight="1"/>
    <row r="496" hidden="1" ht="15.75" customHeight="1"/>
    <row r="497" hidden="1" ht="15.75" customHeight="1"/>
    <row r="498" hidden="1" ht="15.75" customHeight="1"/>
    <row r="499" hidden="1" ht="15.75" customHeight="1"/>
    <row r="500" hidden="1" ht="15.75" customHeight="1"/>
    <row r="501" hidden="1" ht="15.75" customHeight="1"/>
    <row r="502" hidden="1" ht="15.75" customHeight="1"/>
    <row r="503" hidden="1" ht="15.75" customHeight="1"/>
    <row r="504" hidden="1" ht="15.75" customHeight="1"/>
    <row r="505" hidden="1" ht="15.75" customHeight="1"/>
    <row r="506" hidden="1" ht="15.75" customHeight="1"/>
    <row r="507" hidden="1" ht="15.75" customHeight="1"/>
    <row r="508" hidden="1" ht="15.75" customHeight="1"/>
    <row r="509" hidden="1" ht="15.75" customHeight="1"/>
    <row r="510" hidden="1" ht="15.75" customHeight="1"/>
    <row r="511" hidden="1" ht="15.75" customHeight="1"/>
    <row r="512" hidden="1" ht="15.75" customHeight="1"/>
    <row r="513" hidden="1" ht="15.75" customHeight="1"/>
    <row r="514" hidden="1" ht="15.75" customHeight="1"/>
    <row r="515" hidden="1" ht="15.75" customHeight="1"/>
    <row r="516" hidden="1" ht="15.75" customHeight="1"/>
    <row r="517" hidden="1" ht="15.75" customHeight="1"/>
    <row r="518" hidden="1" ht="15.75" customHeight="1"/>
    <row r="519" hidden="1" ht="15.75" customHeight="1"/>
    <row r="520" hidden="1" ht="15.75" customHeight="1"/>
    <row r="521" hidden="1" ht="15.75" customHeight="1"/>
    <row r="522" hidden="1" ht="15.75" customHeight="1"/>
    <row r="523" hidden="1" ht="15.75" customHeight="1"/>
    <row r="524" hidden="1" ht="15.75" customHeight="1"/>
    <row r="525" hidden="1" ht="15.75" customHeight="1"/>
    <row r="526" hidden="1" ht="15.75" customHeight="1"/>
    <row r="527" hidden="1" ht="15.75" customHeight="1"/>
    <row r="528" hidden="1" ht="15.75" customHeight="1"/>
    <row r="529" hidden="1" ht="15.75" customHeight="1"/>
    <row r="530" hidden="1" ht="15.75" customHeight="1"/>
    <row r="531" hidden="1" ht="15.75" customHeight="1"/>
    <row r="532" hidden="1" ht="15.75" customHeight="1"/>
    <row r="533" hidden="1" ht="15.75" customHeight="1"/>
    <row r="534" hidden="1" ht="15.75" customHeight="1"/>
    <row r="535" hidden="1" ht="15.75" customHeight="1"/>
    <row r="536" hidden="1" ht="15.75" customHeight="1"/>
    <row r="537" hidden="1" ht="15.75" customHeight="1"/>
    <row r="538" hidden="1" ht="15.75" customHeight="1"/>
    <row r="539" hidden="1" ht="15.75" customHeight="1"/>
    <row r="540" hidden="1" ht="15.75" customHeight="1"/>
    <row r="541" hidden="1" ht="15.75" customHeight="1"/>
    <row r="542" hidden="1" ht="15.75" customHeight="1"/>
    <row r="543" hidden="1" ht="15.75" customHeight="1"/>
    <row r="544" hidden="1" ht="15.75" customHeight="1"/>
    <row r="545" hidden="1" ht="15.75" customHeight="1"/>
    <row r="546" hidden="1" ht="15.75" customHeight="1"/>
    <row r="547" hidden="1" ht="15.75" customHeight="1"/>
    <row r="548" hidden="1" ht="15.75" customHeight="1"/>
    <row r="549" hidden="1" ht="15.75" customHeight="1"/>
    <row r="550" hidden="1" ht="15.75" customHeight="1"/>
    <row r="551" hidden="1" ht="15.75" customHeight="1"/>
    <row r="552" hidden="1" ht="15.75" customHeight="1"/>
    <row r="553" hidden="1" ht="15.75" customHeight="1"/>
    <row r="554" hidden="1" ht="15.75" customHeight="1"/>
    <row r="555" hidden="1" ht="15.75" customHeight="1"/>
    <row r="556" hidden="1" ht="15.75" customHeight="1"/>
    <row r="557" hidden="1" ht="15.75" customHeight="1"/>
    <row r="558" hidden="1" ht="15.75" customHeight="1"/>
    <row r="559" hidden="1" ht="15.75" customHeight="1"/>
    <row r="560" hidden="1" ht="15.75" customHeight="1"/>
    <row r="561" hidden="1" ht="15.75" customHeight="1"/>
    <row r="562" hidden="1" ht="15.75" customHeight="1"/>
    <row r="563" hidden="1" ht="15.75" customHeight="1"/>
    <row r="564" hidden="1" ht="15.75" customHeight="1"/>
    <row r="565" hidden="1" ht="15.75" customHeight="1"/>
    <row r="566" hidden="1" ht="15.75" customHeight="1"/>
    <row r="567" hidden="1" ht="15.75" customHeight="1"/>
    <row r="568" hidden="1" ht="15.75" customHeight="1"/>
    <row r="569" hidden="1" ht="15.75" customHeight="1"/>
    <row r="570" hidden="1" ht="15.75" customHeight="1"/>
    <row r="571" hidden="1" ht="15.75" customHeight="1"/>
    <row r="572" hidden="1" ht="15.75" customHeight="1"/>
    <row r="573" hidden="1" ht="15.75" customHeight="1"/>
    <row r="574" hidden="1" ht="15.75" customHeight="1"/>
    <row r="575" hidden="1" ht="15.75" customHeight="1"/>
    <row r="576" hidden="1" ht="15.75" customHeight="1"/>
    <row r="577" hidden="1" ht="15.75" customHeight="1"/>
    <row r="578" hidden="1" ht="15.75" customHeight="1"/>
    <row r="579" hidden="1" ht="15.75" customHeight="1"/>
    <row r="580" hidden="1" ht="15.75" customHeight="1"/>
    <row r="581" hidden="1" ht="15.75" customHeight="1"/>
    <row r="582" hidden="1" ht="15.75" customHeight="1"/>
    <row r="583" hidden="1" ht="15.75" customHeight="1"/>
    <row r="584" hidden="1" ht="15.75" customHeight="1"/>
    <row r="585" hidden="1" ht="15.75" customHeight="1"/>
    <row r="586" hidden="1" ht="15.75" customHeight="1"/>
    <row r="587" hidden="1" ht="15.75" customHeight="1"/>
    <row r="588" hidden="1" ht="15.75" customHeight="1"/>
    <row r="589" hidden="1" ht="15.75" customHeight="1"/>
    <row r="590" hidden="1" ht="15.75" customHeight="1"/>
    <row r="591" hidden="1" ht="15.75" customHeight="1"/>
    <row r="592" hidden="1" ht="15.75" customHeight="1"/>
    <row r="593" hidden="1" ht="15.75" customHeight="1"/>
    <row r="594" hidden="1" ht="15.75" customHeight="1"/>
    <row r="595" hidden="1" ht="15.75" customHeight="1"/>
    <row r="596" hidden="1" ht="15.75" customHeight="1"/>
    <row r="597" hidden="1" ht="15.75" customHeight="1"/>
    <row r="598" hidden="1" ht="15.75" customHeight="1"/>
    <row r="599" hidden="1" ht="15.75" customHeight="1"/>
    <row r="600" hidden="1" ht="15.75" customHeight="1"/>
    <row r="601" hidden="1" ht="15.75" customHeight="1"/>
    <row r="602" hidden="1" ht="15.75" customHeight="1"/>
    <row r="603" hidden="1" ht="15.75" customHeight="1"/>
    <row r="604" hidden="1" ht="15.75" customHeight="1"/>
    <row r="605" hidden="1" ht="15.75" customHeight="1"/>
    <row r="606" hidden="1" ht="15.75" customHeight="1"/>
    <row r="607" hidden="1" ht="15.75" customHeight="1"/>
    <row r="608" hidden="1" ht="15.75" customHeight="1"/>
    <row r="609" hidden="1" ht="15.75" customHeight="1"/>
    <row r="610" hidden="1" ht="15.75" customHeight="1"/>
    <row r="611" hidden="1" ht="15.75" customHeight="1"/>
    <row r="612" hidden="1" ht="15.75" customHeight="1"/>
    <row r="613" hidden="1" ht="15.75" customHeight="1"/>
    <row r="614" hidden="1" ht="15.75" customHeight="1"/>
    <row r="615" hidden="1" ht="15.75" customHeight="1"/>
    <row r="616" hidden="1" ht="15.75" customHeight="1"/>
    <row r="617" hidden="1" ht="15.75" customHeight="1"/>
    <row r="618" hidden="1" ht="15.75" customHeight="1"/>
    <row r="619" hidden="1" ht="15.75" customHeight="1"/>
    <row r="620" hidden="1" ht="15.75" customHeight="1"/>
    <row r="621" hidden="1" ht="15.75" customHeight="1"/>
    <row r="622" hidden="1" ht="15.75" customHeight="1"/>
    <row r="623" hidden="1" ht="15.75" customHeight="1"/>
    <row r="624" hidden="1" ht="15.75" customHeight="1"/>
    <row r="625" hidden="1" ht="15.75" customHeight="1"/>
    <row r="626" hidden="1" ht="15.75" customHeight="1"/>
    <row r="627" hidden="1" ht="15.75" customHeight="1"/>
    <row r="628" hidden="1" ht="15.75" customHeight="1"/>
    <row r="629" hidden="1" ht="15.75" customHeight="1"/>
    <row r="630" hidden="1" ht="15.75" customHeight="1"/>
    <row r="631" hidden="1" ht="15.75" customHeight="1"/>
    <row r="632" hidden="1" ht="15.75" customHeight="1"/>
    <row r="633" hidden="1" ht="15.75" customHeight="1"/>
    <row r="634" hidden="1" ht="15.75" customHeight="1"/>
    <row r="635" hidden="1" ht="15.75" customHeight="1"/>
    <row r="636" hidden="1" ht="15.75" customHeight="1"/>
    <row r="637" hidden="1" ht="15.75" customHeight="1"/>
    <row r="638" hidden="1" ht="15.75" customHeight="1"/>
    <row r="639" hidden="1" ht="15.75" customHeight="1"/>
    <row r="640" hidden="1" ht="15.75" customHeight="1"/>
    <row r="641" hidden="1" ht="15.75" customHeight="1"/>
    <row r="642" hidden="1" ht="15.75" customHeight="1"/>
    <row r="643" hidden="1" ht="15.75" customHeight="1"/>
    <row r="644" hidden="1" ht="15.75" customHeight="1"/>
    <row r="645" hidden="1" ht="15.75" customHeight="1"/>
    <row r="646" hidden="1" ht="15.75" customHeight="1"/>
    <row r="647" hidden="1" ht="15.75" customHeight="1"/>
    <row r="648" hidden="1" ht="15.75" customHeight="1"/>
    <row r="649" hidden="1" ht="15.75" customHeight="1"/>
    <row r="650" hidden="1" ht="15.75" customHeight="1"/>
    <row r="651" hidden="1" ht="15.75" customHeight="1"/>
    <row r="652" hidden="1" ht="15.75" customHeight="1"/>
    <row r="653" hidden="1" ht="15.75" customHeight="1"/>
    <row r="654" hidden="1" ht="15.75" customHeight="1"/>
    <row r="655" hidden="1" ht="15.75" customHeight="1"/>
    <row r="656" hidden="1" ht="15.75" customHeight="1"/>
    <row r="657" hidden="1" ht="15.75" customHeight="1"/>
    <row r="658" hidden="1" ht="15.75" customHeight="1"/>
    <row r="659" hidden="1" ht="15.75" customHeight="1"/>
    <row r="660" hidden="1" ht="15.75" customHeight="1"/>
    <row r="661" hidden="1" ht="15.75" customHeight="1"/>
    <row r="662" hidden="1" ht="15.75" customHeight="1"/>
    <row r="663" hidden="1" ht="15.75" customHeight="1"/>
    <row r="664" hidden="1" ht="15.75" customHeight="1"/>
    <row r="665" hidden="1" ht="15.75" customHeight="1"/>
    <row r="666" hidden="1" ht="15.75" customHeight="1"/>
    <row r="667" hidden="1" ht="15.75" customHeight="1"/>
    <row r="668" hidden="1" ht="15.75" customHeight="1"/>
    <row r="669" hidden="1" ht="15.75" customHeight="1"/>
    <row r="670" hidden="1" ht="15.75" customHeight="1"/>
    <row r="671" hidden="1" ht="15.75" customHeight="1"/>
    <row r="672" hidden="1" ht="15.75" customHeight="1"/>
    <row r="673" hidden="1" ht="15.75" customHeight="1"/>
    <row r="674" hidden="1" ht="15.75" customHeight="1"/>
    <row r="675" hidden="1" ht="15.75" customHeight="1"/>
    <row r="676" hidden="1" ht="15.75" customHeight="1"/>
    <row r="677" hidden="1" ht="15.75" customHeight="1"/>
    <row r="678" hidden="1" ht="15.75" customHeight="1"/>
    <row r="679" hidden="1" ht="15.75" customHeight="1"/>
    <row r="680" hidden="1" ht="15.75" customHeight="1"/>
    <row r="681" hidden="1" ht="15.75" customHeight="1"/>
    <row r="682" hidden="1" ht="15.75" customHeight="1"/>
    <row r="683" hidden="1" ht="15.75" customHeight="1"/>
    <row r="684" hidden="1" ht="15.75" customHeight="1"/>
    <row r="685" hidden="1" ht="15.75" customHeight="1"/>
    <row r="686" hidden="1" ht="15.75" customHeight="1"/>
    <row r="687" hidden="1" ht="15.75" customHeight="1"/>
    <row r="688" hidden="1" ht="15.75" customHeight="1"/>
    <row r="689" hidden="1" ht="15.75" customHeight="1"/>
    <row r="690" hidden="1" ht="15.75" customHeight="1"/>
    <row r="691" hidden="1" ht="15.75" customHeight="1"/>
    <row r="692" hidden="1" ht="15.75" customHeight="1"/>
    <row r="693" hidden="1" ht="15.75" customHeight="1"/>
    <row r="694" hidden="1" ht="15.75" customHeight="1"/>
    <row r="695" hidden="1" ht="15.75" customHeight="1"/>
    <row r="696" hidden="1" ht="15.75" customHeight="1"/>
    <row r="697" hidden="1" ht="15.75" customHeight="1"/>
    <row r="698" hidden="1" ht="15.75" customHeight="1"/>
    <row r="699" hidden="1" ht="15.75" customHeight="1"/>
    <row r="700" hidden="1" ht="15.75" customHeight="1"/>
    <row r="701" hidden="1" ht="15.75" customHeight="1"/>
    <row r="702" hidden="1" ht="15.75" customHeight="1"/>
    <row r="703" hidden="1" ht="15.75" customHeight="1"/>
    <row r="704" hidden="1" ht="15.75" customHeight="1"/>
    <row r="705" hidden="1" ht="15.75" customHeight="1"/>
    <row r="706" hidden="1" ht="15.75" customHeight="1"/>
    <row r="707" hidden="1" ht="15.75" customHeight="1"/>
    <row r="708" hidden="1" ht="15.75" customHeight="1"/>
    <row r="709" hidden="1" ht="15.75" customHeight="1"/>
    <row r="710" hidden="1" ht="15.75" customHeight="1"/>
    <row r="711" hidden="1" ht="15.75" customHeight="1"/>
    <row r="712" hidden="1" ht="15.75" customHeight="1"/>
    <row r="713" hidden="1" ht="15.75" customHeight="1"/>
    <row r="714" hidden="1" ht="15.75" customHeight="1"/>
    <row r="715" hidden="1" ht="15.75" customHeight="1"/>
    <row r="716" hidden="1" ht="15.75" customHeight="1"/>
    <row r="717" hidden="1" ht="15.75" customHeight="1"/>
    <row r="718" hidden="1" ht="15.75" customHeight="1"/>
    <row r="719" hidden="1" ht="15.75" customHeight="1"/>
    <row r="720" hidden="1" ht="15.75" customHeight="1"/>
    <row r="721" hidden="1" ht="15.75" customHeight="1"/>
    <row r="722" hidden="1" ht="15.75" customHeight="1"/>
    <row r="723" hidden="1" ht="15.75" customHeight="1"/>
    <row r="724" hidden="1" ht="15.75" customHeight="1"/>
    <row r="725" hidden="1" ht="15.75" customHeight="1"/>
    <row r="726" hidden="1" ht="15.75" customHeight="1"/>
    <row r="727" hidden="1" ht="15.75" customHeight="1"/>
    <row r="728" hidden="1" ht="15.75" customHeight="1"/>
    <row r="729" hidden="1" ht="15.75" customHeight="1"/>
    <row r="730" hidden="1" ht="15.75" customHeight="1"/>
    <row r="731" hidden="1" ht="15.75" customHeight="1"/>
    <row r="732" hidden="1" ht="15.75" customHeight="1"/>
    <row r="733" hidden="1" ht="15.75" customHeight="1"/>
    <row r="734" hidden="1" ht="15.75" customHeight="1"/>
    <row r="735" hidden="1" ht="15.75" customHeight="1"/>
    <row r="736" hidden="1" ht="15.75" customHeight="1"/>
    <row r="737" hidden="1" ht="15.75" customHeight="1"/>
    <row r="738" hidden="1" ht="15.75" customHeight="1"/>
    <row r="739" hidden="1" ht="15.75" customHeight="1"/>
    <row r="740" hidden="1" ht="15.75" customHeight="1"/>
    <row r="741" hidden="1" ht="15.75" customHeight="1"/>
    <row r="742" hidden="1" ht="15.75" customHeight="1"/>
    <row r="743" hidden="1" ht="15.75" customHeight="1"/>
    <row r="744" hidden="1" ht="15.75" customHeight="1"/>
    <row r="745" hidden="1" ht="15.75" customHeight="1"/>
    <row r="746" hidden="1" ht="15.75" customHeight="1"/>
    <row r="747" hidden="1" ht="15.75" customHeight="1"/>
    <row r="748" hidden="1" ht="15.75" customHeight="1"/>
    <row r="749" hidden="1" ht="15.75" customHeight="1"/>
    <row r="750" hidden="1" ht="15.75" customHeight="1"/>
    <row r="751" hidden="1" ht="15.75" customHeight="1"/>
    <row r="752" hidden="1" ht="15.75" customHeight="1"/>
    <row r="753" hidden="1" ht="15.75" customHeight="1"/>
    <row r="754" hidden="1" ht="15.75" customHeight="1"/>
    <row r="755" hidden="1" ht="15.75" customHeight="1"/>
    <row r="756" hidden="1" ht="15.75" customHeight="1"/>
    <row r="757" hidden="1" ht="15.75" customHeight="1"/>
    <row r="758" hidden="1" ht="15.75" customHeight="1"/>
    <row r="759" hidden="1" ht="15.75" customHeight="1"/>
    <row r="760" hidden="1" ht="15.75" customHeight="1"/>
    <row r="761" hidden="1" ht="15.75" customHeight="1"/>
    <row r="762" hidden="1" ht="15.75" customHeight="1"/>
    <row r="763" hidden="1" ht="15.75" customHeight="1"/>
    <row r="764" hidden="1" ht="15.75" customHeight="1"/>
    <row r="765" hidden="1" ht="15.75" customHeight="1"/>
    <row r="766" hidden="1" ht="15.75" customHeight="1"/>
    <row r="767" hidden="1" ht="15.75" customHeight="1"/>
    <row r="768" hidden="1" ht="15.75" customHeight="1"/>
    <row r="769" hidden="1" ht="15.75" customHeight="1"/>
    <row r="770" hidden="1" ht="15.75" customHeight="1"/>
    <row r="771" hidden="1" ht="15.75" customHeight="1"/>
    <row r="772" hidden="1" ht="15.75" customHeight="1"/>
    <row r="773" hidden="1" ht="15.75" customHeight="1"/>
    <row r="774" hidden="1" ht="15.75" customHeight="1"/>
    <row r="775" hidden="1" ht="15.75" customHeight="1"/>
    <row r="776" hidden="1" ht="15.75" customHeight="1"/>
    <row r="777" hidden="1" ht="15.75" customHeight="1"/>
    <row r="778" hidden="1" ht="15.75" customHeight="1"/>
    <row r="779" hidden="1" ht="15.75" customHeight="1"/>
    <row r="780" hidden="1" ht="15.75" customHeight="1"/>
    <row r="781" hidden="1" ht="15.75" customHeight="1"/>
    <row r="782" hidden="1" ht="15.75" customHeight="1"/>
    <row r="783" hidden="1" ht="15.75" customHeight="1"/>
    <row r="784" hidden="1" ht="15.75" customHeight="1"/>
    <row r="785" hidden="1" ht="15.75" customHeight="1"/>
    <row r="786" hidden="1" ht="15.75" customHeight="1"/>
    <row r="787" hidden="1" ht="15.75" customHeight="1"/>
    <row r="788" hidden="1" ht="15.75" customHeight="1"/>
    <row r="789" hidden="1" ht="15.75" customHeight="1"/>
    <row r="790" hidden="1" ht="15.75" customHeight="1"/>
    <row r="791" hidden="1" ht="15.75" customHeight="1"/>
    <row r="792" hidden="1" ht="15.75" customHeight="1"/>
    <row r="793" hidden="1" ht="15.75" customHeight="1"/>
    <row r="794" hidden="1" ht="15.75" customHeight="1"/>
    <row r="795" hidden="1" ht="15.75" customHeight="1"/>
    <row r="796" hidden="1" ht="15.75" customHeight="1"/>
    <row r="797" hidden="1" ht="15.75" customHeight="1"/>
    <row r="798" hidden="1" ht="15.75" customHeight="1"/>
    <row r="799" hidden="1" ht="15.75" customHeight="1"/>
    <row r="800" hidden="1" ht="15.75" customHeight="1"/>
    <row r="801" hidden="1" ht="15.75" customHeight="1"/>
    <row r="802" hidden="1" ht="15.75" customHeight="1"/>
    <row r="803" hidden="1" ht="15.75" customHeight="1"/>
    <row r="804" hidden="1" ht="15.75" customHeight="1"/>
    <row r="805" hidden="1" ht="15.75" customHeight="1"/>
    <row r="806" hidden="1" ht="15.75" customHeight="1"/>
    <row r="807" hidden="1" ht="15.75" customHeight="1"/>
    <row r="808" hidden="1" ht="15.75" customHeight="1"/>
    <row r="809" hidden="1" ht="15.75" customHeight="1"/>
    <row r="810" hidden="1" ht="15.75" customHeight="1"/>
    <row r="811" hidden="1" ht="15.75" customHeight="1"/>
    <row r="812" hidden="1" ht="15.75" customHeight="1"/>
    <row r="813" hidden="1" ht="15.75" customHeight="1"/>
    <row r="814" hidden="1" ht="15.75" customHeight="1"/>
    <row r="815" hidden="1" ht="15.75" customHeight="1"/>
    <row r="816" hidden="1" ht="15.75" customHeight="1"/>
    <row r="817" hidden="1" ht="15.75" customHeight="1"/>
    <row r="818" hidden="1" ht="15.75" customHeight="1"/>
    <row r="819" hidden="1" ht="15.75" customHeight="1"/>
    <row r="820" hidden="1" ht="15.75" customHeight="1"/>
    <row r="821" hidden="1" ht="15.75" customHeight="1"/>
    <row r="822" hidden="1" ht="15.75" customHeight="1"/>
    <row r="823" hidden="1" ht="15.75" customHeight="1"/>
    <row r="824" hidden="1" ht="15.75" customHeight="1"/>
    <row r="825" hidden="1" ht="15.75" customHeight="1"/>
    <row r="826" hidden="1" ht="15.75" customHeight="1"/>
    <row r="827" hidden="1" ht="15.75" customHeight="1"/>
    <row r="828" hidden="1" ht="15.75" customHeight="1"/>
    <row r="829" hidden="1" ht="15.75" customHeight="1"/>
    <row r="830" hidden="1" ht="15.75" customHeight="1"/>
    <row r="831" hidden="1" ht="15.75" customHeight="1"/>
    <row r="832" hidden="1" ht="15.75" customHeight="1"/>
    <row r="833" hidden="1" ht="15.75" customHeight="1"/>
    <row r="834" hidden="1" ht="15.75" customHeight="1"/>
    <row r="835" hidden="1" ht="15.75" customHeight="1"/>
    <row r="836" hidden="1" ht="15.75" customHeight="1"/>
    <row r="837" hidden="1" ht="15.75" customHeight="1"/>
    <row r="838" hidden="1" ht="15.75" customHeight="1"/>
    <row r="839" hidden="1" ht="15.75" customHeight="1"/>
    <row r="840" hidden="1" ht="15.75" customHeight="1"/>
    <row r="841" hidden="1" ht="15.75" customHeight="1"/>
    <row r="842" hidden="1" ht="15.75" customHeight="1"/>
    <row r="843" hidden="1" ht="15.75" customHeight="1"/>
    <row r="844" hidden="1" ht="15.75" customHeight="1"/>
    <row r="845" hidden="1" ht="15.75" customHeight="1"/>
    <row r="846" hidden="1" ht="15.75" customHeight="1"/>
    <row r="847" hidden="1" ht="15.75" customHeight="1"/>
    <row r="848" hidden="1" ht="15.75" customHeight="1"/>
    <row r="849" hidden="1" ht="15.75" customHeight="1"/>
    <row r="850" hidden="1" ht="15.75" customHeight="1"/>
    <row r="851" hidden="1" ht="15.75" customHeight="1"/>
    <row r="852" hidden="1" ht="15.75" customHeight="1"/>
    <row r="853" hidden="1" ht="15.75" customHeight="1"/>
    <row r="854" hidden="1" ht="15.75" customHeight="1"/>
    <row r="855" hidden="1" ht="15.75" customHeight="1"/>
    <row r="856" hidden="1" ht="15.75" customHeight="1"/>
    <row r="857" hidden="1" ht="15.75" customHeight="1"/>
    <row r="858" hidden="1" ht="15.75" customHeight="1"/>
    <row r="859" hidden="1" ht="15.75" customHeight="1"/>
    <row r="860" hidden="1" ht="15.75" customHeight="1"/>
    <row r="861" hidden="1" ht="15.75" customHeight="1"/>
    <row r="862" hidden="1" ht="15.75" customHeight="1"/>
    <row r="863" hidden="1" ht="15.75" customHeight="1"/>
    <row r="864" hidden="1" ht="15.75" customHeight="1"/>
    <row r="865" hidden="1" ht="15.75" customHeight="1"/>
    <row r="866" hidden="1" ht="15.75" customHeight="1"/>
    <row r="867" hidden="1" ht="15.75" customHeight="1"/>
    <row r="868" hidden="1" ht="15.75" customHeight="1"/>
    <row r="869" hidden="1" ht="15.75" customHeight="1"/>
    <row r="870" hidden="1" ht="15.75" customHeight="1"/>
    <row r="871" hidden="1" ht="15.75" customHeight="1"/>
    <row r="872" hidden="1" ht="15.75" customHeight="1"/>
    <row r="873" hidden="1" ht="15.75" customHeight="1"/>
    <row r="874" hidden="1" ht="15.75" customHeight="1"/>
    <row r="875" hidden="1" ht="15.75" customHeight="1"/>
    <row r="876" hidden="1" ht="15.75" customHeight="1"/>
    <row r="877" hidden="1" ht="15.75" customHeight="1"/>
    <row r="878" hidden="1" ht="15.75" customHeight="1"/>
    <row r="879" hidden="1" ht="15.75" customHeight="1"/>
    <row r="880" hidden="1" ht="15.75" customHeight="1"/>
    <row r="881" hidden="1" ht="15.75" customHeight="1"/>
    <row r="882" hidden="1" ht="15.75" customHeight="1"/>
    <row r="883" hidden="1" ht="15.75" customHeight="1"/>
    <row r="884" hidden="1" ht="15.75" customHeight="1"/>
    <row r="885" hidden="1" ht="15.75" customHeight="1"/>
    <row r="886" hidden="1" ht="15.75" customHeight="1"/>
    <row r="887" hidden="1" ht="15.75" customHeight="1"/>
    <row r="888" hidden="1" ht="15.75" customHeight="1"/>
    <row r="889" hidden="1" ht="15.75" customHeight="1"/>
    <row r="890" hidden="1" ht="15.75" customHeight="1"/>
    <row r="891" hidden="1" ht="15.75" customHeight="1"/>
    <row r="892" hidden="1" ht="15.75" customHeight="1"/>
    <row r="893" hidden="1" ht="15.75" customHeight="1"/>
    <row r="894" hidden="1" ht="15.75" customHeight="1"/>
    <row r="895" hidden="1" ht="15.75" customHeight="1"/>
    <row r="896" hidden="1" ht="15.75" customHeight="1"/>
    <row r="897" hidden="1" ht="15.75" customHeight="1"/>
    <row r="898" hidden="1" ht="15.75" customHeight="1"/>
    <row r="899" hidden="1" ht="15.75" customHeight="1"/>
    <row r="900" hidden="1" ht="15.75" customHeight="1"/>
    <row r="901" hidden="1" ht="15.75" customHeight="1"/>
    <row r="902" hidden="1" ht="15.75" customHeight="1"/>
    <row r="903" hidden="1" ht="15.75" customHeight="1"/>
    <row r="904" hidden="1" ht="15.75" customHeight="1"/>
    <row r="905" hidden="1" ht="15.75" customHeight="1"/>
    <row r="906" hidden="1" ht="15.75" customHeight="1"/>
    <row r="907" hidden="1" ht="15.75" customHeight="1"/>
    <row r="908" hidden="1" ht="15.75" customHeight="1"/>
    <row r="909" hidden="1" ht="15.75" customHeight="1"/>
    <row r="910" hidden="1" ht="15.75" customHeight="1"/>
    <row r="911" hidden="1" ht="15.75" customHeight="1"/>
    <row r="912" hidden="1" ht="15.75" customHeight="1"/>
    <row r="913" hidden="1" ht="15.75" customHeight="1"/>
    <row r="914" hidden="1" ht="15.75" customHeight="1"/>
    <row r="915" hidden="1" ht="15.75" customHeight="1"/>
    <row r="916" hidden="1" ht="15.75" customHeight="1"/>
    <row r="917" hidden="1" ht="15.75" customHeight="1"/>
    <row r="918" hidden="1" ht="15.75" customHeight="1"/>
    <row r="919" hidden="1" ht="15.75" customHeight="1"/>
    <row r="920" hidden="1" ht="15.75" customHeight="1"/>
    <row r="921" hidden="1" ht="15.75" customHeight="1"/>
    <row r="922" hidden="1" ht="15.75" customHeight="1"/>
    <row r="923" hidden="1" ht="15.75" customHeight="1"/>
    <row r="924" hidden="1" ht="15.75" customHeight="1"/>
    <row r="925" hidden="1" ht="15.75" customHeight="1"/>
    <row r="926" hidden="1" ht="15.75" customHeight="1"/>
    <row r="927" hidden="1" ht="15.75" customHeight="1"/>
    <row r="928" hidden="1" ht="15.75" customHeight="1"/>
    <row r="929" hidden="1" ht="15.75" customHeight="1"/>
    <row r="930" hidden="1" ht="15.75" customHeight="1"/>
    <row r="931" hidden="1" ht="15.75" customHeight="1"/>
    <row r="932" hidden="1" ht="15.75" customHeight="1"/>
    <row r="933" hidden="1" ht="15.75" customHeight="1"/>
    <row r="934" hidden="1" ht="15.75" customHeight="1"/>
    <row r="935" hidden="1" ht="15.75" customHeight="1"/>
    <row r="936" hidden="1" ht="15.75" customHeight="1"/>
    <row r="937" hidden="1" ht="15.75" customHeight="1"/>
    <row r="938" hidden="1" ht="15.75" customHeight="1"/>
    <row r="939" hidden="1" ht="15.75" customHeight="1"/>
    <row r="940" hidden="1" ht="15.75" customHeight="1"/>
    <row r="941" hidden="1" ht="15.75" customHeight="1"/>
    <row r="942" hidden="1" ht="15.75" customHeight="1"/>
    <row r="943" hidden="1" ht="15.75" customHeight="1"/>
    <row r="944" hidden="1" ht="15.75" customHeight="1"/>
    <row r="945" hidden="1" ht="15.75" customHeight="1"/>
    <row r="946" hidden="1" ht="15.75" customHeight="1"/>
    <row r="947" hidden="1" ht="15.75" customHeight="1"/>
    <row r="948" hidden="1" ht="15.75" customHeight="1"/>
    <row r="949" hidden="1" ht="15.75" customHeight="1"/>
    <row r="950" hidden="1" ht="15.75" customHeight="1"/>
    <row r="951" hidden="1" ht="15.75" customHeight="1"/>
    <row r="952" hidden="1" ht="15.75" customHeight="1"/>
    <row r="953" hidden="1" ht="15.75" customHeight="1"/>
    <row r="954" hidden="1" ht="15.75" customHeight="1"/>
    <row r="955" hidden="1" ht="15.75" customHeight="1"/>
    <row r="956" hidden="1" ht="15.75" customHeight="1"/>
    <row r="957" hidden="1" ht="15.75" customHeight="1"/>
    <row r="958" hidden="1" ht="15.75" customHeight="1"/>
    <row r="959" hidden="1" ht="15.75" customHeight="1"/>
    <row r="960" hidden="1" ht="15.75" customHeight="1"/>
    <row r="961" hidden="1" ht="15.75" customHeight="1"/>
    <row r="962" hidden="1" ht="15.75" customHeight="1"/>
    <row r="963" hidden="1" ht="15.75" customHeight="1"/>
    <row r="964" hidden="1" ht="15.75" customHeight="1"/>
    <row r="965" hidden="1" ht="15.75" customHeight="1"/>
    <row r="966" hidden="1" ht="15.75" customHeight="1"/>
    <row r="967" hidden="1" ht="15.75" customHeight="1"/>
    <row r="968" hidden="1" ht="15.75" customHeight="1"/>
    <row r="969" hidden="1" ht="15.75" customHeight="1"/>
    <row r="970" hidden="1" ht="15.75" customHeight="1"/>
    <row r="971" hidden="1" ht="15.75" customHeight="1"/>
    <row r="972" hidden="1" ht="15.75" customHeight="1"/>
    <row r="973" hidden="1" ht="15.75" customHeight="1"/>
    <row r="974" hidden="1" ht="15.75" customHeight="1"/>
    <row r="975" hidden="1" ht="15.75" customHeight="1"/>
    <row r="976" hidden="1" ht="15.75" customHeight="1"/>
    <row r="977" hidden="1" ht="15.75" customHeight="1"/>
    <row r="978" hidden="1" ht="15.75" customHeight="1"/>
    <row r="979" hidden="1" ht="15.75" customHeight="1"/>
    <row r="980" hidden="1" ht="15.75" customHeight="1"/>
    <row r="981" hidden="1" ht="15.75" customHeight="1"/>
    <row r="982" hidden="1" ht="15.75" customHeight="1"/>
    <row r="983" hidden="1" ht="15.75" customHeight="1"/>
    <row r="984" hidden="1" ht="15.75" customHeight="1"/>
    <row r="985" hidden="1" ht="15.75" customHeight="1"/>
    <row r="986" hidden="1" ht="15.75" customHeight="1"/>
    <row r="987" hidden="1" ht="15.75" customHeight="1"/>
    <row r="988" hidden="1" ht="15.75" customHeight="1"/>
    <row r="989" hidden="1" ht="15.75" customHeight="1"/>
    <row r="990" hidden="1" ht="15.75" customHeight="1"/>
    <row r="991" hidden="1" ht="15.75" customHeight="1"/>
    <row r="992" hidden="1" ht="15.75" customHeight="1"/>
    <row r="993" hidden="1" ht="15.75" customHeight="1"/>
    <row r="994" hidden="1" ht="15.75" customHeight="1"/>
    <row r="995" hidden="1" ht="15.75" customHeight="1"/>
    <row r="996" hidden="1" ht="15.75" customHeight="1"/>
    <row r="997" hidden="1" ht="15.75" customHeight="1"/>
    <row r="998" hidden="1" ht="15.75" customHeight="1"/>
    <row r="999" hidden="1" ht="15.75" customHeight="1"/>
    <row r="1000" hidden="1" ht="15.75" customHeight="1"/>
    <row r="1001" hidden="1" ht="15.75" customHeight="1"/>
    <row r="1002" hidden="1" ht="15.75" customHeight="1"/>
    <row r="1003" hidden="1" ht="15.75" customHeight="1"/>
    <row r="1004" hidden="1" ht="15.75" customHeight="1"/>
    <row r="1005" hidden="1" ht="15.75" customHeight="1"/>
    <row r="1006" hidden="1" ht="15.75" customHeight="1"/>
    <row r="1007" hidden="1" ht="15.75" customHeight="1"/>
    <row r="1008" hidden="1" ht="15.75" customHeight="1"/>
    <row r="1009" hidden="1" ht="15.75" customHeight="1"/>
    <row r="1010" hidden="1" ht="15.75" customHeight="1"/>
    <row r="1011" hidden="1" ht="15.75" customHeight="1"/>
    <row r="1012" hidden="1" ht="15.75" customHeight="1"/>
    <row r="1013" hidden="1" ht="15.75" customHeight="1"/>
    <row r="1014" hidden="1" ht="15.75" customHeight="1"/>
    <row r="1015" hidden="1" ht="15.75" customHeight="1"/>
    <row r="1016" hidden="1" ht="15.75" customHeight="1"/>
    <row r="1017" hidden="1" ht="15.75" customHeight="1"/>
    <row r="1018" hidden="1" ht="15.75" customHeight="1"/>
    <row r="1019" hidden="1" ht="15.75" customHeight="1"/>
    <row r="1020" hidden="1" ht="15.75" customHeight="1"/>
    <row r="1021" hidden="1" ht="15.75" customHeight="1"/>
    <row r="1022" hidden="1" ht="15.75" customHeight="1"/>
    <row r="1023" hidden="1" ht="15.75" customHeight="1"/>
    <row r="1024" hidden="1" ht="15.75" customHeight="1"/>
    <row r="1025" hidden="1" ht="15.75" customHeight="1"/>
    <row r="1026" hidden="1" ht="15.75" customHeight="1"/>
    <row r="1027" hidden="1" ht="15.75" customHeight="1"/>
    <row r="1028" hidden="1" ht="15.75" customHeight="1"/>
    <row r="1029" hidden="1" ht="15.75" customHeight="1"/>
    <row r="1030" hidden="1" ht="15.75" customHeight="1"/>
    <row r="1031" hidden="1" ht="15.75" customHeight="1"/>
    <row r="1032" hidden="1" ht="15.75" customHeight="1"/>
    <row r="1033" hidden="1" ht="15.75" customHeight="1"/>
    <row r="1034" hidden="1" ht="15.75" customHeight="1"/>
    <row r="1035" hidden="1" ht="15.75" customHeight="1"/>
    <row r="1036" hidden="1" ht="15.75" customHeight="1"/>
    <row r="1037" hidden="1" ht="15.75" customHeight="1"/>
    <row r="1038" hidden="1" ht="15.75" customHeight="1"/>
    <row r="1039" hidden="1" ht="15.75" customHeight="1"/>
    <row r="1040" hidden="1" ht="15.75" customHeight="1"/>
    <row r="1041" hidden="1" ht="15.75" customHeight="1"/>
    <row r="1042" hidden="1" ht="15.75" customHeight="1"/>
    <row r="1043" hidden="1" ht="15.75" customHeight="1"/>
    <row r="1044" hidden="1" ht="15.75" customHeight="1"/>
    <row r="1045" hidden="1" ht="15.75" customHeight="1"/>
    <row r="1046" hidden="1" ht="15.75" customHeight="1"/>
    <row r="1047" hidden="1" ht="15.75" customHeight="1"/>
    <row r="1048" hidden="1" ht="15.75" customHeight="1"/>
    <row r="1049" hidden="1" ht="15.75" customHeight="1"/>
    <row r="1050" hidden="1" ht="15.75" customHeight="1"/>
    <row r="1051" hidden="1" ht="15.75" customHeight="1"/>
    <row r="1052" hidden="1" ht="15.75" customHeight="1"/>
    <row r="1053" hidden="1" ht="15.75" customHeight="1"/>
    <row r="1054" hidden="1" ht="15.75" customHeight="1"/>
    <row r="1055" hidden="1" ht="15.75" customHeight="1"/>
    <row r="1056" hidden="1" ht="15.75" customHeight="1"/>
    <row r="1057" hidden="1" ht="15.75" customHeight="1"/>
    <row r="1058" hidden="1" ht="15.75" customHeight="1"/>
    <row r="1059" hidden="1" ht="15.75" customHeight="1"/>
    <row r="1060" hidden="1" ht="15.75" customHeight="1"/>
    <row r="1061" hidden="1" ht="15.75" customHeight="1"/>
    <row r="1062" hidden="1" ht="15.75" customHeight="1"/>
    <row r="1063" hidden="1" ht="15.75" customHeight="1"/>
    <row r="1064" hidden="1" ht="15.75" customHeight="1"/>
    <row r="1065" hidden="1" ht="15.75" customHeight="1"/>
    <row r="1066" hidden="1" ht="15.75" customHeight="1"/>
    <row r="1067" hidden="1" ht="15.75" customHeight="1"/>
    <row r="1068" hidden="1" ht="15.75" customHeight="1"/>
    <row r="1069" hidden="1" ht="15.75" customHeight="1"/>
    <row r="1070" hidden="1" ht="15.75" customHeight="1"/>
    <row r="1071" hidden="1" ht="15.75" customHeight="1"/>
    <row r="1072" hidden="1" ht="15.75" customHeight="1"/>
    <row r="1073" hidden="1" ht="15.75" customHeight="1"/>
    <row r="1074" hidden="1" ht="15.75" customHeight="1"/>
    <row r="1075" hidden="1" ht="15.75" customHeight="1"/>
    <row r="1076" hidden="1" ht="15.75" customHeight="1"/>
    <row r="1077" hidden="1" ht="15.75" customHeight="1"/>
    <row r="1078" hidden="1" ht="15.75" customHeight="1"/>
    <row r="1079" hidden="1" ht="15.75" customHeight="1"/>
    <row r="1080" hidden="1" ht="15.75" customHeight="1"/>
    <row r="1081" hidden="1" ht="15.75" customHeight="1"/>
    <row r="1082" hidden="1" ht="15.75" customHeight="1"/>
    <row r="1083" hidden="1" ht="15.75" customHeight="1"/>
    <row r="1084" hidden="1" ht="15.75" customHeight="1"/>
  </sheetData>
  <mergeCells count="6">
    <mergeCell ref="A1:F1"/>
    <mergeCell ref="A2:F2"/>
    <mergeCell ref="A3:B3"/>
    <mergeCell ref="C3:F3"/>
    <mergeCell ref="A4:B4"/>
    <mergeCell ref="C4:F4"/>
  </mergeCells>
  <pageMargins left="0.1968503937007874" right="0.1968503937007874" top="0" bottom="0.2755905511811024" header="0" footer="0"/>
  <ignoredErrors>
    <ignoredError numberStoredAsText="1" sqref="A1:AB108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421"/>
  <sheetViews>
    <sheetView workbookViewId="0" rightToLeft="0"/>
  </sheetViews>
  <cols>
    <col min="1" max="1" customWidth="1" width="6.140625"/>
    <col min="2" max="2" customWidth="1" width="19.140625"/>
    <col min="3" max="3" customWidth="1" width="8"/>
    <col min="4" max="4" customWidth="1" width="8"/>
    <col min="5" max="5" customWidth="1" width="8"/>
    <col min="6" max="6" customWidth="1" width="8"/>
    <col min="7" max="7" customWidth="1" width="8"/>
    <col min="8" max="8" customWidth="1" width="8"/>
    <col min="9" max="9" customWidth="1" width="8"/>
    <col min="10" max="10" customWidth="1" width="10.140625"/>
    <col min="11" max="11" customWidth="1" width="8"/>
    <col min="12" max="12" customWidth="1" width="8"/>
    <col min="13" max="13" customWidth="1" width="8"/>
    <col min="14" max="14" customWidth="1" width="8"/>
    <col min="15" max="15" customWidth="1" width="8"/>
    <col min="16" max="16" customWidth="1" width="8"/>
    <col min="17" max="17" customWidth="1" width="8"/>
    <col min="18" max="18" customWidth="1" width="8"/>
    <col min="19" max="19" customWidth="1" width="8"/>
    <col min="20" max="20" customWidth="1" width="8"/>
    <col min="21" max="21" customWidth="1" width="8"/>
    <col min="22" max="22" customWidth="1" width="8"/>
    <col min="23" max="23" customWidth="1" width="14.42578125"/>
    <col min="24" max="24" customWidth="1" width="14.42578125"/>
    <col min="25" max="25" customWidth="1" width="8"/>
    <col min="26" max="26" customWidth="1" width="8"/>
  </cols>
  <sheetData>
    <row r="1" ht="26.25" customHeight="1">
      <c r="A1" s="3">
        <f>'Final Attainment'!A1:V1</f>
        <v>0</v>
      </c>
    </row>
    <row r="2" ht="19.5" customHeight="1">
      <c r="A2" s="3">
        <f>'Final Attainment'!A2:V2</f>
        <v>0</v>
      </c>
    </row>
    <row r="3" ht="15.75" customHeight="1"/>
    <row r="4" ht="39" customHeight="1">
      <c r="A4" s="3" t="str">
        <v>Academic Year:</v>
      </c>
      <c r="C4" s="3" t="str">
        <f>'Final Attainment'!C4</f>
        <v>2024-2025 EVEN</v>
      </c>
      <c r="E4" s="3" t="str">
        <v>Sem &amp; Year:</v>
      </c>
      <c r="G4" s="3" t="str">
        <f>'Final Attainment'!G4</f>
        <v>IV &amp; II</v>
      </c>
      <c r="H4" s="3" t="str">
        <v>Course Code &amp; Title:</v>
      </c>
      <c r="K4" s="3" t="str">
        <f>'Final Attainment'!K4:Q4</f>
        <v>22EE401 &amp; POWER GENERATION, TRANSMISSION AND DISTRIBUTION</v>
      </c>
      <c r="R4" s="3" t="str">
        <v>Faculty:</v>
      </c>
      <c r="S4" s="3" t="str">
        <f>'Final Attainment'!S4</f>
        <v>Dr.SIVARAMAN P / EE1329</v>
      </c>
    </row>
    <row r="5" ht="16.5" customHeight="1"/>
    <row r="6" ht="28.5" customHeight="1" xml:space="preserve">
      <c r="A6" s="4" t="str" xml:space="preserve">
        <v xml:space="preserve">PT 1_x000d_
</v>
      </c>
    </row>
    <row r="7" ht="27.75" customHeight="1" xml:space="preserve">
      <c r="A7" s="4" t="str">
        <v>Scale</v>
      </c>
      <c r="B7" s="4" t="str" xml:space="preserve">
        <f>'Final Attainment'!X1</f>
        <v xml:space="preserve">CO Attainment Level 0: &lt;50% of students scoring less than the target marks_x000d_
CO Attainment Level 1: 50% of students scoring more than the target marks_x000d_
CO Attainment Level 2: 60% of students scoring more than the target marks_x000d_
CO Attainment Level 3: 70% of students scoring more than the target marks</v>
      </c>
      <c r="L7" s="4" t="str">
        <v>CO Attainment Summary</v>
      </c>
    </row>
    <row r="8" ht="15.75" customHeight="1">
      <c r="R8" s="4" t="str">
        <v>CO1</v>
      </c>
      <c r="S8" s="4" t="str">
        <v>CO2</v>
      </c>
      <c r="T8" s="4" t="str">
        <v>CO3</v>
      </c>
      <c r="U8" s="4" t="str">
        <v>CO4</v>
      </c>
      <c r="V8" s="4" t="str">
        <v>CO5</v>
      </c>
    </row>
    <row r="9" ht="19.5" customHeight="1">
      <c r="L9" s="4" t="str">
        <v>Total No. of Students</v>
      </c>
      <c r="R9" s="4">
        <f>COUNTIF(H16:H421,"&gt;=0")</f>
        <v>66</v>
      </c>
      <c r="S9" s="4">
        <f>COUNTIF(I16:I421,"&gt;=0")</f>
        <v>66</v>
      </c>
      <c r="T9" s="4">
        <f>COUNTIF(J16:J421,"&gt;=0")</f>
        <v>66</v>
      </c>
      <c r="U9" s="4">
        <f>COUNTIF(K16:K421,"&gt;=0")</f>
        <v>0</v>
      </c>
      <c r="V9" s="4">
        <f>COUNTIF(L16:L421,"&gt;=0")</f>
        <v>0</v>
      </c>
    </row>
    <row r="10" ht="15.75" customHeight="1">
      <c r="A10" s="4" t="str">
        <v>Target CO%:</v>
      </c>
      <c r="E10" s="4">
        <f>'Final Attainment'!E7</f>
        <v>58</v>
      </c>
      <c r="L10" s="4" t="str">
        <v>Total No. of Students Achieved the Target CO%</v>
      </c>
      <c r="R10" s="4">
        <f>COUNTIF(M16:M421,"&gt;="&amp;$E$10)</f>
        <v>44</v>
      </c>
      <c r="S10" s="4">
        <f>COUNTIF(N16:N421,"&gt;="&amp;$E$10)</f>
        <v>40</v>
      </c>
      <c r="T10" s="4">
        <f>COUNTIF(O16:O421,"&gt;="&amp;$E$10)</f>
        <v>47</v>
      </c>
      <c r="U10" s="4">
        <f>COUNTIF(P16:P421,"&gt;="&amp;$E$10)</f>
        <v>0</v>
      </c>
      <c r="V10" s="4">
        <f>COUNTIF(Q16:Q421,"&gt;="&amp;$E$10)</f>
        <v>0</v>
      </c>
    </row>
    <row r="11" ht="15.75" customHeight="1">
      <c r="A11" s="4" t="str">
        <v>Total No. of Students:</v>
      </c>
      <c r="E11" s="4">
        <f>COUNTA(B16:B421)</f>
        <v>66</v>
      </c>
      <c r="L11" s="4" t="str">
        <v>Attainment Level</v>
      </c>
      <c r="R11" s="10">
        <f>IFERROR(__xludf.DUMMYFUNCTION("IF(R10=0,"""",if(CEILING(R10/R9*100)=100,query('Final Attainment'!$H$7:$J$12, ""select H where  I&lt;=""&amp;CEILING(R10/R9*100)&amp;"" and J&gt;=""&amp;CEILING(R10/R9*100)&amp;"""" ),query('Final Attainment'!$H$7:$J$12, ""select H where  I&lt;=""&amp;CEILING(R10/R9*100)&amp;"" and J&gt;""&amp;"&amp;"CEILING(R10/R9*100)&amp;"""" )))"),2)</f>
        <v>2</v>
      </c>
      <c r="S11" s="10">
        <f>IFERROR(__xludf.DUMMYFUNCTION("IF(S10=0,"""",if(CEILING(S10/S9*100)=100,query('Final Attainment'!$H$7:$J$12, ""select H where  I&lt;=""&amp;CEILING(S10/S9*100)&amp;"" and J&gt;=""&amp;CEILING(S10/S9*100)&amp;"""" ),query('Final Attainment'!$H$7:$J$12, ""select H where  I&lt;=""&amp;CEILING(S10/S9*100)&amp;"" and J&gt;""&amp;"&amp;"CEILING(S10/S9*100)&amp;"""" )))"),2)</f>
        <v>2</v>
      </c>
      <c r="T11" s="10">
        <f>IFERROR(__xludf.DUMMYFUNCTION("IF(T10=0,"""",if(CEILING(T10/T9*100)=100,query('Final Attainment'!$H$7:$J$12, ""select H where  I&lt;=""&amp;CEILING(T10/T9*100)&amp;"" and J&gt;=""&amp;CEILING(T10/T9*100)&amp;"""" ),query('Final Attainment'!$H$7:$J$12, ""select H where  I&lt;=""&amp;CEILING(T10/T9*100)&amp;"" and J&gt;""&amp;"&amp;"CEILING(T10/T9*100)&amp;"""" )))"),3)</f>
        <v>3</v>
      </c>
      <c r="U11" s="10" t="str">
        <f>IFERROR(__xludf.DUMMYFUNCTION("IF(U10=0,"""",if(CEILING(U10/U9*100)=100,query('Final Attainment'!$H$7:$J$12, ""select H where  I&lt;=""&amp;CEILING(U10/U9*100)&amp;"" and J&gt;=""&amp;CEILING(U10/U9*100)&amp;"""" ),query('Final Attainment'!$H$7:$J$12, ""select H where  I&lt;=""&amp;CEILING(U10/U9*100)&amp;"" and J&gt;""&amp;"&amp;"CEILING(U10/U9*100)&amp;"""" )))"),"")</f>
        <v/>
      </c>
      <c r="V11" s="10" t="str">
        <f>IFERROR(__xludf.DUMMYFUNCTION("IF(V10=0,"""",if(CEILING(V10/V9*100)=100,query('Final Attainment'!$H$7:$J$12, ""select H where  I&lt;=""&amp;CEILING(V10/V9*100)&amp;"" and J&gt;=""&amp;CEILING(V10/V9*100)&amp;"""" ),query('Final Attainment'!$H$7:$J$12, ""select H where  I&lt;=""&amp;CEILING(V10/V9*100)&amp;"" and J&gt;""&amp;"&amp;"CEILING(V10/V9*100)&amp;"""" )))"),"")</f>
        <v/>
      </c>
    </row>
    <row r="12" ht="16.5" customHeight="1">
      <c r="A12" s="4" t="str">
        <v>Total No. of Attended Students:</v>
      </c>
      <c r="E12" s="4">
        <f>R9</f>
        <v>66</v>
      </c>
      <c r="L12" s="4" t="str">
        <v>Total No. of Students who need Remedial Class</v>
      </c>
      <c r="R12" s="11">
        <f>R9-R10</f>
        <v>22</v>
      </c>
      <c r="S12" s="11">
        <f>S9-S10</f>
        <v>26</v>
      </c>
      <c r="T12" s="11">
        <f>T9-T10</f>
        <v>19</v>
      </c>
      <c r="U12" s="11">
        <f>U9-U10</f>
        <v>0</v>
      </c>
      <c r="V12" s="11">
        <f>V9-V10</f>
        <v>0</v>
      </c>
    </row>
    <row r="13" ht="15.75" customHeight="1"/>
    <row r="14" ht="15.75" customHeight="1">
      <c r="A14" s="12" t="str">
        <v>S.No</v>
      </c>
      <c r="B14" s="12" t="str">
        <v>Reg.No.</v>
      </c>
      <c r="C14" s="12" t="str">
        <v>MARKS ALLOCATED</v>
      </c>
      <c r="H14" s="12" t="str">
        <v>MARKS OBTAINED</v>
      </c>
      <c r="M14" s="12" t="str">
        <v>CO ATTAINMENT %</v>
      </c>
      <c r="R14" s="12" t="str">
        <v>ATTAINMENT of COs</v>
      </c>
      <c r="W14" s="12" t="str">
        <v>PT1</v>
      </c>
    </row>
    <row r="15" ht="15.75" customHeight="1">
      <c r="C15" s="12" t="str">
        <v>CO1</v>
      </c>
      <c r="D15" s="12" t="str">
        <v>CO2</v>
      </c>
      <c r="E15" s="12" t="str">
        <v>CO3</v>
      </c>
      <c r="F15" s="12" t="str">
        <v>CO4</v>
      </c>
      <c r="G15" s="12" t="str">
        <v>CO5</v>
      </c>
      <c r="H15" s="12" t="str">
        <v>CO1</v>
      </c>
      <c r="I15" s="12" t="str">
        <v>CO2</v>
      </c>
      <c r="J15" s="12" t="str">
        <v>CO3</v>
      </c>
      <c r="K15" s="12" t="str">
        <v>CO4</v>
      </c>
      <c r="L15" s="12" t="str">
        <v>CO5</v>
      </c>
      <c r="M15" s="12" t="str">
        <v>CO1</v>
      </c>
      <c r="N15" s="12" t="str">
        <v>CO2</v>
      </c>
      <c r="O15" s="12" t="str">
        <v>CO3</v>
      </c>
      <c r="P15" s="12" t="str">
        <v>CO4</v>
      </c>
      <c r="Q15" s="12" t="str">
        <v>CO5</v>
      </c>
      <c r="R15" s="12" t="str">
        <v>CO1</v>
      </c>
      <c r="S15" s="12" t="str">
        <v>CO2</v>
      </c>
      <c r="T15" s="12" t="str">
        <v>CO3</v>
      </c>
      <c r="U15" s="12" t="str">
        <v>CO4</v>
      </c>
      <c r="V15" s="12" t="str">
        <v>CO5</v>
      </c>
      <c r="W15" s="12" t="str">
        <v>Marks</v>
      </c>
    </row>
    <row r="16" ht="16.5" customHeight="1">
      <c r="A16" s="3">
        <f>Theory!A6</f>
        <v>1</v>
      </c>
      <c r="B16" s="3" t="str">
        <f>Theory!B6</f>
        <v>7376231EE102</v>
      </c>
      <c r="C16" s="11">
        <v>20</v>
      </c>
      <c r="D16" s="11">
        <v>20</v>
      </c>
      <c r="E16" s="11">
        <v>10</v>
      </c>
      <c r="H16" s="3">
        <v>13</v>
      </c>
      <c r="I16" s="3">
        <v>13</v>
      </c>
      <c r="J16" s="4">
        <v>7</v>
      </c>
      <c r="M16" s="11">
        <f>IF(C16="","",H16*100/C16)</f>
        <v>65</v>
      </c>
      <c r="N16" s="11">
        <f>IF(D16="","",I16*100/D16)</f>
        <v>65</v>
      </c>
      <c r="O16" s="11">
        <f>IF(E16="","",J16*100/E16)</f>
        <v>70</v>
      </c>
      <c r="P16" s="11" t="str">
        <f>IF(F16="","",K16*100/F16)</f>
        <v/>
      </c>
      <c r="Q16" s="11" t="str">
        <f>IF(G16="","",L16*100/G16)</f>
        <v/>
      </c>
      <c r="R16" s="3" t="str">
        <f>IF(M16&gt;=$E$10,"1","0")</f>
        <v>1</v>
      </c>
      <c r="S16" s="3" t="str">
        <f>IF(N16&gt;=$E$10,"1","0")</f>
        <v>1</v>
      </c>
      <c r="T16" s="3" t="str">
        <f>IF(O16&gt;=$E$10,"1","0")</f>
        <v>1</v>
      </c>
      <c r="W16" s="3">
        <f>Theory!D6</f>
        <v>33</v>
      </c>
    </row>
    <row r="17" ht="16.5" customHeight="1">
      <c r="A17" s="3">
        <f>Theory!A7</f>
        <v>2</v>
      </c>
      <c r="B17" s="3" t="str">
        <f>Theory!B7</f>
        <v>7376231EE103</v>
      </c>
      <c r="C17" s="11">
        <v>20</v>
      </c>
      <c r="D17" s="11">
        <v>20</v>
      </c>
      <c r="E17" s="11">
        <v>10</v>
      </c>
      <c r="H17" s="3">
        <v>13</v>
      </c>
      <c r="I17" s="3">
        <v>13</v>
      </c>
      <c r="J17" s="4">
        <v>7</v>
      </c>
      <c r="M17" s="11">
        <f>IF(C17="","",H17*100/C17)</f>
        <v>65</v>
      </c>
      <c r="N17" s="11">
        <f>IF(D17="","",I17*100/D17)</f>
        <v>65</v>
      </c>
      <c r="O17" s="11">
        <f>IF(E17="","",J17*100/E17)</f>
        <v>70</v>
      </c>
      <c r="P17" s="11" t="str">
        <f>IF(F17="","",K17*100/F17)</f>
        <v/>
      </c>
      <c r="Q17" s="11" t="str">
        <f>IF(G17="","",L17*100/G17)</f>
        <v/>
      </c>
      <c r="R17" s="3" t="str">
        <f>IF(M17&gt;=$E$10,"1","0")</f>
        <v>1</v>
      </c>
      <c r="S17" s="3" t="str">
        <f>IF(N17&gt;=$E$10,"1","0")</f>
        <v>1</v>
      </c>
      <c r="T17" s="3" t="str">
        <f>IF(O17&gt;=$E$10,"1","0")</f>
        <v>1</v>
      </c>
      <c r="W17" s="3">
        <f>Theory!D7</f>
        <v>33</v>
      </c>
    </row>
    <row r="18" ht="16.5" customHeight="1">
      <c r="A18" s="3">
        <f>Theory!A8</f>
        <v>3</v>
      </c>
      <c r="B18" s="3" t="str">
        <f>Theory!B8</f>
        <v>7376231EE104</v>
      </c>
      <c r="C18" s="11">
        <v>20</v>
      </c>
      <c r="D18" s="11">
        <v>20</v>
      </c>
      <c r="E18" s="11">
        <v>10</v>
      </c>
      <c r="H18" s="3">
        <v>7</v>
      </c>
      <c r="I18" s="3">
        <v>7</v>
      </c>
      <c r="J18" s="4">
        <v>4</v>
      </c>
      <c r="M18" s="11">
        <f>IF(C18="","",H18*100/C18)</f>
        <v>35</v>
      </c>
      <c r="N18" s="11">
        <f>IF(D18="","",I18*100/D18)</f>
        <v>35</v>
      </c>
      <c r="O18" s="11">
        <f>IF(E18="","",J18*100/E18)</f>
        <v>40</v>
      </c>
      <c r="P18" s="11" t="str">
        <f>IF(F18="","",K18*100/F18)</f>
        <v/>
      </c>
      <c r="Q18" s="11" t="str">
        <f>IF(G18="","",L18*100/G18)</f>
        <v/>
      </c>
      <c r="R18" s="3" t="str">
        <f>IF(M18&gt;=$E$10,"1","0")</f>
        <v>0</v>
      </c>
      <c r="S18" s="3" t="str">
        <f>IF(N18&gt;=$E$10,"1","0")</f>
        <v>0</v>
      </c>
      <c r="T18" s="3" t="str">
        <f>IF(O18&gt;=$E$10,"1","0")</f>
        <v>0</v>
      </c>
      <c r="W18" s="3">
        <f>Theory!D8</f>
        <v>18</v>
      </c>
    </row>
    <row r="19" ht="16.5" customHeight="1">
      <c r="A19" s="3">
        <f>Theory!A9</f>
        <v>4</v>
      </c>
      <c r="B19" s="3" t="str">
        <f>Theory!B9</f>
        <v>7376231EE105</v>
      </c>
      <c r="C19" s="11">
        <v>20</v>
      </c>
      <c r="D19" s="11">
        <v>20</v>
      </c>
      <c r="E19" s="11">
        <v>10</v>
      </c>
      <c r="H19" s="3">
        <v>14</v>
      </c>
      <c r="I19" s="3">
        <v>14</v>
      </c>
      <c r="J19" s="4">
        <v>6</v>
      </c>
      <c r="M19" s="11">
        <f>IF(C19="","",H19*100/C19)</f>
        <v>70</v>
      </c>
      <c r="N19" s="11">
        <f>IF(D19="","",I19*100/D19)</f>
        <v>70</v>
      </c>
      <c r="O19" s="11">
        <f>IF(E19="","",J19*100/E19)</f>
        <v>60</v>
      </c>
      <c r="P19" s="11" t="str">
        <f>IF(F19="","",K19*100/F19)</f>
        <v/>
      </c>
      <c r="Q19" s="11" t="str">
        <f>IF(G19="","",L19*100/G19)</f>
        <v/>
      </c>
      <c r="R19" s="3" t="str">
        <f>IF(M19&gt;=$E$10,"1","0")</f>
        <v>1</v>
      </c>
      <c r="S19" s="3" t="str">
        <f>IF(N19&gt;=$E$10,"1","0")</f>
        <v>1</v>
      </c>
      <c r="T19" s="3" t="str">
        <f>IF(O19&gt;=$E$10,"1","0")</f>
        <v>1</v>
      </c>
      <c r="W19" s="3">
        <f>Theory!D9</f>
        <v>34</v>
      </c>
    </row>
    <row r="20" ht="16.5" customHeight="1">
      <c r="A20" s="3">
        <f>Theory!A10</f>
        <v>5</v>
      </c>
      <c r="B20" s="3" t="str">
        <f>Theory!B10</f>
        <v>7376231EE106</v>
      </c>
      <c r="C20" s="11">
        <v>20</v>
      </c>
      <c r="D20" s="11">
        <v>20</v>
      </c>
      <c r="E20" s="11">
        <v>10</v>
      </c>
      <c r="H20" s="3">
        <v>13</v>
      </c>
      <c r="I20" s="3">
        <v>13</v>
      </c>
      <c r="J20" s="4">
        <v>6</v>
      </c>
      <c r="M20" s="11">
        <f>IF(C20="","",H20*100/C20)</f>
        <v>65</v>
      </c>
      <c r="N20" s="11">
        <f>IF(D20="","",I20*100/D20)</f>
        <v>65</v>
      </c>
      <c r="O20" s="11">
        <f>IF(E20="","",J20*100/E20)</f>
        <v>60</v>
      </c>
      <c r="P20" s="11" t="str">
        <f>IF(F20="","",K20*100/F20)</f>
        <v/>
      </c>
      <c r="Q20" s="11" t="str">
        <f>IF(G20="","",L20*100/G20)</f>
        <v/>
      </c>
      <c r="R20" s="3" t="str">
        <f>IF(M20&gt;=$E$10,"1","0")</f>
        <v>1</v>
      </c>
      <c r="S20" s="3" t="str">
        <f>IF(N20&gt;=$E$10,"1","0")</f>
        <v>1</v>
      </c>
      <c r="T20" s="3" t="str">
        <f>IF(O20&gt;=$E$10,"1","0")</f>
        <v>1</v>
      </c>
      <c r="W20" s="3">
        <f>Theory!D10</f>
        <v>32</v>
      </c>
    </row>
    <row r="21" ht="16.5" customHeight="1">
      <c r="A21" s="3">
        <f>Theory!A11</f>
        <v>6</v>
      </c>
      <c r="B21" s="3" t="str">
        <f>Theory!B11</f>
        <v>7376231EE107</v>
      </c>
      <c r="C21" s="11">
        <v>20</v>
      </c>
      <c r="D21" s="11">
        <v>20</v>
      </c>
      <c r="E21" s="11">
        <v>10</v>
      </c>
      <c r="H21" s="3">
        <v>14</v>
      </c>
      <c r="I21" s="3">
        <v>14</v>
      </c>
      <c r="J21" s="4">
        <v>6</v>
      </c>
      <c r="M21" s="11">
        <f>IF(C21="","",H21*100/C21)</f>
        <v>70</v>
      </c>
      <c r="N21" s="11">
        <f>IF(D21="","",I21*100/D21)</f>
        <v>70</v>
      </c>
      <c r="O21" s="11">
        <f>IF(E21="","",J21*100/E21)</f>
        <v>60</v>
      </c>
      <c r="P21" s="11" t="str">
        <f>IF(F21="","",K21*100/F21)</f>
        <v/>
      </c>
      <c r="Q21" s="11" t="str">
        <f>IF(G21="","",L21*100/G21)</f>
        <v/>
      </c>
      <c r="R21" s="3" t="str">
        <f>IF(M21&gt;=$E$10,"1","0")</f>
        <v>1</v>
      </c>
      <c r="S21" s="3" t="str">
        <f>IF(N21&gt;=$E$10,"1","0")</f>
        <v>1</v>
      </c>
      <c r="T21" s="3" t="str">
        <f>IF(O21&gt;=$E$10,"1","0")</f>
        <v>1</v>
      </c>
      <c r="W21" s="3">
        <f>Theory!D11</f>
        <v>34</v>
      </c>
    </row>
    <row r="22" ht="16.5" customHeight="1">
      <c r="A22" s="3">
        <f>Theory!A12</f>
        <v>7</v>
      </c>
      <c r="B22" s="3" t="str">
        <f>Theory!B12</f>
        <v>7376231EE108</v>
      </c>
      <c r="C22" s="11">
        <v>20</v>
      </c>
      <c r="D22" s="11">
        <v>20</v>
      </c>
      <c r="E22" s="11">
        <v>10</v>
      </c>
      <c r="H22" s="3">
        <v>14</v>
      </c>
      <c r="I22" s="3">
        <v>14</v>
      </c>
      <c r="J22" s="4">
        <v>6</v>
      </c>
      <c r="M22" s="11">
        <f>IF(C22="","",H22*100/C22)</f>
        <v>70</v>
      </c>
      <c r="N22" s="11">
        <f>IF(D22="","",I22*100/D22)</f>
        <v>70</v>
      </c>
      <c r="O22" s="11">
        <f>IF(E22="","",J22*100/E22)</f>
        <v>60</v>
      </c>
      <c r="P22" s="11" t="str">
        <f>IF(F22="","",K22*100/F22)</f>
        <v/>
      </c>
      <c r="Q22" s="11" t="str">
        <f>IF(G22="","",L22*100/G22)</f>
        <v/>
      </c>
      <c r="R22" s="3" t="str">
        <f>IF(M22&gt;=$E$10,"1","0")</f>
        <v>1</v>
      </c>
      <c r="S22" s="3" t="str">
        <f>IF(N22&gt;=$E$10,"1","0")</f>
        <v>1</v>
      </c>
      <c r="T22" s="3" t="str">
        <f>IF(O22&gt;=$E$10,"1","0")</f>
        <v>1</v>
      </c>
      <c r="W22" s="3">
        <f>Theory!D12</f>
        <v>34</v>
      </c>
    </row>
    <row r="23" ht="16.5" customHeight="1">
      <c r="A23" s="3">
        <f>Theory!A13</f>
        <v>8</v>
      </c>
      <c r="B23" s="3" t="str">
        <f>Theory!B13</f>
        <v>7376231EE109</v>
      </c>
      <c r="C23" s="11">
        <v>20</v>
      </c>
      <c r="D23" s="11">
        <v>20</v>
      </c>
      <c r="E23" s="11">
        <v>10</v>
      </c>
      <c r="H23" s="3">
        <v>13</v>
      </c>
      <c r="I23" s="3">
        <v>13</v>
      </c>
      <c r="J23" s="4">
        <v>7</v>
      </c>
      <c r="M23" s="11">
        <f>IF(C23="","",H23*100/C23)</f>
        <v>65</v>
      </c>
      <c r="N23" s="11">
        <f>IF(D23="","",I23*100/D23)</f>
        <v>65</v>
      </c>
      <c r="O23" s="11">
        <f>IF(E23="","",J23*100/E23)</f>
        <v>70</v>
      </c>
      <c r="P23" s="11" t="str">
        <f>IF(F23="","",K23*100/F23)</f>
        <v/>
      </c>
      <c r="Q23" s="11" t="str">
        <f>IF(G23="","",L23*100/G23)</f>
        <v/>
      </c>
      <c r="R23" s="3" t="str">
        <f>IF(M23&gt;=$E$10,"1","0")</f>
        <v>1</v>
      </c>
      <c r="S23" s="3" t="str">
        <f>IF(N23&gt;=$E$10,"1","0")</f>
        <v>1</v>
      </c>
      <c r="T23" s="3" t="str">
        <f>IF(O23&gt;=$E$10,"1","0")</f>
        <v>1</v>
      </c>
      <c r="W23" s="3">
        <f>Theory!D13</f>
        <v>33</v>
      </c>
    </row>
    <row r="24" ht="16.5" customHeight="1">
      <c r="A24" s="3">
        <f>Theory!A14</f>
        <v>9</v>
      </c>
      <c r="B24" s="3" t="str">
        <f>Theory!B14</f>
        <v>7376231EE110</v>
      </c>
      <c r="C24" s="11">
        <v>20</v>
      </c>
      <c r="D24" s="11">
        <v>20</v>
      </c>
      <c r="E24" s="11">
        <v>10</v>
      </c>
      <c r="H24" s="3">
        <v>15</v>
      </c>
      <c r="I24" s="3">
        <v>14</v>
      </c>
      <c r="J24" s="4">
        <v>7</v>
      </c>
      <c r="M24" s="11">
        <f>IF(C24="","",H24*100/C24)</f>
        <v>75</v>
      </c>
      <c r="N24" s="11">
        <f>IF(D24="","",I24*100/D24)</f>
        <v>70</v>
      </c>
      <c r="O24" s="11">
        <f>IF(E24="","",J24*100/E24)</f>
        <v>70</v>
      </c>
      <c r="P24" s="11" t="str">
        <f>IF(F24="","",K24*100/F24)</f>
        <v/>
      </c>
      <c r="Q24" s="11" t="str">
        <f>IF(G24="","",L24*100/G24)</f>
        <v/>
      </c>
      <c r="R24" s="3" t="str">
        <f>IF(M24&gt;=$E$10,"1","0")</f>
        <v>1</v>
      </c>
      <c r="S24" s="3" t="str">
        <f>IF(N24&gt;=$E$10,"1","0")</f>
        <v>1</v>
      </c>
      <c r="T24" s="3" t="str">
        <f>IF(O24&gt;=$E$10,"1","0")</f>
        <v>1</v>
      </c>
      <c r="W24" s="3">
        <f>Theory!D14</f>
        <v>36</v>
      </c>
    </row>
    <row r="25" ht="16.5" customHeight="1">
      <c r="A25" s="3">
        <f>Theory!A15</f>
        <v>10</v>
      </c>
      <c r="B25" s="3" t="str">
        <f>Theory!B15</f>
        <v>7376231EE111</v>
      </c>
      <c r="C25" s="11">
        <v>20</v>
      </c>
      <c r="D25" s="11">
        <v>20</v>
      </c>
      <c r="E25" s="11">
        <v>10</v>
      </c>
      <c r="H25" s="3">
        <v>6</v>
      </c>
      <c r="I25" s="3">
        <v>5</v>
      </c>
      <c r="J25" s="4">
        <v>3</v>
      </c>
      <c r="M25" s="11">
        <f>IF(C25="","",H25*100/C25)</f>
        <v>30</v>
      </c>
      <c r="N25" s="11">
        <f>IF(D25="","",I25*100/D25)</f>
        <v>25</v>
      </c>
      <c r="O25" s="11">
        <f>IF(E25="","",J25*100/E25)</f>
        <v>30</v>
      </c>
      <c r="P25" s="11" t="str">
        <f>IF(F25="","",K25*100/F25)</f>
        <v/>
      </c>
      <c r="Q25" s="11" t="str">
        <f>IF(G25="","",L25*100/G25)</f>
        <v/>
      </c>
      <c r="R25" s="3" t="str">
        <f>IF(M25&gt;=$E$10,"1","0")</f>
        <v>0</v>
      </c>
      <c r="S25" s="3" t="str">
        <f>IF(N25&gt;=$E$10,"1","0")</f>
        <v>0</v>
      </c>
      <c r="T25" s="3" t="str">
        <f>IF(O25&gt;=$E$10,"1","0")</f>
        <v>0</v>
      </c>
      <c r="W25" s="3">
        <f>Theory!D15</f>
        <v>14</v>
      </c>
    </row>
    <row r="26" ht="16.5" customHeight="1">
      <c r="A26" s="3">
        <f>Theory!A16</f>
        <v>11</v>
      </c>
      <c r="B26" s="3" t="str">
        <f>Theory!B16</f>
        <v>7376231EE112</v>
      </c>
      <c r="C26" s="11">
        <v>20</v>
      </c>
      <c r="D26" s="11">
        <v>20</v>
      </c>
      <c r="E26" s="11">
        <v>10</v>
      </c>
      <c r="H26" s="3">
        <v>13</v>
      </c>
      <c r="I26" s="3">
        <v>13</v>
      </c>
      <c r="J26" s="4">
        <v>6</v>
      </c>
      <c r="M26" s="11">
        <f>IF(C26="","",H26*100/C26)</f>
        <v>65</v>
      </c>
      <c r="N26" s="11">
        <f>IF(D26="","",I26*100/D26)</f>
        <v>65</v>
      </c>
      <c r="O26" s="11">
        <f>IF(E26="","",J26*100/E26)</f>
        <v>60</v>
      </c>
      <c r="P26" s="11" t="str">
        <f>IF(F26="","",K26*100/F26)</f>
        <v/>
      </c>
      <c r="Q26" s="11" t="str">
        <f>IF(G26="","",L26*100/G26)</f>
        <v/>
      </c>
      <c r="R26" s="3" t="str">
        <f>IF(M26&gt;=$E$10,"1","0")</f>
        <v>1</v>
      </c>
      <c r="S26" s="3" t="str">
        <f>IF(N26&gt;=$E$10,"1","0")</f>
        <v>1</v>
      </c>
      <c r="T26" s="3" t="str">
        <f>IF(O26&gt;=$E$10,"1","0")</f>
        <v>1</v>
      </c>
      <c r="W26" s="3">
        <f>Theory!D16</f>
        <v>32</v>
      </c>
    </row>
    <row r="27" ht="16.5" customHeight="1">
      <c r="A27" s="3">
        <f>Theory!A17</f>
        <v>12</v>
      </c>
      <c r="B27" s="3" t="str">
        <f>Theory!B17</f>
        <v>7376231EE113</v>
      </c>
      <c r="C27" s="11">
        <v>20</v>
      </c>
      <c r="D27" s="11">
        <v>20</v>
      </c>
      <c r="E27" s="11">
        <v>10</v>
      </c>
      <c r="H27" s="3">
        <v>12</v>
      </c>
      <c r="I27" s="3">
        <v>13</v>
      </c>
      <c r="J27" s="4">
        <v>5</v>
      </c>
      <c r="M27" s="11">
        <f>IF(C27="","",H27*100/C27)</f>
        <v>60</v>
      </c>
      <c r="N27" s="11">
        <f>IF(D27="","",I27*100/D27)</f>
        <v>65</v>
      </c>
      <c r="O27" s="11">
        <f>IF(E27="","",J27*100/E27)</f>
        <v>50</v>
      </c>
      <c r="P27" s="11" t="str">
        <f>IF(F27="","",K27*100/F27)</f>
        <v/>
      </c>
      <c r="Q27" s="11" t="str">
        <f>IF(G27="","",L27*100/G27)</f>
        <v/>
      </c>
      <c r="R27" s="3" t="str">
        <f>IF(M27&gt;=$E$10,"1","0")</f>
        <v>1</v>
      </c>
      <c r="S27" s="3" t="str">
        <f>IF(N27&gt;=$E$10,"1","0")</f>
        <v>1</v>
      </c>
      <c r="T27" s="3" t="str">
        <f>IF(O27&gt;=$E$10,"1","0")</f>
        <v>0</v>
      </c>
      <c r="W27" s="3">
        <f>Theory!D17</f>
        <v>30</v>
      </c>
    </row>
    <row r="28" ht="16.5" customHeight="1">
      <c r="A28" s="3">
        <f>Theory!A18</f>
        <v>13</v>
      </c>
      <c r="B28" s="3" t="str">
        <f>Theory!B18</f>
        <v>7376231EE114</v>
      </c>
      <c r="C28" s="11">
        <v>20</v>
      </c>
      <c r="D28" s="11">
        <v>20</v>
      </c>
      <c r="E28" s="11">
        <v>10</v>
      </c>
      <c r="H28" s="3">
        <v>12</v>
      </c>
      <c r="I28" s="3">
        <v>13</v>
      </c>
      <c r="J28" s="4">
        <v>5</v>
      </c>
      <c r="M28" s="11">
        <f>IF(C28="","",H28*100/C28)</f>
        <v>60</v>
      </c>
      <c r="N28" s="11">
        <f>IF(D28="","",I28*100/D28)</f>
        <v>65</v>
      </c>
      <c r="O28" s="11">
        <f>IF(E28="","",J28*100/E28)</f>
        <v>50</v>
      </c>
      <c r="P28" s="11" t="str">
        <f>IF(F28="","",K28*100/F28)</f>
        <v/>
      </c>
      <c r="Q28" s="11" t="str">
        <f>IF(G28="","",L28*100/G28)</f>
        <v/>
      </c>
      <c r="R28" s="3" t="str">
        <f>IF(M28&gt;=$E$10,"1","0")</f>
        <v>1</v>
      </c>
      <c r="S28" s="3" t="str">
        <f>IF(N28&gt;=$E$10,"1","0")</f>
        <v>1</v>
      </c>
      <c r="T28" s="3" t="str">
        <f>IF(O28&gt;=$E$10,"1","0")</f>
        <v>0</v>
      </c>
      <c r="W28" s="3">
        <f>Theory!D18</f>
        <v>30</v>
      </c>
    </row>
    <row r="29" ht="16.5" customHeight="1">
      <c r="A29" s="3">
        <f>Theory!A19</f>
        <v>14</v>
      </c>
      <c r="B29" s="3" t="str">
        <f>Theory!B19</f>
        <v>7376231EE115</v>
      </c>
      <c r="C29" s="11">
        <v>20</v>
      </c>
      <c r="D29" s="11">
        <v>20</v>
      </c>
      <c r="E29" s="11">
        <v>10</v>
      </c>
      <c r="H29" s="3">
        <v>9</v>
      </c>
      <c r="I29" s="3">
        <v>7</v>
      </c>
      <c r="J29" s="4">
        <v>4</v>
      </c>
      <c r="M29" s="11">
        <f>IF(C29="","",H29*100/C29)</f>
        <v>45</v>
      </c>
      <c r="N29" s="11">
        <f>IF(D29="","",I29*100/D29)</f>
        <v>35</v>
      </c>
      <c r="O29" s="11">
        <f>IF(E29="","",J29*100/E29)</f>
        <v>40</v>
      </c>
      <c r="P29" s="11" t="str">
        <f>IF(F29="","",K29*100/F29)</f>
        <v/>
      </c>
      <c r="Q29" s="11" t="str">
        <f>IF(G29="","",L29*100/G29)</f>
        <v/>
      </c>
      <c r="R29" s="3" t="str">
        <f>IF(M29&gt;=$E$10,"1","0")</f>
        <v>0</v>
      </c>
      <c r="S29" s="3" t="str">
        <f>IF(N29&gt;=$E$10,"1","0")</f>
        <v>0</v>
      </c>
      <c r="T29" s="3" t="str">
        <f>IF(O29&gt;=$E$10,"1","0")</f>
        <v>0</v>
      </c>
      <c r="W29" s="3">
        <f>Theory!D19</f>
        <v>20</v>
      </c>
    </row>
    <row r="30" ht="16.5" customHeight="1">
      <c r="A30" s="3">
        <f>Theory!A20</f>
        <v>15</v>
      </c>
      <c r="B30" s="3" t="str">
        <f>Theory!B20</f>
        <v>7376231EE116</v>
      </c>
      <c r="C30" s="11">
        <v>20</v>
      </c>
      <c r="D30" s="11">
        <v>20</v>
      </c>
      <c r="E30" s="11">
        <v>10</v>
      </c>
      <c r="H30" s="3">
        <v>11</v>
      </c>
      <c r="I30" s="3">
        <v>11</v>
      </c>
      <c r="J30" s="4">
        <v>6</v>
      </c>
      <c r="M30" s="11">
        <f>IF(C30="","",H30*100/C30)</f>
        <v>55</v>
      </c>
      <c r="N30" s="11">
        <f>IF(D30="","",I30*100/D30)</f>
        <v>55</v>
      </c>
      <c r="O30" s="11">
        <f>IF(E30="","",J30*100/E30)</f>
        <v>60</v>
      </c>
      <c r="P30" s="11" t="str">
        <f>IF(F30="","",K30*100/F30)</f>
        <v/>
      </c>
      <c r="Q30" s="11" t="str">
        <f>IF(G30="","",L30*100/G30)</f>
        <v/>
      </c>
      <c r="R30" s="3" t="str">
        <f>IF(M30&gt;=$E$10,"1","0")</f>
        <v>0</v>
      </c>
      <c r="S30" s="3" t="str">
        <f>IF(N30&gt;=$E$10,"1","0")</f>
        <v>0</v>
      </c>
      <c r="T30" s="3" t="str">
        <f>IF(O30&gt;=$E$10,"1","0")</f>
        <v>1</v>
      </c>
      <c r="W30" s="3">
        <f>Theory!D20</f>
        <v>28</v>
      </c>
    </row>
    <row r="31" ht="16.5" customHeight="1">
      <c r="A31" s="3">
        <f>Theory!A21</f>
        <v>16</v>
      </c>
      <c r="B31" s="3" t="str">
        <f>Theory!B21</f>
        <v>7376231EE117</v>
      </c>
      <c r="C31" s="11">
        <v>20</v>
      </c>
      <c r="D31" s="11">
        <v>20</v>
      </c>
      <c r="E31" s="11">
        <v>10</v>
      </c>
      <c r="H31" s="3">
        <v>11</v>
      </c>
      <c r="I31" s="3">
        <v>8</v>
      </c>
      <c r="J31" s="4">
        <v>3</v>
      </c>
      <c r="M31" s="11">
        <f>IF(C31="","",H31*100/C31)</f>
        <v>55</v>
      </c>
      <c r="N31" s="11">
        <f>IF(D31="","",I31*100/D31)</f>
        <v>40</v>
      </c>
      <c r="O31" s="11">
        <f>IF(E31="","",J31*100/E31)</f>
        <v>30</v>
      </c>
      <c r="P31" s="11" t="str">
        <f>IF(F31="","",K31*100/F31)</f>
        <v/>
      </c>
      <c r="Q31" s="11" t="str">
        <f>IF(G31="","",L31*100/G31)</f>
        <v/>
      </c>
      <c r="R31" s="3" t="str">
        <f>IF(M31&gt;=$E$10,"1","0")</f>
        <v>0</v>
      </c>
      <c r="S31" s="3" t="str">
        <f>IF(N31&gt;=$E$10,"1","0")</f>
        <v>0</v>
      </c>
      <c r="T31" s="3" t="str">
        <f>IF(O31&gt;=$E$10,"1","0")</f>
        <v>0</v>
      </c>
      <c r="W31" s="3">
        <f>Theory!D21</f>
        <v>22</v>
      </c>
    </row>
    <row r="32" ht="16.5" customHeight="1">
      <c r="A32" s="3">
        <f>Theory!A22</f>
        <v>17</v>
      </c>
      <c r="B32" s="3" t="str">
        <f>Theory!B22</f>
        <v>7376231EE118</v>
      </c>
      <c r="C32" s="11">
        <v>20</v>
      </c>
      <c r="D32" s="11">
        <v>20</v>
      </c>
      <c r="E32" s="11">
        <v>10</v>
      </c>
      <c r="H32" s="3">
        <v>12</v>
      </c>
      <c r="I32" s="3">
        <v>13</v>
      </c>
      <c r="J32" s="4">
        <v>5</v>
      </c>
      <c r="M32" s="11">
        <f>IF(C32="","",H32*100/C32)</f>
        <v>60</v>
      </c>
      <c r="N32" s="11">
        <f>IF(D32="","",I32*100/D32)</f>
        <v>65</v>
      </c>
      <c r="O32" s="11">
        <f>IF(E32="","",J32*100/E32)</f>
        <v>50</v>
      </c>
      <c r="P32" s="11" t="str">
        <f>IF(F32="","",K32*100/F32)</f>
        <v/>
      </c>
      <c r="Q32" s="11" t="str">
        <f>IF(G32="","",L32*100/G32)</f>
        <v/>
      </c>
      <c r="R32" s="3" t="str">
        <f>IF(M32&gt;=$E$10,"1","0")</f>
        <v>1</v>
      </c>
      <c r="S32" s="3" t="str">
        <f>IF(N32&gt;=$E$10,"1","0")</f>
        <v>1</v>
      </c>
      <c r="T32" s="3" t="str">
        <f>IF(O32&gt;=$E$10,"1","0")</f>
        <v>0</v>
      </c>
      <c r="W32" s="3">
        <f>Theory!D22</f>
        <v>30</v>
      </c>
    </row>
    <row r="33" ht="16.5" customHeight="1">
      <c r="A33" s="3">
        <f>Theory!A23</f>
        <v>18</v>
      </c>
      <c r="B33" s="3" t="str">
        <f>Theory!B23</f>
        <v>7376231EE119</v>
      </c>
      <c r="C33" s="11">
        <v>20</v>
      </c>
      <c r="D33" s="11">
        <v>20</v>
      </c>
      <c r="E33" s="11">
        <v>10</v>
      </c>
      <c r="H33" s="3">
        <v>13</v>
      </c>
      <c r="I33" s="3">
        <v>12</v>
      </c>
      <c r="J33" s="4">
        <v>6</v>
      </c>
      <c r="M33" s="11">
        <f>IF(C33="","",H33*100/C33)</f>
        <v>65</v>
      </c>
      <c r="N33" s="11">
        <f>IF(D33="","",I33*100/D33)</f>
        <v>60</v>
      </c>
      <c r="O33" s="11">
        <f>IF(E33="","",J33*100/E33)</f>
        <v>60</v>
      </c>
      <c r="P33" s="11" t="str">
        <f>IF(F33="","",K33*100/F33)</f>
        <v/>
      </c>
      <c r="Q33" s="11" t="str">
        <f>IF(G33="","",L33*100/G33)</f>
        <v/>
      </c>
      <c r="R33" s="3" t="str">
        <f>IF(M33&gt;=$E$10,"1","0")</f>
        <v>1</v>
      </c>
      <c r="S33" s="3" t="str">
        <f>IF(N33&gt;=$E$10,"1","0")</f>
        <v>1</v>
      </c>
      <c r="T33" s="3" t="str">
        <f>IF(O33&gt;=$E$10,"1","0")</f>
        <v>1</v>
      </c>
      <c r="W33" s="3">
        <f>Theory!D23</f>
        <v>31</v>
      </c>
    </row>
    <row r="34" ht="16.5" customHeight="1">
      <c r="A34" s="3">
        <f>Theory!A24</f>
        <v>19</v>
      </c>
      <c r="B34" s="3" t="str">
        <f>Theory!B24</f>
        <v>7376231EE120</v>
      </c>
      <c r="C34" s="11">
        <v>20</v>
      </c>
      <c r="D34" s="11">
        <v>20</v>
      </c>
      <c r="E34" s="11">
        <v>10</v>
      </c>
      <c r="H34" s="3">
        <v>13</v>
      </c>
      <c r="I34" s="3">
        <v>13</v>
      </c>
      <c r="J34" s="4">
        <v>7</v>
      </c>
      <c r="M34" s="11">
        <f>IF(C34="","",H34*100/C34)</f>
        <v>65</v>
      </c>
      <c r="N34" s="11">
        <f>IF(D34="","",I34*100/D34)</f>
        <v>65</v>
      </c>
      <c r="O34" s="11">
        <f>IF(E34="","",J34*100/E34)</f>
        <v>70</v>
      </c>
      <c r="P34" s="11" t="str">
        <f>IF(F34="","",K34*100/F34)</f>
        <v/>
      </c>
      <c r="Q34" s="11" t="str">
        <f>IF(G34="","",L34*100/G34)</f>
        <v/>
      </c>
      <c r="R34" s="3" t="str">
        <f>IF(M34&gt;=$E$10,"1","0")</f>
        <v>1</v>
      </c>
      <c r="S34" s="3" t="str">
        <f>IF(N34&gt;=$E$10,"1","0")</f>
        <v>1</v>
      </c>
      <c r="T34" s="3" t="str">
        <f>IF(O34&gt;=$E$10,"1","0")</f>
        <v>1</v>
      </c>
      <c r="W34" s="3">
        <f>Theory!D24</f>
        <v>33</v>
      </c>
    </row>
    <row r="35" ht="16.5" customHeight="1">
      <c r="A35" s="3">
        <f>Theory!A25</f>
        <v>20</v>
      </c>
      <c r="B35" s="3" t="str">
        <f>Theory!B25</f>
        <v>7376231EE121</v>
      </c>
      <c r="C35" s="11">
        <v>20</v>
      </c>
      <c r="D35" s="11">
        <v>20</v>
      </c>
      <c r="E35" s="11">
        <v>10</v>
      </c>
      <c r="H35" s="3">
        <v>13</v>
      </c>
      <c r="I35" s="3">
        <v>13</v>
      </c>
      <c r="J35" s="4">
        <v>7</v>
      </c>
      <c r="M35" s="11">
        <f>IF(C35="","",H35*100/C35)</f>
        <v>65</v>
      </c>
      <c r="N35" s="11">
        <f>IF(D35="","",I35*100/D35)</f>
        <v>65</v>
      </c>
      <c r="O35" s="11">
        <f>IF(E35="","",J35*100/E35)</f>
        <v>70</v>
      </c>
      <c r="P35" s="11" t="str">
        <f>IF(F35="","",K35*100/F35)</f>
        <v/>
      </c>
      <c r="Q35" s="11" t="str">
        <f>IF(G35="","",L35*100/G35)</f>
        <v/>
      </c>
      <c r="R35" s="3" t="str">
        <f>IF(M35&gt;=$E$10,"1","0")</f>
        <v>1</v>
      </c>
      <c r="S35" s="3" t="str">
        <f>IF(N35&gt;=$E$10,"1","0")</f>
        <v>1</v>
      </c>
      <c r="T35" s="3" t="str">
        <f>IF(O35&gt;=$E$10,"1","0")</f>
        <v>1</v>
      </c>
      <c r="W35" s="3">
        <f>Theory!D25</f>
        <v>33</v>
      </c>
    </row>
    <row r="36" ht="16.5" customHeight="1">
      <c r="A36" s="3">
        <f>Theory!A26</f>
        <v>21</v>
      </c>
      <c r="B36" s="3" t="str">
        <f>Theory!B26</f>
        <v>7376231EE122</v>
      </c>
      <c r="C36" s="11">
        <v>20</v>
      </c>
      <c r="D36" s="11">
        <v>20</v>
      </c>
      <c r="E36" s="11">
        <v>10</v>
      </c>
      <c r="H36" s="3">
        <v>14</v>
      </c>
      <c r="I36" s="3">
        <v>14</v>
      </c>
      <c r="J36" s="4">
        <v>7</v>
      </c>
      <c r="M36" s="11">
        <f>IF(C36="","",H36*100/C36)</f>
        <v>70</v>
      </c>
      <c r="N36" s="11">
        <f>IF(D36="","",I36*100/D36)</f>
        <v>70</v>
      </c>
      <c r="O36" s="11">
        <f>IF(E36="","",J36*100/E36)</f>
        <v>70</v>
      </c>
      <c r="P36" s="11" t="str">
        <f>IF(F36="","",K36*100/F36)</f>
        <v/>
      </c>
      <c r="Q36" s="11" t="str">
        <f>IF(G36="","",L36*100/G36)</f>
        <v/>
      </c>
      <c r="R36" s="3" t="str">
        <f>IF(M36&gt;=$E$10,"1","0")</f>
        <v>1</v>
      </c>
      <c r="S36" s="3" t="str">
        <f>IF(N36&gt;=$E$10,"1","0")</f>
        <v>1</v>
      </c>
      <c r="T36" s="3" t="str">
        <f>IF(O36&gt;=$E$10,"1","0")</f>
        <v>1</v>
      </c>
      <c r="W36" s="3">
        <f>Theory!D26</f>
        <v>35</v>
      </c>
    </row>
    <row r="37" ht="16.5" customHeight="1">
      <c r="A37" s="3">
        <f>Theory!A27</f>
        <v>22</v>
      </c>
      <c r="B37" s="3" t="str">
        <f>Theory!B27</f>
        <v>7376231EE123</v>
      </c>
      <c r="C37" s="11">
        <v>20</v>
      </c>
      <c r="D37" s="11">
        <v>20</v>
      </c>
      <c r="E37" s="11">
        <v>10</v>
      </c>
      <c r="H37" s="3">
        <v>13</v>
      </c>
      <c r="I37" s="3">
        <v>13</v>
      </c>
      <c r="J37" s="4">
        <v>7</v>
      </c>
      <c r="M37" s="11">
        <f>IF(C37="","",H37*100/C37)</f>
        <v>65</v>
      </c>
      <c r="N37" s="11">
        <f>IF(D37="","",I37*100/D37)</f>
        <v>65</v>
      </c>
      <c r="O37" s="11">
        <f>IF(E37="","",J37*100/E37)</f>
        <v>70</v>
      </c>
      <c r="P37" s="11" t="str">
        <f>IF(F37="","",K37*100/F37)</f>
        <v/>
      </c>
      <c r="Q37" s="11" t="str">
        <f>IF(G37="","",L37*100/G37)</f>
        <v/>
      </c>
      <c r="R37" s="3" t="str">
        <f>IF(M37&gt;=$E$10,"1","0")</f>
        <v>1</v>
      </c>
      <c r="S37" s="3" t="str">
        <f>IF(N37&gt;=$E$10,"1","0")</f>
        <v>1</v>
      </c>
      <c r="T37" s="3" t="str">
        <f>IF(O37&gt;=$E$10,"1","0")</f>
        <v>1</v>
      </c>
      <c r="W37" s="3">
        <f>Theory!D27</f>
        <v>33</v>
      </c>
    </row>
    <row r="38" ht="16.5" customHeight="1">
      <c r="A38" s="3">
        <f>Theory!A28</f>
        <v>23</v>
      </c>
      <c r="B38" s="3" t="str">
        <f>Theory!B28</f>
        <v>7376231EE124</v>
      </c>
      <c r="C38" s="11">
        <v>20</v>
      </c>
      <c r="D38" s="11">
        <v>20</v>
      </c>
      <c r="E38" s="11">
        <v>10</v>
      </c>
      <c r="H38" s="3">
        <v>13</v>
      </c>
      <c r="I38" s="3">
        <v>12</v>
      </c>
      <c r="J38" s="4">
        <v>6</v>
      </c>
      <c r="M38" s="11">
        <f>IF(C38="","",H38*100/C38)</f>
        <v>65</v>
      </c>
      <c r="N38" s="11">
        <f>IF(D38="","",I38*100/D38)</f>
        <v>60</v>
      </c>
      <c r="O38" s="11">
        <f>IF(E38="","",J38*100/E38)</f>
        <v>60</v>
      </c>
      <c r="P38" s="11" t="str">
        <f>IF(F38="","",K38*100/F38)</f>
        <v/>
      </c>
      <c r="Q38" s="11" t="str">
        <f>IF(G38="","",L38*100/G38)</f>
        <v/>
      </c>
      <c r="R38" s="3" t="str">
        <f>IF(M38&gt;=$E$10,"1","0")</f>
        <v>1</v>
      </c>
      <c r="S38" s="3" t="str">
        <f>IF(N38&gt;=$E$10,"1","0")</f>
        <v>1</v>
      </c>
      <c r="T38" s="3" t="str">
        <f>IF(O38&gt;=$E$10,"1","0")</f>
        <v>1</v>
      </c>
      <c r="W38" s="3">
        <f>Theory!D28</f>
        <v>31</v>
      </c>
    </row>
    <row r="39" ht="16.5" customHeight="1">
      <c r="A39" s="3">
        <f>Theory!A29</f>
        <v>24</v>
      </c>
      <c r="B39" s="3" t="str">
        <f>Theory!B29</f>
        <v>7376231EE125</v>
      </c>
      <c r="C39" s="11">
        <v>20</v>
      </c>
      <c r="D39" s="11">
        <v>20</v>
      </c>
      <c r="E39" s="11">
        <v>10</v>
      </c>
      <c r="H39" s="3">
        <v>13</v>
      </c>
      <c r="I39" s="3">
        <v>13</v>
      </c>
      <c r="J39" s="4">
        <v>6</v>
      </c>
      <c r="M39" s="11">
        <f>IF(C39="","",H39*100/C39)</f>
        <v>65</v>
      </c>
      <c r="N39" s="11">
        <f>IF(D39="","",I39*100/D39)</f>
        <v>65</v>
      </c>
      <c r="O39" s="11">
        <f>IF(E39="","",J39*100/E39)</f>
        <v>60</v>
      </c>
      <c r="P39" s="11" t="str">
        <f>IF(F39="","",K39*100/F39)</f>
        <v/>
      </c>
      <c r="Q39" s="11" t="str">
        <f>IF(G39="","",L39*100/G39)</f>
        <v/>
      </c>
      <c r="R39" s="3" t="str">
        <f>IF(M39&gt;=$E$10,"1","0")</f>
        <v>1</v>
      </c>
      <c r="S39" s="3" t="str">
        <f>IF(N39&gt;=$E$10,"1","0")</f>
        <v>1</v>
      </c>
      <c r="T39" s="3" t="str">
        <f>IF(O39&gt;=$E$10,"1","0")</f>
        <v>1</v>
      </c>
      <c r="W39" s="3">
        <f>Theory!D29</f>
        <v>32</v>
      </c>
    </row>
    <row r="40" ht="15.75" customHeight="1">
      <c r="A40" s="3">
        <f>Theory!A30</f>
        <v>25</v>
      </c>
      <c r="B40" s="3" t="str">
        <f>Theory!B30</f>
        <v>7376231EE126</v>
      </c>
      <c r="C40" s="11">
        <v>20</v>
      </c>
      <c r="D40" s="11">
        <v>20</v>
      </c>
      <c r="E40" s="11">
        <v>10</v>
      </c>
      <c r="H40" s="3">
        <v>14</v>
      </c>
      <c r="I40" s="3">
        <v>14</v>
      </c>
      <c r="J40" s="4">
        <v>6</v>
      </c>
      <c r="M40" s="11">
        <f>IF(C40="","",H40*100/C40)</f>
        <v>70</v>
      </c>
      <c r="N40" s="11">
        <f>IF(D40="","",I40*100/D40)</f>
        <v>70</v>
      </c>
      <c r="O40" s="11">
        <f>IF(E40="","",J40*100/E40)</f>
        <v>60</v>
      </c>
      <c r="P40" s="11" t="str">
        <f>IF(F40="","",K40*100/F40)</f>
        <v/>
      </c>
      <c r="Q40" s="11" t="str">
        <f>IF(G40="","",L40*100/G40)</f>
        <v/>
      </c>
      <c r="R40" s="3" t="str">
        <f>IF(M40&gt;=$E$10,"1","0")</f>
        <v>1</v>
      </c>
      <c r="S40" s="3" t="str">
        <f>IF(N40&gt;=$E$10,"1","0")</f>
        <v>1</v>
      </c>
      <c r="T40" s="3" t="str">
        <f>IF(O40&gt;=$E$10,"1","0")</f>
        <v>1</v>
      </c>
      <c r="W40" s="3">
        <f>Theory!D30</f>
        <v>34</v>
      </c>
    </row>
    <row r="41" ht="15.75" customHeight="1">
      <c r="A41" s="3">
        <f>Theory!A31</f>
        <v>26</v>
      </c>
      <c r="B41" s="3" t="str">
        <f>Theory!B31</f>
        <v>7376231EE127</v>
      </c>
      <c r="C41" s="11">
        <v>20</v>
      </c>
      <c r="D41" s="11">
        <v>20</v>
      </c>
      <c r="E41" s="11">
        <v>10</v>
      </c>
      <c r="H41" s="3">
        <v>12</v>
      </c>
      <c r="I41" s="3">
        <v>11</v>
      </c>
      <c r="J41" s="4">
        <v>6</v>
      </c>
      <c r="M41" s="11">
        <f>IF(C41="","",H41*100/C41)</f>
        <v>60</v>
      </c>
      <c r="N41" s="11">
        <f>IF(D41="","",I41*100/D41)</f>
        <v>55</v>
      </c>
      <c r="O41" s="11">
        <f>IF(E41="","",J41*100/E41)</f>
        <v>60</v>
      </c>
      <c r="P41" s="11" t="str">
        <f>IF(F41="","",K41*100/F41)</f>
        <v/>
      </c>
      <c r="Q41" s="11" t="str">
        <f>IF(G41="","",L41*100/G41)</f>
        <v/>
      </c>
      <c r="R41" s="3" t="str">
        <f>IF(M41&gt;=$E$10,"1","0")</f>
        <v>1</v>
      </c>
      <c r="S41" s="3" t="str">
        <f>IF(N41&gt;=$E$10,"1","0")</f>
        <v>0</v>
      </c>
      <c r="T41" s="3" t="str">
        <f>IF(O41&gt;=$E$10,"1","0")</f>
        <v>1</v>
      </c>
      <c r="W41" s="3">
        <f>Theory!D31</f>
        <v>29</v>
      </c>
    </row>
    <row r="42" ht="15.75" customHeight="1">
      <c r="A42" s="3">
        <f>Theory!A32</f>
        <v>27</v>
      </c>
      <c r="B42" s="3" t="str">
        <f>Theory!B32</f>
        <v>7376231EE128</v>
      </c>
      <c r="C42" s="11">
        <v>20</v>
      </c>
      <c r="D42" s="11">
        <v>20</v>
      </c>
      <c r="E42" s="11">
        <v>10</v>
      </c>
      <c r="H42" s="3">
        <v>9</v>
      </c>
      <c r="I42" s="3">
        <v>7</v>
      </c>
      <c r="J42" s="4">
        <v>4</v>
      </c>
      <c r="M42" s="11">
        <f>IF(C42="","",H42*100/C42)</f>
        <v>45</v>
      </c>
      <c r="N42" s="11">
        <f>IF(D42="","",I42*100/D42)</f>
        <v>35</v>
      </c>
      <c r="O42" s="11">
        <f>IF(E42="","",J42*100/E42)</f>
        <v>40</v>
      </c>
      <c r="P42" s="11" t="str">
        <f>IF(F42="","",K42*100/F42)</f>
        <v/>
      </c>
      <c r="Q42" s="11" t="str">
        <f>IF(G42="","",L42*100/G42)</f>
        <v/>
      </c>
      <c r="R42" s="3" t="str">
        <f>IF(M42&gt;=$E$10,"1","0")</f>
        <v>0</v>
      </c>
      <c r="S42" s="3" t="str">
        <f>IF(N42&gt;=$E$10,"1","0")</f>
        <v>0</v>
      </c>
      <c r="T42" s="3" t="str">
        <f>IF(O42&gt;=$E$10,"1","0")</f>
        <v>0</v>
      </c>
      <c r="W42" s="3">
        <f>Theory!D32</f>
        <v>20</v>
      </c>
    </row>
    <row r="43" ht="15.75" customHeight="1">
      <c r="A43" s="3">
        <f>Theory!A33</f>
        <v>28</v>
      </c>
      <c r="B43" s="3" t="str">
        <f>Theory!B33</f>
        <v>7376231EE129</v>
      </c>
      <c r="C43" s="11">
        <v>20</v>
      </c>
      <c r="D43" s="11">
        <v>20</v>
      </c>
      <c r="E43" s="11">
        <v>10</v>
      </c>
      <c r="H43" s="3">
        <v>12</v>
      </c>
      <c r="I43" s="3">
        <v>11</v>
      </c>
      <c r="J43" s="4">
        <v>6</v>
      </c>
      <c r="M43" s="11">
        <f>IF(C43="","",H43*100/C43)</f>
        <v>60</v>
      </c>
      <c r="N43" s="11">
        <f>IF(D43="","",I43*100/D43)</f>
        <v>55</v>
      </c>
      <c r="O43" s="11">
        <f>IF(E43="","",J43*100/E43)</f>
        <v>60</v>
      </c>
      <c r="P43" s="11" t="str">
        <f>IF(F43="","",K43*100/F43)</f>
        <v/>
      </c>
      <c r="Q43" s="11" t="str">
        <f>IF(G43="","",L43*100/G43)</f>
        <v/>
      </c>
      <c r="R43" s="3" t="str">
        <f>IF(M43&gt;=$E$10,"1","0")</f>
        <v>1</v>
      </c>
      <c r="S43" s="3" t="str">
        <f>IF(N43&gt;=$E$10,"1","0")</f>
        <v>0</v>
      </c>
      <c r="T43" s="3" t="str">
        <f>IF(O43&gt;=$E$10,"1","0")</f>
        <v>1</v>
      </c>
      <c r="W43" s="3">
        <f>Theory!D33</f>
        <v>29</v>
      </c>
    </row>
    <row r="44" ht="15.75" customHeight="1">
      <c r="A44" s="3">
        <f>Theory!A34</f>
        <v>29</v>
      </c>
      <c r="B44" s="3" t="str">
        <f>Theory!B34</f>
        <v>7376231EE130</v>
      </c>
      <c r="C44" s="11">
        <v>20</v>
      </c>
      <c r="D44" s="11">
        <v>20</v>
      </c>
      <c r="E44" s="11">
        <v>10</v>
      </c>
      <c r="H44" s="3">
        <v>13</v>
      </c>
      <c r="I44" s="3">
        <v>12</v>
      </c>
      <c r="J44" s="4">
        <v>6</v>
      </c>
      <c r="M44" s="11">
        <f>IF(C44="","",H44*100/C44)</f>
        <v>65</v>
      </c>
      <c r="N44" s="11">
        <f>IF(D44="","",I44*100/D44)</f>
        <v>60</v>
      </c>
      <c r="O44" s="11">
        <f>IF(E44="","",J44*100/E44)</f>
        <v>60</v>
      </c>
      <c r="P44" s="11" t="str">
        <f>IF(F44="","",K44*100/F44)</f>
        <v/>
      </c>
      <c r="Q44" s="11" t="str">
        <f>IF(G44="","",L44*100/G44)</f>
        <v/>
      </c>
      <c r="R44" s="3" t="str">
        <f>IF(M44&gt;=$E$10,"1","0")</f>
        <v>1</v>
      </c>
      <c r="S44" s="3" t="str">
        <f>IF(N44&gt;=$E$10,"1","0")</f>
        <v>1</v>
      </c>
      <c r="T44" s="3" t="str">
        <f>IF(O44&gt;=$E$10,"1","0")</f>
        <v>1</v>
      </c>
      <c r="W44" s="3">
        <f>Theory!D34</f>
        <v>31</v>
      </c>
    </row>
    <row r="45" ht="15.75" customHeight="1">
      <c r="A45" s="3">
        <f>Theory!A35</f>
        <v>30</v>
      </c>
      <c r="B45" s="3" t="str">
        <f>Theory!B35</f>
        <v>7376231EE131</v>
      </c>
      <c r="C45" s="11">
        <v>20</v>
      </c>
      <c r="D45" s="11">
        <v>20</v>
      </c>
      <c r="E45" s="11">
        <v>10</v>
      </c>
      <c r="H45" s="3">
        <v>8</v>
      </c>
      <c r="I45" s="3">
        <v>7</v>
      </c>
      <c r="J45" s="4">
        <v>4</v>
      </c>
      <c r="M45" s="11">
        <f>IF(C45="","",H45*100/C45)</f>
        <v>40</v>
      </c>
      <c r="N45" s="11">
        <f>IF(D45="","",I45*100/D45)</f>
        <v>35</v>
      </c>
      <c r="O45" s="11">
        <f>IF(E45="","",J45*100/E45)</f>
        <v>40</v>
      </c>
      <c r="P45" s="11" t="str">
        <f>IF(F45="","",K45*100/F45)</f>
        <v/>
      </c>
      <c r="Q45" s="11" t="str">
        <f>IF(G45="","",L45*100/G45)</f>
        <v/>
      </c>
      <c r="R45" s="3" t="str">
        <f>IF(M45&gt;=$E$10,"1","0")</f>
        <v>0</v>
      </c>
      <c r="S45" s="3" t="str">
        <f>IF(N45&gt;=$E$10,"1","0")</f>
        <v>0</v>
      </c>
      <c r="T45" s="3" t="str">
        <f>IF(O45&gt;=$E$10,"1","0")</f>
        <v>0</v>
      </c>
      <c r="W45" s="3">
        <f>Theory!D35</f>
        <v>19</v>
      </c>
    </row>
    <row r="46" ht="15.75" customHeight="1">
      <c r="A46" s="3">
        <f>Theory!A36</f>
        <v>31</v>
      </c>
      <c r="B46" s="3" t="str">
        <f>Theory!B36</f>
        <v>7376231EE132</v>
      </c>
      <c r="C46" s="11">
        <v>20</v>
      </c>
      <c r="D46" s="11">
        <v>20</v>
      </c>
      <c r="E46" s="11">
        <v>10</v>
      </c>
      <c r="H46" s="3">
        <v>14</v>
      </c>
      <c r="I46" s="3">
        <v>14</v>
      </c>
      <c r="J46" s="4">
        <v>6</v>
      </c>
      <c r="M46" s="11">
        <f>IF(C46="","",H46*100/C46)</f>
        <v>70</v>
      </c>
      <c r="N46" s="11">
        <f>IF(D46="","",I46*100/D46)</f>
        <v>70</v>
      </c>
      <c r="O46" s="11">
        <f>IF(E46="","",J46*100/E46)</f>
        <v>60</v>
      </c>
      <c r="P46" s="11" t="str">
        <f>IF(F46="","",K46*100/F46)</f>
        <v/>
      </c>
      <c r="Q46" s="11" t="str">
        <f>IF(G46="","",L46*100/G46)</f>
        <v/>
      </c>
      <c r="R46" s="3" t="str">
        <f>IF(M46&gt;=$E$10,"1","0")</f>
        <v>1</v>
      </c>
      <c r="S46" s="3" t="str">
        <f>IF(N46&gt;=$E$10,"1","0")</f>
        <v>1</v>
      </c>
      <c r="T46" s="3" t="str">
        <f>IF(O46&gt;=$E$10,"1","0")</f>
        <v>1</v>
      </c>
      <c r="W46" s="3">
        <f>Theory!D36</f>
        <v>34</v>
      </c>
    </row>
    <row r="47" ht="15.75" customHeight="1">
      <c r="A47" s="3">
        <f>Theory!A37</f>
        <v>32</v>
      </c>
      <c r="B47" s="3" t="str">
        <f>Theory!B37</f>
        <v>7376231EE133</v>
      </c>
      <c r="C47" s="11">
        <v>20</v>
      </c>
      <c r="D47" s="11">
        <v>20</v>
      </c>
      <c r="E47" s="11">
        <v>10</v>
      </c>
      <c r="H47" s="3">
        <v>11</v>
      </c>
      <c r="I47" s="3">
        <v>11</v>
      </c>
      <c r="J47" s="4">
        <v>6</v>
      </c>
      <c r="M47" s="11">
        <f>IF(C47="","",H47*100/C47)</f>
        <v>55</v>
      </c>
      <c r="N47" s="11">
        <f>IF(D47="","",I47*100/D47)</f>
        <v>55</v>
      </c>
      <c r="O47" s="11">
        <f>IF(E47="","",J47*100/E47)</f>
        <v>60</v>
      </c>
      <c r="P47" s="11" t="str">
        <f>IF(F47="","",K47*100/F47)</f>
        <v/>
      </c>
      <c r="Q47" s="11" t="str">
        <f>IF(G47="","",L47*100/G47)</f>
        <v/>
      </c>
      <c r="R47" s="3" t="str">
        <f>IF(M47&gt;=$E$10,"1","0")</f>
        <v>0</v>
      </c>
      <c r="S47" s="3" t="str">
        <f>IF(N47&gt;=$E$10,"1","0")</f>
        <v>0</v>
      </c>
      <c r="T47" s="3" t="str">
        <f>IF(O47&gt;=$E$10,"1","0")</f>
        <v>1</v>
      </c>
      <c r="W47" s="3">
        <f>Theory!D37</f>
        <v>28</v>
      </c>
    </row>
    <row r="48" ht="15.75" customHeight="1">
      <c r="A48" s="3">
        <f>Theory!A38</f>
        <v>33</v>
      </c>
      <c r="B48" s="3" t="str">
        <f>Theory!B38</f>
        <v>7376231EE134</v>
      </c>
      <c r="C48" s="11">
        <v>20</v>
      </c>
      <c r="D48" s="11">
        <v>20</v>
      </c>
      <c r="E48" s="11">
        <v>10</v>
      </c>
      <c r="H48" s="3">
        <v>12</v>
      </c>
      <c r="I48" s="3">
        <v>13</v>
      </c>
      <c r="J48" s="4">
        <v>5</v>
      </c>
      <c r="M48" s="11">
        <f>IF(C48="","",H48*100/C48)</f>
        <v>60</v>
      </c>
      <c r="N48" s="11">
        <f>IF(D48="","",I48*100/D48)</f>
        <v>65</v>
      </c>
      <c r="O48" s="11">
        <f>IF(E48="","",J48*100/E48)</f>
        <v>50</v>
      </c>
      <c r="P48" s="11" t="str">
        <f>IF(F48="","",K48*100/F48)</f>
        <v/>
      </c>
      <c r="Q48" s="11" t="str">
        <f>IF(G48="","",L48*100/G48)</f>
        <v/>
      </c>
      <c r="R48" s="3" t="str">
        <f>IF(M48&gt;=$E$10,"1","0")</f>
        <v>1</v>
      </c>
      <c r="S48" s="3" t="str">
        <f>IF(N48&gt;=$E$10,"1","0")</f>
        <v>1</v>
      </c>
      <c r="T48" s="3" t="str">
        <f>IF(O48&gt;=$E$10,"1","0")</f>
        <v>0</v>
      </c>
      <c r="W48" s="3">
        <f>Theory!D38</f>
        <v>30</v>
      </c>
    </row>
    <row r="49" ht="15.75" customHeight="1">
      <c r="A49" s="3">
        <f>Theory!A39</f>
        <v>34</v>
      </c>
      <c r="B49" s="3" t="str">
        <f>Theory!B39</f>
        <v>7376231EE135</v>
      </c>
      <c r="C49" s="11">
        <v>20</v>
      </c>
      <c r="D49" s="11">
        <v>20</v>
      </c>
      <c r="E49" s="11">
        <v>10</v>
      </c>
      <c r="H49" s="3">
        <v>13</v>
      </c>
      <c r="I49" s="3">
        <v>13</v>
      </c>
      <c r="J49" s="4">
        <v>6</v>
      </c>
      <c r="M49" s="11">
        <f>IF(C49="","",H49*100/C49)</f>
        <v>65</v>
      </c>
      <c r="N49" s="11">
        <f>IF(D49="","",I49*100/D49)</f>
        <v>65</v>
      </c>
      <c r="O49" s="11">
        <f>IF(E49="","",J49*100/E49)</f>
        <v>60</v>
      </c>
      <c r="P49" s="11" t="str">
        <f>IF(F49="","",K49*100/F49)</f>
        <v/>
      </c>
      <c r="Q49" s="11" t="str">
        <f>IF(G49="","",L49*100/G49)</f>
        <v/>
      </c>
      <c r="R49" s="3" t="str">
        <f>IF(M49&gt;=$E$10,"1","0")</f>
        <v>1</v>
      </c>
      <c r="S49" s="3" t="str">
        <f>IF(N49&gt;=$E$10,"1","0")</f>
        <v>1</v>
      </c>
      <c r="T49" s="3" t="str">
        <f>IF(O49&gt;=$E$10,"1","0")</f>
        <v>1</v>
      </c>
      <c r="W49" s="3">
        <f>Theory!D39</f>
        <v>32</v>
      </c>
    </row>
    <row r="50" ht="15.75" customHeight="1">
      <c r="A50" s="3">
        <f>Theory!A40</f>
        <v>35</v>
      </c>
      <c r="B50" s="3" t="str">
        <f>Theory!B40</f>
        <v>7376231EE136</v>
      </c>
      <c r="C50" s="11">
        <v>20</v>
      </c>
      <c r="D50" s="11">
        <v>20</v>
      </c>
      <c r="E50" s="11">
        <v>10</v>
      </c>
      <c r="H50" s="3">
        <v>13</v>
      </c>
      <c r="I50" s="3">
        <v>13</v>
      </c>
      <c r="J50" s="4">
        <v>7</v>
      </c>
      <c r="M50" s="11">
        <f>IF(C50="","",H50*100/C50)</f>
        <v>65</v>
      </c>
      <c r="N50" s="11">
        <f>IF(D50="","",I50*100/D50)</f>
        <v>65</v>
      </c>
      <c r="O50" s="11">
        <f>IF(E50="","",J50*100/E50)</f>
        <v>70</v>
      </c>
      <c r="P50" s="11" t="str">
        <f>IF(F50="","",K50*100/F50)</f>
        <v/>
      </c>
      <c r="Q50" s="11" t="str">
        <f>IF(G50="","",L50*100/G50)</f>
        <v/>
      </c>
      <c r="R50" s="3" t="str">
        <f>IF(M50&gt;=$E$10,"1","0")</f>
        <v>1</v>
      </c>
      <c r="S50" s="3" t="str">
        <f>IF(N50&gt;=$E$10,"1","0")</f>
        <v>1</v>
      </c>
      <c r="T50" s="3" t="str">
        <f>IF(O50&gt;=$E$10,"1","0")</f>
        <v>1</v>
      </c>
      <c r="W50" s="3">
        <f>Theory!D40</f>
        <v>33</v>
      </c>
    </row>
    <row r="51" ht="15.75" customHeight="1">
      <c r="A51" s="3">
        <f>Theory!A41</f>
        <v>36</v>
      </c>
      <c r="B51" s="3" t="str">
        <f>Theory!B41</f>
        <v>7376231EE137</v>
      </c>
      <c r="C51" s="11">
        <v>20</v>
      </c>
      <c r="D51" s="11">
        <v>20</v>
      </c>
      <c r="E51" s="11">
        <v>10</v>
      </c>
      <c r="H51" s="3">
        <v>14</v>
      </c>
      <c r="I51" s="3">
        <v>14</v>
      </c>
      <c r="J51" s="4">
        <v>6</v>
      </c>
      <c r="M51" s="11">
        <f>IF(C51="","",H51*100/C51)</f>
        <v>70</v>
      </c>
      <c r="N51" s="11">
        <f>IF(D51="","",I51*100/D51)</f>
        <v>70</v>
      </c>
      <c r="O51" s="11">
        <f>IF(E51="","",J51*100/E51)</f>
        <v>60</v>
      </c>
      <c r="P51" s="11" t="str">
        <f>IF(F51="","",K51*100/F51)</f>
        <v/>
      </c>
      <c r="Q51" s="11" t="str">
        <f>IF(G51="","",L51*100/G51)</f>
        <v/>
      </c>
      <c r="R51" s="3" t="str">
        <f>IF(M51&gt;=$E$10,"1","0")</f>
        <v>1</v>
      </c>
      <c r="S51" s="3" t="str">
        <f>IF(N51&gt;=$E$10,"1","0")</f>
        <v>1</v>
      </c>
      <c r="T51" s="3" t="str">
        <f>IF(O51&gt;=$E$10,"1","0")</f>
        <v>1</v>
      </c>
      <c r="W51" s="3">
        <f>Theory!D41</f>
        <v>34</v>
      </c>
    </row>
    <row r="52" ht="15.75" customHeight="1">
      <c r="A52" s="3">
        <f>Theory!A42</f>
        <v>37</v>
      </c>
      <c r="B52" s="3" t="str">
        <f>Theory!B42</f>
        <v>7376231EE138</v>
      </c>
      <c r="C52" s="11">
        <v>20</v>
      </c>
      <c r="D52" s="11">
        <v>20</v>
      </c>
      <c r="E52" s="11">
        <v>10</v>
      </c>
      <c r="H52" s="3">
        <v>13</v>
      </c>
      <c r="I52" s="3">
        <v>12</v>
      </c>
      <c r="J52" s="4">
        <v>6</v>
      </c>
      <c r="M52" s="11">
        <f>IF(C52="","",H52*100/C52)</f>
        <v>65</v>
      </c>
      <c r="N52" s="11">
        <f>IF(D52="","",I52*100/D52)</f>
        <v>60</v>
      </c>
      <c r="O52" s="11">
        <f>IF(E52="","",J52*100/E52)</f>
        <v>60</v>
      </c>
      <c r="P52" s="11" t="str">
        <f>IF(F52="","",K52*100/F52)</f>
        <v/>
      </c>
      <c r="Q52" s="11" t="str">
        <f>IF(G52="","",L52*100/G52)</f>
        <v/>
      </c>
      <c r="R52" s="3" t="str">
        <f>IF(M52&gt;=$E$10,"1","0")</f>
        <v>1</v>
      </c>
      <c r="S52" s="3" t="str">
        <f>IF(N52&gt;=$E$10,"1","0")</f>
        <v>1</v>
      </c>
      <c r="T52" s="3" t="str">
        <f>IF(O52&gt;=$E$10,"1","0")</f>
        <v>1</v>
      </c>
      <c r="W52" s="3">
        <f>Theory!D42</f>
        <v>31</v>
      </c>
    </row>
    <row r="53" ht="15.75" customHeight="1">
      <c r="A53" s="3">
        <f>Theory!A43</f>
        <v>38</v>
      </c>
      <c r="B53" s="3" t="str">
        <f>Theory!B43</f>
        <v>7376231EE139</v>
      </c>
      <c r="C53" s="11">
        <v>20</v>
      </c>
      <c r="D53" s="11">
        <v>20</v>
      </c>
      <c r="E53" s="11">
        <v>10</v>
      </c>
      <c r="H53" s="3">
        <v>14</v>
      </c>
      <c r="I53" s="3">
        <v>14</v>
      </c>
      <c r="J53" s="4">
        <v>6</v>
      </c>
      <c r="M53" s="11">
        <f>IF(C53="","",H53*100/C53)</f>
        <v>70</v>
      </c>
      <c r="N53" s="11">
        <f>IF(D53="","",I53*100/D53)</f>
        <v>70</v>
      </c>
      <c r="O53" s="11">
        <f>IF(E53="","",J53*100/E53)</f>
        <v>60</v>
      </c>
      <c r="P53" s="11" t="str">
        <f>IF(F53="","",K53*100/F53)</f>
        <v/>
      </c>
      <c r="Q53" s="11" t="str">
        <f>IF(G53="","",L53*100/G53)</f>
        <v/>
      </c>
      <c r="R53" s="3" t="str">
        <f>IF(M53&gt;=$E$10,"1","0")</f>
        <v>1</v>
      </c>
      <c r="S53" s="3" t="str">
        <f>IF(N53&gt;=$E$10,"1","0")</f>
        <v>1</v>
      </c>
      <c r="T53" s="3" t="str">
        <f>IF(O53&gt;=$E$10,"1","0")</f>
        <v>1</v>
      </c>
      <c r="W53" s="3">
        <f>Theory!D43</f>
        <v>34</v>
      </c>
    </row>
    <row r="54" ht="15.75" customHeight="1">
      <c r="A54" s="3">
        <f>Theory!A44</f>
        <v>39</v>
      </c>
      <c r="B54" s="3" t="str">
        <f>Theory!B44</f>
        <v>7376231EE140</v>
      </c>
      <c r="C54" s="11">
        <v>20</v>
      </c>
      <c r="D54" s="11">
        <v>20</v>
      </c>
      <c r="E54" s="11">
        <v>10</v>
      </c>
      <c r="H54" s="3">
        <v>14</v>
      </c>
      <c r="I54" s="3">
        <v>14</v>
      </c>
      <c r="J54" s="4">
        <v>6</v>
      </c>
      <c r="M54" s="11">
        <f>IF(C54="","",H54*100/C54)</f>
        <v>70</v>
      </c>
      <c r="N54" s="11">
        <f>IF(D54="","",I54*100/D54)</f>
        <v>70</v>
      </c>
      <c r="O54" s="11">
        <f>IF(E54="","",J54*100/E54)</f>
        <v>60</v>
      </c>
      <c r="P54" s="11" t="str">
        <f>IF(F54="","",K54*100/F54)</f>
        <v/>
      </c>
      <c r="Q54" s="11" t="str">
        <f>IF(G54="","",L54*100/G54)</f>
        <v/>
      </c>
      <c r="R54" s="3" t="str">
        <f>IF(M54&gt;=$E$10,"1","0")</f>
        <v>1</v>
      </c>
      <c r="S54" s="3" t="str">
        <f>IF(N54&gt;=$E$10,"1","0")</f>
        <v>1</v>
      </c>
      <c r="T54" s="3" t="str">
        <f>IF(O54&gt;=$E$10,"1","0")</f>
        <v>1</v>
      </c>
      <c r="W54" s="3">
        <f>Theory!D44</f>
        <v>34</v>
      </c>
    </row>
    <row r="55" ht="15.75" customHeight="1">
      <c r="A55" s="3">
        <f>Theory!A45</f>
        <v>40</v>
      </c>
      <c r="B55" s="3" t="str">
        <f>Theory!B45</f>
        <v>7376231EE141</v>
      </c>
      <c r="C55" s="11">
        <v>20</v>
      </c>
      <c r="D55" s="11">
        <v>20</v>
      </c>
      <c r="E55" s="11">
        <v>10</v>
      </c>
      <c r="H55" s="3">
        <v>8</v>
      </c>
      <c r="I55" s="3">
        <v>7</v>
      </c>
      <c r="J55" s="4">
        <v>4</v>
      </c>
      <c r="M55" s="11">
        <f>IF(C55="","",H55*100/C55)</f>
        <v>40</v>
      </c>
      <c r="N55" s="11">
        <f>IF(D55="","",I55*100/D55)</f>
        <v>35</v>
      </c>
      <c r="O55" s="11">
        <f>IF(E55="","",J55*100/E55)</f>
        <v>40</v>
      </c>
      <c r="P55" s="11" t="str">
        <f>IF(F55="","",K55*100/F55)</f>
        <v/>
      </c>
      <c r="Q55" s="11" t="str">
        <f>IF(G55="","",L55*100/G55)</f>
        <v/>
      </c>
      <c r="R55" s="3" t="str">
        <f>IF(M55&gt;=$E$10,"1","0")</f>
        <v>0</v>
      </c>
      <c r="S55" s="3" t="str">
        <f>IF(N55&gt;=$E$10,"1","0")</f>
        <v>0</v>
      </c>
      <c r="T55" s="3" t="str">
        <f>IF(O55&gt;=$E$10,"1","0")</f>
        <v>0</v>
      </c>
      <c r="W55" s="3">
        <f>Theory!D45</f>
        <v>19</v>
      </c>
    </row>
    <row r="56" ht="15.75" customHeight="1">
      <c r="A56" s="3">
        <f>Theory!A46</f>
        <v>41</v>
      </c>
      <c r="B56" s="3" t="str">
        <f>Theory!B46</f>
        <v>7376231EE142</v>
      </c>
      <c r="C56" s="11">
        <v>20</v>
      </c>
      <c r="D56" s="11">
        <v>20</v>
      </c>
      <c r="E56" s="11">
        <v>10</v>
      </c>
      <c r="H56" s="3">
        <v>14</v>
      </c>
      <c r="I56" s="3">
        <v>14</v>
      </c>
      <c r="J56" s="4">
        <v>7</v>
      </c>
      <c r="M56" s="11">
        <f>IF(C56="","",H56*100/C56)</f>
        <v>70</v>
      </c>
      <c r="N56" s="11">
        <f>IF(D56="","",I56*100/D56)</f>
        <v>70</v>
      </c>
      <c r="O56" s="11">
        <f>IF(E56="","",J56*100/E56)</f>
        <v>70</v>
      </c>
      <c r="P56" s="11" t="str">
        <f>IF(F56="","",K56*100/F56)</f>
        <v/>
      </c>
      <c r="Q56" s="11" t="str">
        <f>IF(G56="","",L56*100/G56)</f>
        <v/>
      </c>
      <c r="R56" s="3" t="str">
        <f>IF(M56&gt;=$E$10,"1","0")</f>
        <v>1</v>
      </c>
      <c r="S56" s="3" t="str">
        <f>IF(N56&gt;=$E$10,"1","0")</f>
        <v>1</v>
      </c>
      <c r="T56" s="3" t="str">
        <f>IF(O56&gt;=$E$10,"1","0")</f>
        <v>1</v>
      </c>
      <c r="W56" s="3">
        <f>Theory!D46</f>
        <v>35</v>
      </c>
    </row>
    <row r="57" ht="15.75" customHeight="1">
      <c r="A57" s="3">
        <f>Theory!A47</f>
        <v>42</v>
      </c>
      <c r="B57" s="3" t="str">
        <f>Theory!B47</f>
        <v>7376231EE143</v>
      </c>
      <c r="C57" s="11">
        <v>20</v>
      </c>
      <c r="D57" s="11">
        <v>20</v>
      </c>
      <c r="E57" s="11">
        <v>10</v>
      </c>
      <c r="H57" s="3">
        <v>13</v>
      </c>
      <c r="I57" s="3">
        <v>13</v>
      </c>
      <c r="J57" s="4">
        <v>6</v>
      </c>
      <c r="M57" s="11">
        <f>IF(C57="","",H57*100/C57)</f>
        <v>65</v>
      </c>
      <c r="N57" s="11">
        <f>IF(D57="","",I57*100/D57)</f>
        <v>65</v>
      </c>
      <c r="O57" s="11">
        <f>IF(E57="","",J57*100/E57)</f>
        <v>60</v>
      </c>
      <c r="P57" s="11" t="str">
        <f>IF(F57="","",K57*100/F57)</f>
        <v/>
      </c>
      <c r="Q57" s="11" t="str">
        <f>IF(G57="","",L57*100/G57)</f>
        <v/>
      </c>
      <c r="R57" s="3" t="str">
        <f>IF(M57&gt;=$E$10,"1","0")</f>
        <v>1</v>
      </c>
      <c r="S57" s="3" t="str">
        <f>IF(N57&gt;=$E$10,"1","0")</f>
        <v>1</v>
      </c>
      <c r="T57" s="3" t="str">
        <f>IF(O57&gt;=$E$10,"1","0")</f>
        <v>1</v>
      </c>
      <c r="W57" s="3">
        <f>Theory!D47</f>
        <v>32</v>
      </c>
    </row>
    <row r="58" ht="15.75" customHeight="1">
      <c r="A58" s="3">
        <f>Theory!A48</f>
        <v>43</v>
      </c>
      <c r="B58" s="3" t="str">
        <f>Theory!B48</f>
        <v>7376231EE144</v>
      </c>
      <c r="C58" s="11">
        <v>20</v>
      </c>
      <c r="D58" s="11">
        <v>20</v>
      </c>
      <c r="E58" s="11">
        <v>10</v>
      </c>
      <c r="H58" s="3">
        <v>13</v>
      </c>
      <c r="I58" s="3">
        <v>13</v>
      </c>
      <c r="J58" s="4">
        <v>7</v>
      </c>
      <c r="M58" s="11">
        <f>IF(C58="","",H58*100/C58)</f>
        <v>65</v>
      </c>
      <c r="N58" s="11">
        <f>IF(D58="","",I58*100/D58)</f>
        <v>65</v>
      </c>
      <c r="O58" s="11">
        <f>IF(E58="","",J58*100/E58)</f>
        <v>70</v>
      </c>
      <c r="P58" s="11" t="str">
        <f>IF(F58="","",K58*100/F58)</f>
        <v/>
      </c>
      <c r="Q58" s="11" t="str">
        <f>IF(G58="","",L58*100/G58)</f>
        <v/>
      </c>
      <c r="R58" s="3" t="str">
        <f>IF(M58&gt;=$E$10,"1","0")</f>
        <v>1</v>
      </c>
      <c r="S58" s="3" t="str">
        <f>IF(N58&gt;=$E$10,"1","0")</f>
        <v>1</v>
      </c>
      <c r="T58" s="3" t="str">
        <f>IF(O58&gt;=$E$10,"1","0")</f>
        <v>1</v>
      </c>
      <c r="W58" s="3">
        <f>Theory!D48</f>
        <v>33</v>
      </c>
    </row>
    <row r="59" ht="15.75" customHeight="1">
      <c r="A59" s="3">
        <f>Theory!A49</f>
        <v>44</v>
      </c>
      <c r="B59" s="3" t="str">
        <f>Theory!B49</f>
        <v>7376231EE145</v>
      </c>
      <c r="C59" s="11">
        <v>20</v>
      </c>
      <c r="D59" s="11">
        <v>20</v>
      </c>
      <c r="E59" s="11">
        <v>10</v>
      </c>
      <c r="H59" s="3">
        <v>13</v>
      </c>
      <c r="I59" s="3">
        <v>13</v>
      </c>
      <c r="J59" s="4">
        <v>6</v>
      </c>
      <c r="M59" s="11">
        <f>IF(C59="","",H59*100/C59)</f>
        <v>65</v>
      </c>
      <c r="N59" s="11">
        <f>IF(D59="","",I59*100/D59)</f>
        <v>65</v>
      </c>
      <c r="O59" s="11">
        <f>IF(E59="","",J59*100/E59)</f>
        <v>60</v>
      </c>
      <c r="P59" s="11" t="str">
        <f>IF(F59="","",K59*100/F59)</f>
        <v/>
      </c>
      <c r="Q59" s="11" t="str">
        <f>IF(G59="","",L59*100/G59)</f>
        <v/>
      </c>
      <c r="R59" s="3" t="str">
        <f>IF(M59&gt;=$E$10,"1","0")</f>
        <v>1</v>
      </c>
      <c r="S59" s="3" t="str">
        <f>IF(N59&gt;=$E$10,"1","0")</f>
        <v>1</v>
      </c>
      <c r="T59" s="3" t="str">
        <f>IF(O59&gt;=$E$10,"1","0")</f>
        <v>1</v>
      </c>
      <c r="W59" s="3">
        <f>Theory!D49</f>
        <v>32</v>
      </c>
    </row>
    <row r="60" ht="15.75" customHeight="1">
      <c r="A60" s="3">
        <f>Theory!A50</f>
        <v>45</v>
      </c>
      <c r="B60" s="3" t="str">
        <f>Theory!B50</f>
        <v>7376231EE146</v>
      </c>
      <c r="C60" s="11">
        <v>20</v>
      </c>
      <c r="D60" s="11">
        <v>20</v>
      </c>
      <c r="E60" s="11">
        <v>10</v>
      </c>
      <c r="H60" s="3">
        <v>14</v>
      </c>
      <c r="I60" s="3">
        <v>14</v>
      </c>
      <c r="J60" s="4">
        <v>6</v>
      </c>
      <c r="M60" s="11">
        <f>IF(C60="","",H60*100/C60)</f>
        <v>70</v>
      </c>
      <c r="N60" s="11">
        <f>IF(D60="","",I60*100/D60)</f>
        <v>70</v>
      </c>
      <c r="O60" s="11">
        <f>IF(E60="","",J60*100/E60)</f>
        <v>60</v>
      </c>
      <c r="P60" s="11" t="str">
        <f>IF(F60="","",K60*100/F60)</f>
        <v/>
      </c>
      <c r="Q60" s="11" t="str">
        <f>IF(G60="","",L60*100/G60)</f>
        <v/>
      </c>
      <c r="R60" s="3" t="str">
        <f>IF(M60&gt;=$E$10,"1","0")</f>
        <v>1</v>
      </c>
      <c r="S60" s="3" t="str">
        <f>IF(N60&gt;=$E$10,"1","0")</f>
        <v>1</v>
      </c>
      <c r="T60" s="3" t="str">
        <f>IF(O60&gt;=$E$10,"1","0")</f>
        <v>1</v>
      </c>
      <c r="W60" s="3">
        <f>Theory!D50</f>
        <v>34</v>
      </c>
    </row>
    <row r="61" ht="15.75" customHeight="1">
      <c r="A61" s="3">
        <f>Theory!A51</f>
        <v>46</v>
      </c>
      <c r="B61" s="3" t="str">
        <f>Theory!B51</f>
        <v>7376231EE147</v>
      </c>
      <c r="C61" s="11">
        <v>20</v>
      </c>
      <c r="D61" s="11">
        <v>20</v>
      </c>
      <c r="E61" s="11">
        <v>10</v>
      </c>
      <c r="H61" s="3">
        <v>13</v>
      </c>
      <c r="I61" s="3">
        <v>13</v>
      </c>
      <c r="J61" s="4">
        <v>7</v>
      </c>
      <c r="M61" s="11">
        <f>IF(C61="","",H61*100/C61)</f>
        <v>65</v>
      </c>
      <c r="N61" s="11">
        <f>IF(D61="","",I61*100/D61)</f>
        <v>65</v>
      </c>
      <c r="O61" s="11">
        <f>IF(E61="","",J61*100/E61)</f>
        <v>70</v>
      </c>
      <c r="P61" s="11" t="str">
        <f>IF(F61="","",K61*100/F61)</f>
        <v/>
      </c>
      <c r="Q61" s="11" t="str">
        <f>IF(G61="","",L61*100/G61)</f>
        <v/>
      </c>
      <c r="R61" s="3" t="str">
        <f>IF(M61&gt;=$E$10,"1","0")</f>
        <v>1</v>
      </c>
      <c r="S61" s="3" t="str">
        <f>IF(N61&gt;=$E$10,"1","0")</f>
        <v>1</v>
      </c>
      <c r="T61" s="3" t="str">
        <f>IF(O61&gt;=$E$10,"1","0")</f>
        <v>1</v>
      </c>
      <c r="W61" s="3">
        <f>Theory!D51</f>
        <v>33</v>
      </c>
    </row>
    <row r="62" ht="15.75" customHeight="1">
      <c r="A62" s="3">
        <f>Theory!A52</f>
        <v>47</v>
      </c>
      <c r="B62" s="3" t="str">
        <f>Theory!B52</f>
        <v>7376231EE148</v>
      </c>
      <c r="C62" s="11">
        <v>20</v>
      </c>
      <c r="D62" s="11">
        <v>20</v>
      </c>
      <c r="E62" s="11">
        <v>10</v>
      </c>
      <c r="H62" s="3">
        <v>13</v>
      </c>
      <c r="I62" s="3">
        <v>12</v>
      </c>
      <c r="J62" s="4">
        <v>6</v>
      </c>
      <c r="M62" s="11">
        <f>IF(C62="","",H62*100/C62)</f>
        <v>65</v>
      </c>
      <c r="N62" s="11">
        <f>IF(D62="","",I62*100/D62)</f>
        <v>60</v>
      </c>
      <c r="O62" s="11">
        <f>IF(E62="","",J62*100/E62)</f>
        <v>60</v>
      </c>
      <c r="P62" s="11" t="str">
        <f>IF(F62="","",K62*100/F62)</f>
        <v/>
      </c>
      <c r="Q62" s="11" t="str">
        <f>IF(G62="","",L62*100/G62)</f>
        <v/>
      </c>
      <c r="R62" s="3" t="str">
        <f>IF(M62&gt;=$E$10,"1","0")</f>
        <v>1</v>
      </c>
      <c r="S62" s="3" t="str">
        <f>IF(N62&gt;=$E$10,"1","0")</f>
        <v>1</v>
      </c>
      <c r="T62" s="3" t="str">
        <f>IF(O62&gt;=$E$10,"1","0")</f>
        <v>1</v>
      </c>
      <c r="W62" s="3">
        <f>Theory!D52</f>
        <v>31</v>
      </c>
    </row>
    <row r="63" ht="15.75" customHeight="1">
      <c r="A63" s="3">
        <f>Theory!A53</f>
        <v>48</v>
      </c>
      <c r="B63" s="3" t="str">
        <f>Theory!B53</f>
        <v>7376231EE149</v>
      </c>
      <c r="C63" s="11">
        <v>20</v>
      </c>
      <c r="D63" s="11">
        <v>20</v>
      </c>
      <c r="E63" s="11">
        <v>10</v>
      </c>
      <c r="H63" s="3">
        <v>7</v>
      </c>
      <c r="I63" s="3">
        <v>7</v>
      </c>
      <c r="J63" s="4">
        <v>4</v>
      </c>
      <c r="M63" s="11">
        <f>IF(C63="","",H63*100/C63)</f>
        <v>35</v>
      </c>
      <c r="N63" s="11">
        <f>IF(D63="","",I63*100/D63)</f>
        <v>35</v>
      </c>
      <c r="O63" s="11">
        <f>IF(E63="","",J63*100/E63)</f>
        <v>40</v>
      </c>
      <c r="P63" s="11" t="str">
        <f>IF(F63="","",K63*100/F63)</f>
        <v/>
      </c>
      <c r="Q63" s="11" t="str">
        <f>IF(G63="","",L63*100/G63)</f>
        <v/>
      </c>
      <c r="R63" s="3" t="str">
        <f>IF(M63&gt;=$E$10,"1","0")</f>
        <v>0</v>
      </c>
      <c r="S63" s="3" t="str">
        <f>IF(N63&gt;=$E$10,"1","0")</f>
        <v>0</v>
      </c>
      <c r="T63" s="3" t="str">
        <f>IF(O63&gt;=$E$10,"1","0")</f>
        <v>0</v>
      </c>
      <c r="W63" s="3">
        <f>Theory!D53</f>
        <v>18</v>
      </c>
    </row>
    <row r="64" ht="15.75" customHeight="1">
      <c r="A64" s="3">
        <f>Theory!A54</f>
        <v>49</v>
      </c>
      <c r="B64" s="3" t="str">
        <f>Theory!B54</f>
        <v>7376231EE150</v>
      </c>
      <c r="C64" s="11">
        <v>20</v>
      </c>
      <c r="D64" s="11">
        <v>20</v>
      </c>
      <c r="E64" s="11">
        <v>10</v>
      </c>
      <c r="H64" s="3">
        <v>11</v>
      </c>
      <c r="I64" s="3">
        <v>11</v>
      </c>
      <c r="J64" s="4">
        <v>6</v>
      </c>
      <c r="M64" s="11">
        <f>IF(C64="","",H64*100/C64)</f>
        <v>55</v>
      </c>
      <c r="N64" s="11">
        <f>IF(D64="","",I64*100/D64)</f>
        <v>55</v>
      </c>
      <c r="O64" s="11">
        <f>IF(E64="","",J64*100/E64)</f>
        <v>60</v>
      </c>
      <c r="P64" s="11" t="str">
        <f>IF(F64="","",K64*100/F64)</f>
        <v/>
      </c>
      <c r="Q64" s="11" t="str">
        <f>IF(G64="","",L64*100/G64)</f>
        <v/>
      </c>
      <c r="R64" s="3" t="str">
        <f>IF(M64&gt;=$E$10,"1","0")</f>
        <v>0</v>
      </c>
      <c r="S64" s="3" t="str">
        <f>IF(N64&gt;=$E$10,"1","0")</f>
        <v>0</v>
      </c>
      <c r="T64" s="3" t="str">
        <f>IF(O64&gt;=$E$10,"1","0")</f>
        <v>1</v>
      </c>
      <c r="W64" s="3">
        <f>Theory!D54</f>
        <v>28</v>
      </c>
    </row>
    <row r="65" ht="15.75" customHeight="1">
      <c r="A65" s="3">
        <f>Theory!A55</f>
        <v>50</v>
      </c>
      <c r="B65" s="3" t="str">
        <f>Theory!B55</f>
        <v>7376231EE151</v>
      </c>
      <c r="C65" s="11">
        <v>20</v>
      </c>
      <c r="D65" s="11">
        <v>20</v>
      </c>
      <c r="E65" s="11">
        <v>10</v>
      </c>
      <c r="H65" s="3">
        <v>9</v>
      </c>
      <c r="I65" s="3">
        <v>9</v>
      </c>
      <c r="J65" s="4">
        <v>3</v>
      </c>
      <c r="M65" s="11">
        <f>IF(C65="","",H65*100/C65)</f>
        <v>45</v>
      </c>
      <c r="N65" s="11">
        <f>IF(D65="","",I65*100/D65)</f>
        <v>45</v>
      </c>
      <c r="O65" s="11">
        <f>IF(E65="","",J65*100/E65)</f>
        <v>30</v>
      </c>
      <c r="P65" s="11" t="str">
        <f>IF(F65="","",K65*100/F65)</f>
        <v/>
      </c>
      <c r="Q65" s="11" t="str">
        <f>IF(G65="","",L65*100/G65)</f>
        <v/>
      </c>
      <c r="R65" s="3" t="str">
        <f>IF(M65&gt;=$E$10,"1","0")</f>
        <v>0</v>
      </c>
      <c r="S65" s="3" t="str">
        <f>IF(N65&gt;=$E$10,"1","0")</f>
        <v>0</v>
      </c>
      <c r="T65" s="3" t="str">
        <f>IF(O65&gt;=$E$10,"1","0")</f>
        <v>0</v>
      </c>
      <c r="W65" s="3">
        <f>Theory!D55</f>
        <v>21</v>
      </c>
    </row>
    <row r="66" ht="15.75" customHeight="1">
      <c r="A66" s="3">
        <f>Theory!A56</f>
        <v>51</v>
      </c>
      <c r="B66" s="3" t="str">
        <f>Theory!B56</f>
        <v>7376231EE152</v>
      </c>
      <c r="C66" s="11">
        <v>20</v>
      </c>
      <c r="D66" s="11">
        <v>20</v>
      </c>
      <c r="E66" s="11">
        <v>10</v>
      </c>
      <c r="H66" s="3">
        <v>13</v>
      </c>
      <c r="I66" s="3">
        <v>13</v>
      </c>
      <c r="J66" s="4">
        <v>7</v>
      </c>
      <c r="M66" s="11">
        <f>IF(C66="","",H66*100/C66)</f>
        <v>65</v>
      </c>
      <c r="N66" s="11">
        <f>IF(D66="","",I66*100/D66)</f>
        <v>65</v>
      </c>
      <c r="O66" s="11">
        <f>IF(E66="","",J66*100/E66)</f>
        <v>70</v>
      </c>
      <c r="P66" s="11" t="str">
        <f>IF(F66="","",K66*100/F66)</f>
        <v/>
      </c>
      <c r="Q66" s="11" t="str">
        <f>IF(G66="","",L66*100/G66)</f>
        <v/>
      </c>
      <c r="R66" s="3" t="str">
        <f>IF(M66&gt;=$E$10,"1","0")</f>
        <v>1</v>
      </c>
      <c r="S66" s="3" t="str">
        <f>IF(N66&gt;=$E$10,"1","0")</f>
        <v>1</v>
      </c>
      <c r="T66" s="3" t="str">
        <f>IF(O66&gt;=$E$10,"1","0")</f>
        <v>1</v>
      </c>
      <c r="W66" s="3">
        <f>Theory!D56</f>
        <v>33</v>
      </c>
    </row>
    <row r="67" ht="15.75" customHeight="1">
      <c r="A67" s="3">
        <f>Theory!A57</f>
        <v>52</v>
      </c>
      <c r="B67" s="3" t="str">
        <f>Theory!B57</f>
        <v>7376231EE153</v>
      </c>
      <c r="C67" s="11">
        <v>20</v>
      </c>
      <c r="D67" s="11">
        <v>20</v>
      </c>
      <c r="E67" s="11">
        <v>10</v>
      </c>
      <c r="H67" s="3">
        <v>11</v>
      </c>
      <c r="I67" s="3">
        <v>11</v>
      </c>
      <c r="J67" s="4">
        <v>6</v>
      </c>
      <c r="M67" s="11">
        <f>IF(C67="","",H67*100/C67)</f>
        <v>55</v>
      </c>
      <c r="N67" s="11">
        <f>IF(D67="","",I67*100/D67)</f>
        <v>55</v>
      </c>
      <c r="O67" s="11">
        <f>IF(E67="","",J67*100/E67)</f>
        <v>60</v>
      </c>
      <c r="P67" s="11" t="str">
        <f>IF(F67="","",K67*100/F67)</f>
        <v/>
      </c>
      <c r="Q67" s="11" t="str">
        <f>IF(G67="","",L67*100/G67)</f>
        <v/>
      </c>
      <c r="R67" s="3" t="str">
        <f>IF(M67&gt;=$E$10,"1","0")</f>
        <v>0</v>
      </c>
      <c r="S67" s="3" t="str">
        <f>IF(N67&gt;=$E$10,"1","0")</f>
        <v>0</v>
      </c>
      <c r="T67" s="3" t="str">
        <f>IF(O67&gt;=$E$10,"1","0")</f>
        <v>1</v>
      </c>
      <c r="W67" s="3">
        <f>Theory!D57</f>
        <v>28</v>
      </c>
    </row>
    <row r="68" ht="15.75" customHeight="1">
      <c r="A68" s="3">
        <f>Theory!A58</f>
        <v>53</v>
      </c>
      <c r="B68" s="3" t="str">
        <f>Theory!B58</f>
        <v>7376231EE154</v>
      </c>
      <c r="C68" s="11">
        <v>20</v>
      </c>
      <c r="D68" s="11">
        <v>20</v>
      </c>
      <c r="E68" s="11">
        <v>10</v>
      </c>
      <c r="H68" s="3">
        <v>11</v>
      </c>
      <c r="I68" s="3">
        <v>11</v>
      </c>
      <c r="J68" s="4">
        <v>6</v>
      </c>
      <c r="M68" s="11">
        <f>IF(C68="","",H68*100/C68)</f>
        <v>55</v>
      </c>
      <c r="N68" s="11">
        <f>IF(D68="","",I68*100/D68)</f>
        <v>55</v>
      </c>
      <c r="O68" s="11">
        <f>IF(E68="","",J68*100/E68)</f>
        <v>60</v>
      </c>
      <c r="P68" s="11" t="str">
        <f>IF(F68="","",K68*100/F68)</f>
        <v/>
      </c>
      <c r="Q68" s="11" t="str">
        <f>IF(G68="","",L68*100/G68)</f>
        <v/>
      </c>
      <c r="R68" s="3" t="str">
        <f>IF(M68&gt;=$E$10,"1","0")</f>
        <v>0</v>
      </c>
      <c r="S68" s="3" t="str">
        <f>IF(N68&gt;=$E$10,"1","0")</f>
        <v>0</v>
      </c>
      <c r="T68" s="3" t="str">
        <f>IF(O68&gt;=$E$10,"1","0")</f>
        <v>1</v>
      </c>
      <c r="W68" s="3">
        <f>Theory!D58</f>
        <v>28</v>
      </c>
    </row>
    <row r="69" ht="15.75" customHeight="1">
      <c r="A69" s="3">
        <f>Theory!A59</f>
        <v>54</v>
      </c>
      <c r="B69" s="3" t="str">
        <f>Theory!B59</f>
        <v>7376231EE155</v>
      </c>
      <c r="C69" s="11">
        <v>20</v>
      </c>
      <c r="D69" s="11">
        <v>20</v>
      </c>
      <c r="E69" s="11">
        <v>10</v>
      </c>
      <c r="H69" s="3">
        <v>12</v>
      </c>
      <c r="I69" s="3">
        <v>11</v>
      </c>
      <c r="J69" s="4">
        <v>6</v>
      </c>
      <c r="M69" s="11">
        <f>IF(C69="","",H69*100/C69)</f>
        <v>60</v>
      </c>
      <c r="N69" s="11">
        <f>IF(D69="","",I69*100/D69)</f>
        <v>55</v>
      </c>
      <c r="O69" s="11">
        <f>IF(E69="","",J69*100/E69)</f>
        <v>60</v>
      </c>
      <c r="P69" s="11" t="str">
        <f>IF(F69="","",K69*100/F69)</f>
        <v/>
      </c>
      <c r="Q69" s="11" t="str">
        <f>IF(G69="","",L69*100/G69)</f>
        <v/>
      </c>
      <c r="R69" s="3" t="str">
        <f>IF(M69&gt;=$E$10,"1","0")</f>
        <v>1</v>
      </c>
      <c r="S69" s="3" t="str">
        <f>IF(N69&gt;=$E$10,"1","0")</f>
        <v>0</v>
      </c>
      <c r="T69" s="3" t="str">
        <f>IF(O69&gt;=$E$10,"1","0")</f>
        <v>1</v>
      </c>
      <c r="W69" s="3">
        <f>Theory!D59</f>
        <v>29</v>
      </c>
    </row>
    <row r="70" ht="15.75" customHeight="1">
      <c r="A70" s="3">
        <f>Theory!A60</f>
        <v>55</v>
      </c>
      <c r="B70" s="3" t="str">
        <f>Theory!B60</f>
        <v>7376231EE156</v>
      </c>
      <c r="C70" s="11">
        <v>20</v>
      </c>
      <c r="D70" s="11">
        <v>20</v>
      </c>
      <c r="E70" s="11">
        <v>10</v>
      </c>
      <c r="H70" s="3">
        <v>14</v>
      </c>
      <c r="I70" s="3">
        <v>14</v>
      </c>
      <c r="J70" s="4">
        <v>6</v>
      </c>
      <c r="M70" s="11">
        <f>IF(C70="","",H70*100/C70)</f>
        <v>70</v>
      </c>
      <c r="N70" s="11">
        <f>IF(D70="","",I70*100/D70)</f>
        <v>70</v>
      </c>
      <c r="O70" s="11">
        <f>IF(E70="","",J70*100/E70)</f>
        <v>60</v>
      </c>
      <c r="P70" s="11" t="str">
        <f>IF(F70="","",K70*100/F70)</f>
        <v/>
      </c>
      <c r="Q70" s="11" t="str">
        <f>IF(G70="","",L70*100/G70)</f>
        <v/>
      </c>
      <c r="R70" s="3" t="str">
        <f>IF(M70&gt;=$E$10,"1","0")</f>
        <v>1</v>
      </c>
      <c r="S70" s="3" t="str">
        <f>IF(N70&gt;=$E$10,"1","0")</f>
        <v>1</v>
      </c>
      <c r="T70" s="3" t="str">
        <f>IF(O70&gt;=$E$10,"1","0")</f>
        <v>1</v>
      </c>
      <c r="W70" s="3">
        <f>Theory!D60</f>
        <v>34</v>
      </c>
    </row>
    <row r="71" ht="15.75" customHeight="1">
      <c r="A71" s="3">
        <f>Theory!A61</f>
        <v>56</v>
      </c>
      <c r="B71" s="3" t="str">
        <f>Theory!B61</f>
        <v>7376231EE157</v>
      </c>
      <c r="C71" s="11">
        <v>20</v>
      </c>
      <c r="D71" s="11">
        <v>20</v>
      </c>
      <c r="E71" s="11">
        <v>10</v>
      </c>
      <c r="H71" s="3">
        <v>13</v>
      </c>
      <c r="I71" s="3">
        <v>13</v>
      </c>
      <c r="J71" s="4">
        <v>7</v>
      </c>
      <c r="M71" s="11">
        <f>IF(C71="","",H71*100/C71)</f>
        <v>65</v>
      </c>
      <c r="N71" s="11">
        <f>IF(D71="","",I71*100/D71)</f>
        <v>65</v>
      </c>
      <c r="O71" s="11">
        <f>IF(E71="","",J71*100/E71)</f>
        <v>70</v>
      </c>
      <c r="P71" s="11" t="str">
        <f>IF(F71="","",K71*100/F71)</f>
        <v/>
      </c>
      <c r="Q71" s="11" t="str">
        <f>IF(G71="","",L71*100/G71)</f>
        <v/>
      </c>
      <c r="R71" s="3" t="str">
        <f>IF(M71&gt;=$E$10,"1","0")</f>
        <v>1</v>
      </c>
      <c r="S71" s="3" t="str">
        <f>IF(N71&gt;=$E$10,"1","0")</f>
        <v>1</v>
      </c>
      <c r="T71" s="3" t="str">
        <f>IF(O71&gt;=$E$10,"1","0")</f>
        <v>1</v>
      </c>
      <c r="W71" s="3">
        <f>Theory!D61</f>
        <v>33</v>
      </c>
    </row>
    <row r="72" ht="15.75" customHeight="1">
      <c r="A72" s="3">
        <f>Theory!A62</f>
        <v>57</v>
      </c>
      <c r="B72" s="3" t="str">
        <f>Theory!B62</f>
        <v>7376231EE158</v>
      </c>
      <c r="C72" s="11">
        <v>20</v>
      </c>
      <c r="D72" s="11">
        <v>20</v>
      </c>
      <c r="E72" s="11">
        <v>10</v>
      </c>
      <c r="H72" s="3">
        <v>11</v>
      </c>
      <c r="I72" s="3">
        <v>10</v>
      </c>
      <c r="J72" s="4">
        <v>5</v>
      </c>
      <c r="M72" s="11">
        <f>IF(C72="","",H72*100/C72)</f>
        <v>55</v>
      </c>
      <c r="N72" s="11">
        <f>IF(D72="","",I72*100/D72)</f>
        <v>50</v>
      </c>
      <c r="O72" s="11">
        <f>IF(E72="","",J72*100/E72)</f>
        <v>50</v>
      </c>
      <c r="P72" s="11" t="str">
        <f>IF(F72="","",K72*100/F72)</f>
        <v/>
      </c>
      <c r="Q72" s="11" t="str">
        <f>IF(G72="","",L72*100/G72)</f>
        <v/>
      </c>
      <c r="R72" s="3" t="str">
        <f>IF(M72&gt;=$E$10,"1","0")</f>
        <v>0</v>
      </c>
      <c r="S72" s="3" t="str">
        <f>IF(N72&gt;=$E$10,"1","0")</f>
        <v>0</v>
      </c>
      <c r="T72" s="3" t="str">
        <f>IF(O72&gt;=$E$10,"1","0")</f>
        <v>0</v>
      </c>
      <c r="W72" s="3">
        <f>Theory!D62</f>
        <v>26</v>
      </c>
    </row>
    <row r="73" ht="15.75" customHeight="1">
      <c r="A73" s="3">
        <f>Theory!A63</f>
        <v>58</v>
      </c>
      <c r="B73" s="3" t="str">
        <f>Theory!B63</f>
        <v>7376231EE159</v>
      </c>
      <c r="C73" s="11">
        <v>20</v>
      </c>
      <c r="D73" s="11">
        <v>20</v>
      </c>
      <c r="E73" s="11">
        <v>10</v>
      </c>
      <c r="H73" s="3">
        <v>11</v>
      </c>
      <c r="I73" s="3">
        <v>10</v>
      </c>
      <c r="J73" s="4">
        <v>5</v>
      </c>
      <c r="M73" s="11">
        <f>IF(C73="","",H73*100/C73)</f>
        <v>55</v>
      </c>
      <c r="N73" s="11">
        <f>IF(D73="","",I73*100/D73)</f>
        <v>50</v>
      </c>
      <c r="O73" s="11">
        <f>IF(E73="","",J73*100/E73)</f>
        <v>50</v>
      </c>
      <c r="P73" s="11" t="str">
        <f>IF(F73="","",K73*100/F73)</f>
        <v/>
      </c>
      <c r="Q73" s="11" t="str">
        <f>IF(G73="","",L73*100/G73)</f>
        <v/>
      </c>
      <c r="R73" s="3" t="str">
        <f>IF(M73&gt;=$E$10,"1","0")</f>
        <v>0</v>
      </c>
      <c r="S73" s="3" t="str">
        <f>IF(N73&gt;=$E$10,"1","0")</f>
        <v>0</v>
      </c>
      <c r="T73" s="3" t="str">
        <f>IF(O73&gt;=$E$10,"1","0")</f>
        <v>0</v>
      </c>
      <c r="W73" s="3">
        <f>Theory!D63</f>
        <v>26</v>
      </c>
    </row>
    <row r="74" ht="15.75" customHeight="1">
      <c r="A74" s="3">
        <f>Theory!A64</f>
        <v>59</v>
      </c>
      <c r="B74" s="3" t="str">
        <f>Theory!B64</f>
        <v>7376231EE160</v>
      </c>
      <c r="C74" s="11">
        <v>20</v>
      </c>
      <c r="D74" s="11">
        <v>20</v>
      </c>
      <c r="E74" s="11">
        <v>10</v>
      </c>
      <c r="H74" s="3">
        <v>9</v>
      </c>
      <c r="I74" s="3">
        <v>10</v>
      </c>
      <c r="J74" s="4">
        <v>6</v>
      </c>
      <c r="M74" s="11">
        <f>IF(C74="","",H74*100/C74)</f>
        <v>45</v>
      </c>
      <c r="N74" s="11">
        <f>IF(D74="","",I74*100/D74)</f>
        <v>50</v>
      </c>
      <c r="O74" s="11">
        <f>IF(E74="","",J74*100/E74)</f>
        <v>60</v>
      </c>
      <c r="P74" s="11" t="str">
        <f>IF(F74="","",K74*100/F74)</f>
        <v/>
      </c>
      <c r="Q74" s="11" t="str">
        <f>IF(G74="","",L74*100/G74)</f>
        <v/>
      </c>
      <c r="R74" s="3" t="str">
        <f>IF(M74&gt;=$E$10,"1","0")</f>
        <v>0</v>
      </c>
      <c r="S74" s="3" t="str">
        <f>IF(N74&gt;=$E$10,"1","0")</f>
        <v>0</v>
      </c>
      <c r="T74" s="3" t="str">
        <f>IF(O74&gt;=$E$10,"1","0")</f>
        <v>1</v>
      </c>
      <c r="W74" s="3">
        <f>Theory!D64</f>
        <v>25</v>
      </c>
    </row>
    <row r="75" ht="15.75" customHeight="1">
      <c r="A75" s="3">
        <f>Theory!A65</f>
        <v>60</v>
      </c>
      <c r="B75" s="3" t="str">
        <f>Theory!B65</f>
        <v>7376231EE161</v>
      </c>
      <c r="C75" s="11">
        <v>20</v>
      </c>
      <c r="D75" s="11">
        <v>20</v>
      </c>
      <c r="E75" s="11">
        <v>10</v>
      </c>
      <c r="H75" s="3">
        <v>11</v>
      </c>
      <c r="I75" s="3">
        <v>11</v>
      </c>
      <c r="J75" s="4">
        <v>6</v>
      </c>
      <c r="M75" s="11">
        <f>IF(C75="","",H75*100/C75)</f>
        <v>55</v>
      </c>
      <c r="N75" s="11">
        <f>IF(D75="","",I75*100/D75)</f>
        <v>55</v>
      </c>
      <c r="O75" s="11">
        <f>IF(E75="","",J75*100/E75)</f>
        <v>60</v>
      </c>
      <c r="P75" s="11" t="str">
        <f>IF(F75="","",K75*100/F75)</f>
        <v/>
      </c>
      <c r="Q75" s="11" t="str">
        <f>IF(G75="","",L75*100/G75)</f>
        <v/>
      </c>
      <c r="R75" s="3" t="str">
        <f>IF(M75&gt;=$E$10,"1","0")</f>
        <v>0</v>
      </c>
      <c r="S75" s="3" t="str">
        <f>IF(N75&gt;=$E$10,"1","0")</f>
        <v>0</v>
      </c>
      <c r="T75" s="3" t="str">
        <f>IF(O75&gt;=$E$10,"1","0")</f>
        <v>1</v>
      </c>
      <c r="W75" s="3">
        <f>Theory!D65</f>
        <v>28</v>
      </c>
    </row>
    <row r="76" ht="15.75" customHeight="1">
      <c r="A76" s="3">
        <f>Theory!A66</f>
        <v>61</v>
      </c>
      <c r="B76" s="3" t="str">
        <f>Theory!B66</f>
        <v>7376241EE501</v>
      </c>
      <c r="C76" s="11">
        <v>20</v>
      </c>
      <c r="D76" s="11">
        <v>20</v>
      </c>
      <c r="E76" s="11">
        <v>10</v>
      </c>
      <c r="H76" s="3">
        <v>11</v>
      </c>
      <c r="I76" s="3">
        <v>10</v>
      </c>
      <c r="J76" s="4">
        <v>5</v>
      </c>
      <c r="M76" s="11">
        <f>IF(C76="","",H76*100/C76)</f>
        <v>55</v>
      </c>
      <c r="N76" s="11">
        <f>IF(D76="","",I76*100/D76)</f>
        <v>50</v>
      </c>
      <c r="O76" s="11">
        <f>IF(E76="","",J76*100/E76)</f>
        <v>50</v>
      </c>
      <c r="P76" s="11" t="str">
        <f>IF(F76="","",K76*100/F76)</f>
        <v/>
      </c>
      <c r="Q76" s="11" t="str">
        <f>IF(G76="","",L76*100/G76)</f>
        <v/>
      </c>
      <c r="R76" s="3" t="str">
        <f>IF(M76&gt;=$E$10,"1","0")</f>
        <v>0</v>
      </c>
      <c r="S76" s="3" t="str">
        <f>IF(N76&gt;=$E$10,"1","0")</f>
        <v>0</v>
      </c>
      <c r="T76" s="3" t="str">
        <f>IF(O76&gt;=$E$10,"1","0")</f>
        <v>0</v>
      </c>
      <c r="W76" s="3">
        <f>Theory!D66</f>
        <v>26</v>
      </c>
    </row>
    <row r="77" ht="15.75" customHeight="1">
      <c r="A77" s="3">
        <f>Theory!A67</f>
        <v>62</v>
      </c>
      <c r="B77" s="3" t="str">
        <f>Theory!B67</f>
        <v>7376241EE502</v>
      </c>
      <c r="C77" s="11">
        <v>20</v>
      </c>
      <c r="D77" s="11">
        <v>20</v>
      </c>
      <c r="E77" s="11">
        <v>10</v>
      </c>
      <c r="H77" s="3">
        <v>11</v>
      </c>
      <c r="I77" s="3">
        <v>8</v>
      </c>
      <c r="J77" s="4">
        <v>3</v>
      </c>
      <c r="M77" s="11">
        <f>IF(C77="","",H77*100/C77)</f>
        <v>55</v>
      </c>
      <c r="N77" s="11">
        <f>IF(D77="","",I77*100/D77)</f>
        <v>40</v>
      </c>
      <c r="O77" s="11">
        <f>IF(E77="","",J77*100/E77)</f>
        <v>30</v>
      </c>
      <c r="P77" s="11" t="str">
        <f>IF(F77="","",K77*100/F77)</f>
        <v/>
      </c>
      <c r="Q77" s="11" t="str">
        <f>IF(G77="","",L77*100/G77)</f>
        <v/>
      </c>
      <c r="R77" s="3" t="str">
        <f>IF(M77&gt;=$E$10,"1","0")</f>
        <v>0</v>
      </c>
      <c r="S77" s="3" t="str">
        <f>IF(N77&gt;=$E$10,"1","0")</f>
        <v>0</v>
      </c>
      <c r="T77" s="3" t="str">
        <f>IF(O77&gt;=$E$10,"1","0")</f>
        <v>0</v>
      </c>
      <c r="W77" s="3">
        <f>Theory!D67</f>
        <v>22</v>
      </c>
    </row>
    <row r="78" ht="15.75" customHeight="1">
      <c r="A78" s="3">
        <f>Theory!A68</f>
        <v>63</v>
      </c>
      <c r="B78" s="3" t="str">
        <f>Theory!B68</f>
        <v>7376241EE503</v>
      </c>
      <c r="C78" s="11">
        <v>20</v>
      </c>
      <c r="D78" s="11">
        <v>20</v>
      </c>
      <c r="E78" s="11">
        <v>10</v>
      </c>
      <c r="H78" s="3">
        <v>11</v>
      </c>
      <c r="I78" s="3">
        <v>8</v>
      </c>
      <c r="J78" s="4">
        <v>3</v>
      </c>
      <c r="M78" s="11">
        <f>IF(C78="","",H78*100/C78)</f>
        <v>55</v>
      </c>
      <c r="N78" s="11">
        <f>IF(D78="","",I78*100/D78)</f>
        <v>40</v>
      </c>
      <c r="O78" s="11">
        <f>IF(E78="","",J78*100/E78)</f>
        <v>30</v>
      </c>
      <c r="P78" s="11" t="str">
        <f>IF(F78="","",K78*100/F78)</f>
        <v/>
      </c>
      <c r="Q78" s="11" t="str">
        <f>IF(G78="","",L78*100/G78)</f>
        <v/>
      </c>
      <c r="R78" s="3" t="str">
        <f>IF(M78&gt;=$E$10,"1","0")</f>
        <v>0</v>
      </c>
      <c r="S78" s="3" t="str">
        <f>IF(N78&gt;=$E$10,"1","0")</f>
        <v>0</v>
      </c>
      <c r="T78" s="3" t="str">
        <f>IF(O78&gt;=$E$10,"1","0")</f>
        <v>0</v>
      </c>
      <c r="W78" s="3">
        <f>Theory!D68</f>
        <v>22</v>
      </c>
    </row>
    <row r="79" ht="15.75" customHeight="1">
      <c r="A79" s="3">
        <f>Theory!A69</f>
        <v>64</v>
      </c>
      <c r="B79" s="3" t="str">
        <f>Theory!B69</f>
        <v>7376241EE504</v>
      </c>
      <c r="C79" s="11">
        <v>20</v>
      </c>
      <c r="D79" s="11">
        <v>20</v>
      </c>
      <c r="E79" s="11">
        <v>10</v>
      </c>
      <c r="H79" s="3">
        <v>12</v>
      </c>
      <c r="I79" s="3">
        <v>11</v>
      </c>
      <c r="J79" s="4">
        <v>6</v>
      </c>
      <c r="M79" s="11">
        <f>IF(C79="","",H79*100/C79)</f>
        <v>60</v>
      </c>
      <c r="N79" s="11">
        <f>IF(D79="","",I79*100/D79)</f>
        <v>55</v>
      </c>
      <c r="O79" s="11">
        <f>IF(E79="","",J79*100/E79)</f>
        <v>60</v>
      </c>
      <c r="P79" s="11" t="str">
        <f>IF(F79="","",K79*100/F79)</f>
        <v/>
      </c>
      <c r="Q79" s="11" t="str">
        <f>IF(G79="","",L79*100/G79)</f>
        <v/>
      </c>
      <c r="R79" s="3" t="str">
        <f>IF(M79&gt;=$E$10,"1","0")</f>
        <v>1</v>
      </c>
      <c r="S79" s="3" t="str">
        <f>IF(N79&gt;=$E$10,"1","0")</f>
        <v>0</v>
      </c>
      <c r="T79" s="3" t="str">
        <f>IF(O79&gt;=$E$10,"1","0")</f>
        <v>1</v>
      </c>
      <c r="W79" s="3">
        <f>Theory!D69</f>
        <v>29</v>
      </c>
    </row>
    <row r="80" ht="15.75" customHeight="1">
      <c r="A80" s="3">
        <f>Theory!A70</f>
        <v>65</v>
      </c>
      <c r="B80" s="3" t="str">
        <f>Theory!B70</f>
        <v>7376241EE505</v>
      </c>
      <c r="C80" s="11">
        <v>20</v>
      </c>
      <c r="D80" s="11">
        <v>20</v>
      </c>
      <c r="E80" s="11">
        <v>10</v>
      </c>
      <c r="H80" s="3">
        <v>13</v>
      </c>
      <c r="I80" s="3">
        <v>12</v>
      </c>
      <c r="J80" s="4">
        <v>6</v>
      </c>
      <c r="M80" s="11">
        <f>IF(C80="","",H80*100/C80)</f>
        <v>65</v>
      </c>
      <c r="N80" s="11">
        <f>IF(D80="","",I80*100/D80)</f>
        <v>60</v>
      </c>
      <c r="O80" s="11">
        <f>IF(E80="","",J80*100/E80)</f>
        <v>60</v>
      </c>
      <c r="P80" s="11" t="str">
        <f>IF(F80="","",K80*100/F80)</f>
        <v/>
      </c>
      <c r="Q80" s="11" t="str">
        <f>IF(G80="","",L80*100/G80)</f>
        <v/>
      </c>
      <c r="R80" s="3" t="str">
        <f>IF(M80&gt;=$E$10,"1","0")</f>
        <v>1</v>
      </c>
      <c r="S80" s="3" t="str">
        <f>IF(N80&gt;=$E$10,"1","0")</f>
        <v>1</v>
      </c>
      <c r="T80" s="3" t="str">
        <f>IF(O80&gt;=$E$10,"1","0")</f>
        <v>1</v>
      </c>
      <c r="W80" s="3">
        <f>Theory!D70</f>
        <v>31</v>
      </c>
    </row>
    <row r="81" ht="15.75" customHeight="1">
      <c r="A81" s="3">
        <f>Theory!A71</f>
        <v>66</v>
      </c>
      <c r="B81" s="3" t="str">
        <f>Theory!B71</f>
        <v>7376241EE506</v>
      </c>
      <c r="C81" s="11">
        <v>20</v>
      </c>
      <c r="D81" s="11">
        <v>20</v>
      </c>
      <c r="E81" s="11">
        <v>10</v>
      </c>
      <c r="H81" s="3">
        <v>11</v>
      </c>
      <c r="I81" s="3">
        <v>11</v>
      </c>
      <c r="J81" s="4">
        <v>5</v>
      </c>
      <c r="M81" s="11">
        <f>IF(C81="","",H81*100/C81)</f>
        <v>55</v>
      </c>
      <c r="N81" s="11">
        <f>IF(D81="","",I81*100/D81)</f>
        <v>55</v>
      </c>
      <c r="O81" s="11">
        <f>IF(E81="","",J81*100/E81)</f>
        <v>50</v>
      </c>
      <c r="P81" s="11" t="str">
        <f>IF(F81="","",K81*100/F81)</f>
        <v/>
      </c>
      <c r="Q81" s="11" t="str">
        <f>IF(G81="","",L81*100/G81)</f>
        <v/>
      </c>
      <c r="R81" s="3" t="str">
        <f>IF(M81&gt;=$E$10,"1","0")</f>
        <v>0</v>
      </c>
      <c r="S81" s="3" t="str">
        <f>IF(N81&gt;=$E$10,"1","0")</f>
        <v>0</v>
      </c>
      <c r="T81" s="3" t="str">
        <f>IF(O81&gt;=$E$10,"1","0")</f>
        <v>0</v>
      </c>
      <c r="W81" s="3">
        <f>Theory!D71</f>
        <v>27</v>
      </c>
    </row>
    <row r="82" hidden="1" ht="15.75" customHeight="1"/>
    <row r="83" hidden="1" ht="15.75" customHeight="1"/>
    <row r="84" hidden="1" ht="15.75" customHeight="1"/>
    <row r="85" hidden="1" ht="15.75" customHeight="1"/>
    <row r="86" hidden="1" ht="15.75" customHeight="1"/>
    <row r="87" hidden="1" ht="15.75" customHeight="1"/>
    <row r="88" hidden="1" ht="15.75" customHeight="1"/>
    <row r="89" hidden="1" ht="15.75" customHeight="1"/>
    <row r="90" hidden="1" ht="15.75" customHeight="1"/>
    <row r="91" hidden="1" ht="15.75" customHeight="1"/>
    <row r="92" hidden="1" ht="15.75" customHeight="1"/>
    <row r="93" hidden="1" ht="15.75" customHeight="1"/>
    <row r="94" hidden="1" ht="15.75" customHeight="1"/>
    <row r="95" hidden="1" ht="15.75" customHeight="1"/>
    <row r="96" hidden="1" ht="15.75" customHeight="1"/>
    <row r="97" hidden="1" ht="15.75" customHeight="1"/>
    <row r="98" hidden="1" ht="15.75" customHeight="1"/>
    <row r="99" hidden="1" ht="15.75" customHeight="1"/>
    <row r="100" hidden="1" ht="15.75" customHeight="1"/>
    <row r="101" hidden="1" ht="15.75" customHeight="1"/>
    <row r="102" hidden="1" ht="15.75" customHeight="1"/>
    <row r="103" hidden="1" ht="15.75" customHeight="1"/>
    <row r="104" hidden="1" ht="15.75" customHeight="1"/>
    <row r="105" hidden="1" ht="15.75" customHeight="1"/>
    <row r="106" hidden="1" ht="15.75" customHeight="1"/>
    <row r="107" hidden="1" ht="15.75" customHeight="1"/>
    <row r="108" hidden="1" ht="15.75" customHeight="1"/>
    <row r="109" hidden="1" ht="15.75" customHeight="1"/>
    <row r="110" hidden="1" ht="15.75" customHeight="1"/>
    <row r="111" hidden="1" ht="15.75" customHeight="1"/>
    <row r="112" hidden="1" ht="15.75" customHeight="1"/>
    <row r="113" hidden="1" ht="15.75" customHeight="1"/>
    <row r="114" hidden="1" ht="15.75" customHeight="1"/>
    <row r="115" hidden="1" ht="15.75" customHeight="1"/>
    <row r="116" hidden="1" ht="15.75" customHeight="1"/>
    <row r="117" hidden="1" ht="15.75" customHeight="1"/>
    <row r="118" hidden="1" ht="15.75" customHeight="1"/>
    <row r="119" hidden="1" ht="15.75" customHeight="1"/>
    <row r="120" hidden="1" ht="15.75" customHeight="1"/>
    <row r="121" hidden="1" ht="15.75" customHeight="1"/>
    <row r="122" hidden="1" ht="15.75" customHeight="1"/>
    <row r="123" hidden="1" ht="15.75" customHeight="1"/>
    <row r="124" hidden="1" ht="15.75" customHeight="1"/>
    <row r="125" hidden="1" ht="15.75" customHeight="1"/>
    <row r="126" hidden="1" ht="15.75" customHeight="1"/>
    <row r="127" hidden="1" ht="15.75" customHeight="1"/>
    <row r="128" hidden="1" ht="15.75" customHeight="1"/>
    <row r="129" hidden="1" ht="15.75" customHeight="1"/>
    <row r="130" hidden="1" ht="15.75" customHeight="1"/>
    <row r="131" hidden="1" ht="15.75" customHeight="1"/>
    <row r="132" hidden="1" ht="15.75" customHeight="1"/>
    <row r="133" hidden="1" ht="15.75" customHeight="1"/>
    <row r="134" hidden="1" ht="15.75" customHeight="1"/>
    <row r="135" hidden="1" ht="15.75" customHeight="1"/>
    <row r="136" hidden="1" ht="15.75" customHeight="1"/>
    <row r="137" hidden="1" ht="15.75" customHeight="1"/>
    <row r="138" hidden="1" ht="15.75" customHeight="1"/>
    <row r="139" hidden="1" ht="15.75" customHeight="1"/>
    <row r="140" hidden="1" ht="15.75" customHeight="1"/>
    <row r="141" hidden="1" ht="15.75" customHeight="1"/>
    <row r="142" hidden="1" ht="15.75" customHeight="1"/>
    <row r="143" hidden="1" ht="15.75" customHeight="1"/>
    <row r="144" hidden="1" ht="15.75" customHeight="1"/>
    <row r="145" hidden="1" ht="15.75" customHeight="1"/>
    <row r="146" hidden="1" ht="15.75" customHeight="1"/>
    <row r="147" hidden="1" ht="15.75" customHeight="1"/>
    <row r="148" hidden="1" ht="15.75" customHeight="1"/>
    <row r="149" hidden="1" ht="15.75" customHeight="1"/>
    <row r="150" hidden="1" ht="15.75" customHeight="1"/>
    <row r="151" hidden="1" ht="15.75" customHeight="1"/>
    <row r="152" hidden="1" ht="15.75" customHeight="1"/>
    <row r="153" hidden="1" ht="15.75" customHeight="1"/>
    <row r="154" hidden="1" ht="15.75" customHeight="1"/>
    <row r="155" hidden="1" ht="15.75" customHeight="1"/>
    <row r="156" hidden="1" ht="15.75" customHeight="1"/>
    <row r="157" hidden="1" ht="15.75" customHeight="1"/>
    <row r="158" hidden="1" ht="15.75" customHeight="1"/>
    <row r="159" hidden="1" ht="15.75" customHeight="1"/>
    <row r="160" hidden="1" ht="15.75" customHeight="1"/>
    <row r="161" hidden="1" ht="15.75" customHeight="1"/>
    <row r="162" hidden="1" ht="15.75" customHeight="1"/>
    <row r="163" hidden="1" ht="15.75" customHeight="1"/>
    <row r="164" hidden="1" ht="15.75" customHeight="1"/>
    <row r="165" hidden="1" ht="15.75" customHeight="1"/>
    <row r="166" hidden="1" ht="15.75" customHeight="1"/>
    <row r="167" hidden="1" ht="15.75" customHeight="1"/>
    <row r="168" hidden="1" ht="15.75" customHeight="1"/>
    <row r="169" hidden="1" ht="15.75" customHeight="1"/>
    <row r="170" hidden="1" ht="15.75" customHeight="1"/>
    <row r="171" hidden="1" ht="15.75" customHeight="1"/>
    <row r="172" hidden="1" ht="15.75" customHeight="1"/>
    <row r="173" hidden="1" ht="15.75" customHeight="1"/>
    <row r="174" hidden="1" ht="15.75" customHeight="1"/>
    <row r="175" hidden="1" ht="15.75" customHeight="1"/>
    <row r="176" hidden="1" ht="15.75" customHeight="1"/>
    <row r="177" hidden="1" ht="15.75" customHeight="1"/>
    <row r="178" hidden="1" ht="15.75" customHeight="1"/>
    <row r="179" hidden="1" ht="15.75" customHeight="1"/>
    <row r="180" hidden="1" ht="15.75" customHeight="1"/>
    <row r="181" hidden="1" ht="15.75" customHeight="1"/>
    <row r="182" hidden="1" ht="15.75" customHeight="1"/>
    <row r="183" hidden="1" ht="15.75" customHeight="1"/>
    <row r="184" hidden="1" ht="15.75" customHeight="1"/>
    <row r="185" hidden="1" ht="15.75" customHeight="1"/>
    <row r="186" hidden="1" ht="15.75" customHeight="1"/>
    <row r="187" hidden="1" ht="15.75" customHeight="1"/>
    <row r="188" hidden="1" ht="15.75" customHeight="1"/>
    <row r="189" hidden="1" ht="15.75" customHeight="1"/>
    <row r="190" hidden="1" ht="15.75" customHeight="1"/>
    <row r="191" hidden="1" ht="15.75" customHeight="1"/>
    <row r="192" hidden="1" ht="15.75" customHeight="1"/>
    <row r="193" hidden="1" ht="15.75" customHeight="1"/>
    <row r="194" hidden="1" ht="15.75" customHeight="1"/>
    <row r="195" hidden="1" ht="15.75" customHeight="1"/>
    <row r="196" hidden="1" ht="15.75" customHeight="1"/>
    <row r="197" hidden="1" ht="15.75" customHeight="1"/>
    <row r="198" hidden="1" ht="15.75" customHeight="1"/>
    <row r="199" hidden="1" ht="15.75" customHeight="1"/>
    <row r="200" hidden="1" ht="15.75" customHeight="1"/>
    <row r="201" hidden="1" ht="15.75" customHeight="1"/>
    <row r="202" hidden="1" ht="15.75" customHeight="1"/>
    <row r="203" hidden="1" ht="15.75" customHeight="1"/>
    <row r="204" hidden="1" ht="15.75" customHeight="1"/>
    <row r="205" hidden="1" ht="15.75" customHeight="1"/>
    <row r="206" hidden="1" ht="15.75" customHeight="1"/>
    <row r="207" hidden="1" ht="15.75" customHeight="1"/>
    <row r="208" hidden="1" ht="15.75" customHeight="1"/>
    <row r="209" hidden="1" ht="15.75" customHeight="1"/>
    <row r="210" hidden="1" ht="15.75" customHeight="1"/>
    <row r="211" hidden="1" ht="15.75" customHeight="1"/>
    <row r="212" hidden="1" ht="15.75" customHeight="1"/>
    <row r="213" hidden="1" ht="15.75" customHeight="1"/>
    <row r="214" hidden="1" ht="15.75" customHeight="1"/>
    <row r="215" hidden="1" ht="15.75" customHeight="1"/>
    <row r="216" hidden="1" ht="15.75" customHeight="1"/>
    <row r="217" hidden="1" ht="15.75" customHeight="1"/>
    <row r="218" hidden="1" ht="15.75" customHeight="1"/>
    <row r="219" hidden="1" ht="15.75" customHeight="1"/>
    <row r="220" hidden="1" ht="15.75" customHeight="1"/>
    <row r="221" hidden="1" ht="15.75" customHeight="1"/>
    <row r="222" hidden="1" ht="15.75" customHeight="1"/>
    <row r="223" hidden="1" ht="15.75" customHeight="1"/>
    <row r="224" hidden="1" ht="15.75" customHeight="1"/>
    <row r="225" hidden="1" ht="15.75" customHeight="1"/>
    <row r="226" hidden="1" ht="15.75" customHeight="1"/>
    <row r="227" hidden="1" ht="15.75" customHeight="1"/>
    <row r="228" hidden="1" ht="15.75" customHeight="1"/>
    <row r="229" hidden="1" ht="15.75" customHeight="1"/>
    <row r="230" hidden="1" ht="15.75" customHeight="1"/>
    <row r="231" hidden="1" ht="15.75" customHeight="1"/>
    <row r="232" hidden="1" ht="15.75" customHeight="1"/>
    <row r="233" hidden="1" ht="15.75" customHeight="1"/>
    <row r="234" hidden="1" ht="15.75" customHeight="1"/>
    <row r="235" hidden="1" ht="15.75" customHeight="1"/>
    <row r="236" hidden="1" ht="15.75" customHeight="1"/>
    <row r="237" hidden="1" ht="15.75" customHeight="1"/>
    <row r="238" hidden="1" ht="15.75" customHeight="1"/>
    <row r="239" hidden="1" ht="15.75" customHeight="1"/>
    <row r="240" hidden="1" ht="15.75" customHeight="1"/>
    <row r="241" hidden="1" ht="15.75" customHeight="1"/>
    <row r="242" hidden="1" ht="15.75" customHeight="1"/>
    <row r="243" hidden="1" ht="15.75" customHeight="1"/>
    <row r="244" hidden="1" ht="15.75" customHeight="1"/>
    <row r="245" hidden="1" ht="15.75" customHeight="1"/>
    <row r="246" hidden="1" ht="15.75" customHeight="1"/>
    <row r="247" hidden="1" ht="15.75" customHeight="1"/>
    <row r="248" hidden="1" ht="15.75" customHeight="1"/>
    <row r="249" hidden="1" ht="15.75" customHeight="1"/>
    <row r="250" hidden="1" ht="15.75" customHeight="1"/>
    <row r="251" hidden="1" ht="15.75" customHeight="1"/>
    <row r="252" hidden="1" ht="15.75" customHeight="1"/>
    <row r="253" hidden="1" ht="15.75" customHeight="1"/>
    <row r="254" hidden="1" ht="15.75" customHeight="1"/>
    <row r="255" hidden="1" ht="15.75" customHeight="1"/>
    <row r="256" hidden="1" ht="15.75" customHeight="1"/>
    <row r="257" hidden="1" ht="15.75" customHeight="1"/>
    <row r="258" hidden="1" ht="15.75" customHeight="1"/>
    <row r="259" hidden="1" ht="15.75" customHeight="1"/>
    <row r="260" hidden="1" ht="15.75" customHeight="1"/>
    <row r="261" hidden="1" ht="15.75" customHeight="1"/>
    <row r="262" hidden="1" ht="15.75" customHeight="1"/>
    <row r="263" hidden="1" ht="15.75" customHeight="1"/>
    <row r="264" hidden="1" ht="15.75" customHeight="1"/>
    <row r="265" hidden="1" ht="15.75" customHeight="1"/>
    <row r="266" hidden="1" ht="15.75" customHeight="1"/>
    <row r="267" hidden="1" ht="15.75" customHeight="1"/>
    <row r="268" hidden="1" ht="15.75" customHeight="1"/>
    <row r="269" hidden="1" ht="15.75" customHeight="1"/>
    <row r="270" hidden="1" ht="15.75" customHeight="1"/>
    <row r="271" hidden="1" ht="15.75" customHeight="1"/>
    <row r="272" hidden="1" ht="15.75" customHeight="1"/>
    <row r="273" hidden="1" ht="15.75" customHeight="1"/>
    <row r="274" hidden="1" ht="15.75" customHeight="1"/>
    <row r="275" hidden="1" ht="15.75" customHeight="1"/>
    <row r="276" hidden="1" ht="15.75" customHeight="1"/>
    <row r="277" hidden="1" ht="15.75" customHeight="1"/>
    <row r="278" hidden="1" ht="15.75" customHeight="1"/>
    <row r="279" hidden="1" ht="15.75" customHeight="1"/>
    <row r="280" hidden="1" ht="15.75" customHeight="1"/>
    <row r="281" hidden="1" ht="15.75" customHeight="1"/>
    <row r="282" hidden="1" ht="15.75" customHeight="1"/>
    <row r="283" hidden="1" ht="15.75" customHeight="1"/>
    <row r="284" hidden="1" ht="15.75" customHeight="1"/>
    <row r="285" hidden="1" ht="15.75" customHeight="1"/>
    <row r="286" hidden="1" ht="15.75" customHeight="1"/>
    <row r="287" hidden="1" ht="15.75" customHeight="1"/>
    <row r="288" hidden="1" ht="15.75" customHeight="1"/>
    <row r="289" hidden="1" ht="15.75" customHeight="1"/>
    <row r="290" hidden="1" ht="15.75" customHeight="1"/>
    <row r="291" hidden="1" ht="15.75" customHeight="1"/>
    <row r="292" hidden="1" ht="15.75" customHeight="1"/>
    <row r="293" hidden="1" ht="15.75" customHeight="1"/>
    <row r="294" hidden="1" ht="15.75" customHeight="1"/>
    <row r="295" hidden="1" ht="15.75" customHeight="1"/>
    <row r="296" hidden="1" ht="15.75" customHeight="1"/>
    <row r="297" hidden="1" ht="15.75" customHeight="1"/>
    <row r="298" hidden="1" ht="15.75" customHeight="1"/>
    <row r="299" hidden="1" ht="15.75" customHeight="1"/>
    <row r="300" hidden="1" ht="15.75" customHeight="1"/>
    <row r="301" hidden="1" ht="15.75" customHeight="1"/>
    <row r="302" hidden="1" ht="15.75" customHeight="1"/>
    <row r="303" hidden="1" ht="15.75" customHeight="1"/>
    <row r="304" hidden="1" ht="15.75" customHeight="1"/>
    <row r="305" hidden="1" ht="15.75" customHeight="1"/>
    <row r="306" hidden="1" ht="15.75" customHeight="1"/>
    <row r="307" hidden="1" ht="15.75" customHeight="1"/>
    <row r="308" hidden="1" ht="15.75" customHeight="1"/>
    <row r="309" hidden="1" ht="15.75" customHeight="1"/>
    <row r="310" hidden="1" ht="15.75" customHeight="1"/>
    <row r="311" hidden="1" ht="15.75" customHeight="1"/>
    <row r="312" hidden="1" ht="15.75" customHeight="1"/>
    <row r="313" hidden="1" ht="15.75" customHeight="1"/>
    <row r="314" hidden="1" ht="15.75" customHeight="1"/>
    <row r="315" hidden="1" ht="15.75" customHeight="1"/>
    <row r="316" hidden="1" ht="15.75" customHeight="1"/>
    <row r="317" hidden="1" ht="15.75" customHeight="1"/>
    <row r="318" hidden="1" ht="15.75" customHeight="1"/>
    <row r="319" hidden="1" ht="15.75" customHeight="1"/>
    <row r="320" hidden="1" ht="15.75" customHeight="1"/>
    <row r="321" hidden="1" ht="15.75" customHeight="1"/>
    <row r="322" hidden="1" ht="15.75" customHeight="1"/>
    <row r="323" hidden="1" ht="15.75" customHeight="1"/>
    <row r="324" hidden="1" ht="15.75" customHeight="1"/>
    <row r="325" hidden="1" ht="15.75" customHeight="1"/>
    <row r="326" hidden="1" ht="15.75" customHeight="1"/>
    <row r="327" hidden="1" ht="15.75" customHeight="1"/>
    <row r="328" hidden="1" ht="15.75" customHeight="1"/>
    <row r="329" hidden="1" ht="15.75" customHeight="1"/>
    <row r="330" hidden="1" ht="15.75" customHeight="1"/>
    <row r="331" hidden="1" ht="15.75" customHeight="1"/>
    <row r="332" hidden="1" ht="15.75" customHeight="1"/>
    <row r="333" hidden="1" ht="15.75" customHeight="1"/>
    <row r="334" hidden="1" ht="15.75" customHeight="1"/>
    <row r="335" hidden="1" ht="15.75" customHeight="1"/>
    <row r="336" hidden="1" ht="15.75" customHeight="1"/>
    <row r="337" hidden="1" ht="15.75" customHeight="1"/>
    <row r="338" hidden="1" ht="15.75" customHeight="1"/>
    <row r="339" hidden="1" ht="15.75" customHeight="1"/>
    <row r="340" hidden="1" ht="15.75" customHeight="1"/>
    <row r="341" hidden="1" ht="15.75" customHeight="1"/>
    <row r="342" hidden="1" ht="15.75" customHeight="1"/>
    <row r="343" hidden="1" ht="15.75" customHeight="1"/>
    <row r="344" hidden="1" ht="15.75" customHeight="1"/>
    <row r="345" hidden="1" ht="15.75" customHeight="1"/>
    <row r="346" hidden="1" ht="15.75" customHeight="1"/>
    <row r="347" hidden="1" ht="15.75" customHeight="1"/>
    <row r="348" hidden="1" ht="15.75" customHeight="1"/>
    <row r="349" hidden="1" ht="15.75" customHeight="1"/>
    <row r="350" hidden="1" ht="15.75" customHeight="1"/>
    <row r="351" hidden="1" ht="15.75" customHeight="1"/>
    <row r="352" hidden="1" ht="15.75" customHeight="1"/>
    <row r="353" hidden="1" ht="15.75" customHeight="1"/>
    <row r="354" hidden="1" ht="15.75" customHeight="1"/>
    <row r="355" hidden="1" ht="15.75" customHeight="1"/>
    <row r="356" hidden="1" ht="15.75" customHeight="1"/>
    <row r="357" hidden="1" ht="15.75" customHeight="1"/>
    <row r="358" hidden="1" ht="15.75" customHeight="1"/>
    <row r="359" hidden="1" ht="15.75" customHeight="1"/>
    <row r="360" hidden="1" ht="15.75" customHeight="1"/>
    <row r="361" hidden="1" ht="15.75" customHeight="1"/>
    <row r="362" hidden="1" ht="15.75" customHeight="1"/>
    <row r="363" hidden="1" ht="15.75" customHeight="1"/>
    <row r="364" hidden="1" ht="15.75" customHeight="1"/>
    <row r="365" hidden="1" ht="15.75" customHeight="1"/>
    <row r="366" hidden="1" ht="15.75" customHeight="1"/>
    <row r="367" hidden="1" ht="15.75" customHeight="1"/>
    <row r="368" hidden="1" ht="15.75" customHeight="1"/>
    <row r="369" hidden="1" ht="15.75" customHeight="1"/>
    <row r="370" hidden="1" ht="15.75" customHeight="1"/>
    <row r="371" hidden="1" ht="15.75" customHeight="1"/>
    <row r="372" hidden="1" ht="15.75" customHeight="1"/>
    <row r="373" hidden="1" ht="15.75" customHeight="1"/>
    <row r="374" hidden="1" ht="15.75" customHeight="1"/>
    <row r="375" hidden="1" ht="15.75" customHeight="1"/>
    <row r="376" hidden="1" ht="15.75" customHeight="1"/>
    <row r="377" hidden="1" ht="15.75" customHeight="1"/>
    <row r="378" hidden="1" ht="15.75" customHeight="1"/>
    <row r="379" hidden="1" ht="15.75" customHeight="1"/>
    <row r="380" hidden="1" ht="15.75" customHeight="1"/>
    <row r="381" hidden="1" ht="15.75" customHeight="1"/>
    <row r="382" hidden="1" ht="15.75" customHeight="1"/>
    <row r="383" hidden="1" ht="15.75" customHeight="1"/>
    <row r="384" hidden="1" ht="15.75" customHeight="1"/>
    <row r="385" hidden="1" ht="15.75" customHeight="1"/>
    <row r="386" hidden="1" ht="15.75" customHeight="1"/>
    <row r="387" hidden="1" ht="15.75" customHeight="1"/>
    <row r="388" hidden="1" ht="15.75" customHeight="1"/>
    <row r="389" hidden="1" ht="15.75" customHeight="1"/>
    <row r="390" hidden="1" ht="15.75" customHeight="1"/>
    <row r="391" hidden="1" ht="15.75" customHeight="1"/>
    <row r="392" hidden="1" ht="15.75" customHeight="1"/>
    <row r="393" hidden="1" ht="15.75" customHeight="1"/>
    <row r="394" hidden="1" ht="15.75" customHeight="1"/>
    <row r="395" hidden="1" ht="15.75" customHeight="1"/>
    <row r="396" hidden="1" ht="15.75" customHeight="1"/>
    <row r="397" hidden="1" ht="15.75" customHeight="1"/>
    <row r="398" hidden="1" ht="15.75" customHeight="1"/>
    <row r="399" hidden="1" ht="15.75" customHeight="1"/>
    <row r="400" hidden="1" ht="15.75" customHeight="1"/>
    <row r="401" hidden="1" ht="15.75" customHeight="1"/>
    <row r="402" hidden="1" ht="15.75" customHeight="1"/>
    <row r="403" hidden="1" ht="15.75" customHeight="1"/>
    <row r="404" hidden="1" ht="15.75" customHeight="1"/>
    <row r="405" hidden="1" ht="15.75" customHeight="1"/>
    <row r="406" hidden="1" ht="15.75" customHeight="1"/>
    <row r="407" hidden="1" ht="15.75" customHeight="1"/>
    <row r="408" hidden="1" ht="15.75" customHeight="1"/>
    <row r="409" hidden="1" ht="15.75" customHeight="1"/>
    <row r="410" hidden="1" ht="15.75" customHeight="1"/>
    <row r="411" hidden="1" ht="15.75" customHeight="1"/>
    <row r="412" hidden="1" ht="15.75" customHeight="1"/>
    <row r="413" hidden="1" ht="15.75" customHeight="1"/>
    <row r="414" hidden="1" ht="15.75" customHeight="1"/>
    <row r="415" hidden="1" ht="15.75" customHeight="1"/>
    <row r="416" hidden="1" ht="15.75" customHeight="1"/>
    <row r="417" hidden="1" ht="15.75" customHeight="1"/>
    <row r="418" hidden="1" ht="15.75" customHeight="1"/>
    <row r="419" hidden="1" ht="15.75" customHeight="1"/>
    <row r="420" hidden="1" ht="15.75" customHeight="1"/>
    <row r="421" hidden="1" ht="15.75" customHeight="1"/>
  </sheetData>
  <mergeCells count="27">
    <mergeCell ref="R14:V14"/>
    <mergeCell ref="A11:D11"/>
    <mergeCell ref="E11:F11"/>
    <mergeCell ref="L11:Q11"/>
    <mergeCell ref="A12:D12"/>
    <mergeCell ref="E12:F12"/>
    <mergeCell ref="L12:Q12"/>
    <mergeCell ref="A14:A15"/>
    <mergeCell ref="A10:D10"/>
    <mergeCell ref="E10:F10"/>
    <mergeCell ref="L10:Q10"/>
    <mergeCell ref="B14:B15"/>
    <mergeCell ref="C14:G14"/>
    <mergeCell ref="H14:L14"/>
    <mergeCell ref="M14:Q14"/>
    <mergeCell ref="A6:V6"/>
    <mergeCell ref="L7:V7"/>
    <mergeCell ref="A7:A9"/>
    <mergeCell ref="B7:K9"/>
    <mergeCell ref="L8:Q8"/>
    <mergeCell ref="L9:Q9"/>
    <mergeCell ref="A1:V1"/>
    <mergeCell ref="A2:V2"/>
    <mergeCell ref="A4:B4"/>
    <mergeCell ref="E4:F4"/>
    <mergeCell ref="H4:J4"/>
    <mergeCell ref="K4:Q4"/>
  </mergeCells>
  <pageMargins left="0.7" right="0.7" top="0.75" bottom="0.75" header="0" footer="0"/>
  <ignoredErrors>
    <ignoredError numberStoredAsText="1" sqref="A1:Z4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472"/>
  <sheetViews>
    <sheetView workbookViewId="0" rightToLeft="0"/>
  </sheetViews>
  <cols>
    <col min="1" max="1" customWidth="1" width="6.140625"/>
    <col min="2" max="2" customWidth="1" width="19.5703125"/>
    <col min="3" max="3" customWidth="1" width="8"/>
    <col min="4" max="4" customWidth="1" width="8"/>
    <col min="5" max="5" customWidth="1" width="8"/>
    <col min="6" max="6" customWidth="1" width="8"/>
    <col min="7" max="7" customWidth="1" width="8"/>
    <col min="8" max="8" customWidth="1" width="8"/>
    <col min="9" max="9" customWidth="1" width="8"/>
    <col min="10" max="10" customWidth="1" width="10.28515625"/>
    <col min="11" max="11" customWidth="1" width="8"/>
    <col min="12" max="12" customWidth="1" width="8"/>
    <col min="13" max="13" customWidth="1" width="8"/>
    <col min="14" max="14" customWidth="1" width="8"/>
    <col min="15" max="15" customWidth="1" width="8"/>
    <col min="16" max="16" customWidth="1" width="8"/>
    <col min="17" max="17" customWidth="1" width="8"/>
    <col min="18" max="18" customWidth="1" width="8"/>
    <col min="19" max="19" customWidth="1" width="8"/>
    <col min="20" max="20" customWidth="1" width="8"/>
    <col min="21" max="21" customWidth="1" width="8"/>
    <col min="22" max="22" customWidth="1" width="8"/>
    <col min="23" max="23" customWidth="1" width="14.42578125"/>
    <col min="24" max="24" customWidth="1" width="14.42578125"/>
    <col min="25" max="25" customWidth="1" width="8"/>
    <col min="26" max="26" customWidth="1" width="8"/>
  </cols>
  <sheetData>
    <row r="1" ht="26.25" customHeight="1">
      <c r="A1" s="3">
        <f>'Final Attainment'!A1:V1</f>
        <v>0</v>
      </c>
    </row>
    <row r="2" ht="19.5" customHeight="1">
      <c r="A2" s="3">
        <f>'Final Attainment'!A2:V2</f>
        <v>0</v>
      </c>
    </row>
    <row r="3" ht="15.75" customHeight="1"/>
    <row r="4" ht="39" customHeight="1">
      <c r="A4" s="3" t="str">
        <v>Academic Year:</v>
      </c>
      <c r="C4" s="3" t="str">
        <f>'Final Attainment'!C4</f>
        <v>2024-2025 EVEN</v>
      </c>
      <c r="E4" s="3" t="str">
        <v>Sem &amp; Year:</v>
      </c>
      <c r="G4" s="3" t="str">
        <f>'Final Attainment'!G4</f>
        <v>IV &amp; II</v>
      </c>
      <c r="H4" s="3" t="str">
        <v>Course Code &amp; Title:</v>
      </c>
      <c r="K4" s="3" t="str">
        <f>'Final Attainment'!K4:Q4</f>
        <v>22EE401 &amp; POWER GENERATION, TRANSMISSION AND DISTRIBUTION</v>
      </c>
      <c r="R4" s="3" t="str">
        <v>Faculty:</v>
      </c>
      <c r="S4" s="3" t="str">
        <f>'Final Attainment'!S4</f>
        <v>Dr.SIVARAMAN P / EE1329</v>
      </c>
    </row>
    <row r="5" ht="16.5" customHeight="1"/>
    <row r="6" ht="28.5" customHeight="1" xml:space="preserve">
      <c r="A6" s="4" t="str" xml:space="preserve">
        <v xml:space="preserve">PT 2_x000d_
</v>
      </c>
    </row>
    <row r="7" ht="28.5" customHeight="1" xml:space="preserve">
      <c r="A7" s="4" t="str">
        <v>Scale</v>
      </c>
      <c r="B7" s="3" t="str" xml:space="preserve">
        <f>'Final Attainment'!X1</f>
        <v xml:space="preserve">CO Attainment Level 0: &lt;50% of students scoring less than the target marks_x000d_
CO Attainment Level 1: 50% of students scoring more than the target marks_x000d_
CO Attainment Level 2: 60% of students scoring more than the target marks_x000d_
CO Attainment Level 3: 70% of students scoring more than the target marks</v>
      </c>
      <c r="L7" s="4" t="str">
        <v>CO Attainment Summary</v>
      </c>
    </row>
    <row r="8" ht="15.75" customHeight="1">
      <c r="R8" s="4" t="str">
        <v>CO1</v>
      </c>
      <c r="S8" s="4" t="str">
        <v>CO2</v>
      </c>
      <c r="T8" s="4" t="str">
        <v>CO3</v>
      </c>
      <c r="U8" s="4" t="str">
        <v>CO4</v>
      </c>
      <c r="V8" s="4" t="str">
        <v>CO5</v>
      </c>
    </row>
    <row r="9" ht="16.5" customHeight="1">
      <c r="L9" s="4" t="str">
        <v>Total No. of Students</v>
      </c>
      <c r="R9" s="4">
        <f>COUNTIF(H16:H472,"&gt;=0")</f>
        <v>0</v>
      </c>
      <c r="S9" s="4">
        <f>COUNTIF(I16:I472,"&gt;=0")</f>
        <v>0</v>
      </c>
      <c r="T9" s="4">
        <f>COUNTIF(J16:J472,"&gt;=0")</f>
        <v>66</v>
      </c>
      <c r="U9" s="4">
        <f>COUNTIF(K16:K472,"&gt;=0")</f>
        <v>66</v>
      </c>
      <c r="V9" s="4">
        <f>COUNTIF(L16:L472,"&gt;=0")</f>
        <v>66</v>
      </c>
    </row>
    <row r="10" ht="15.75" customHeight="1">
      <c r="A10" s="4" t="str">
        <v>Target CO%:</v>
      </c>
      <c r="E10" s="4">
        <f>'Final Attainment'!E7</f>
        <v>58</v>
      </c>
      <c r="L10" s="4" t="str">
        <v>Total No. of Students Achieved the Target CO%</v>
      </c>
      <c r="R10" s="4">
        <f>COUNTIF(M16:M472,"&gt;="&amp;$E$10)</f>
        <v>0</v>
      </c>
      <c r="S10" s="4">
        <f>COUNTIF(N16:N472,"&gt;="&amp;$E$10)</f>
        <v>0</v>
      </c>
      <c r="T10" s="4">
        <f>COUNTIF(O16:O472,"&gt;="&amp;$E$10)</f>
        <v>48</v>
      </c>
      <c r="U10" s="4">
        <f>COUNTIF(P16:P472,"&gt;="&amp;$E$10)</f>
        <v>42</v>
      </c>
      <c r="V10" s="4">
        <f>COUNTIF(Q16:Q472,"&gt;="&amp;$E$10)</f>
        <v>44</v>
      </c>
    </row>
    <row r="11" ht="15.75" customHeight="1">
      <c r="A11" s="4" t="str">
        <v>Total No. of Students:</v>
      </c>
      <c r="E11" s="4">
        <f>COUNTA(B16:B472)</f>
        <v>66</v>
      </c>
      <c r="L11" s="4" t="str">
        <v>Attainment Level</v>
      </c>
      <c r="R11" s="10" t="str">
        <f>IFERROR(__xludf.DUMMYFUNCTION("IF(R10=0,"""",if(CEILING(R10/R9*100)=100,query('Final Attainment'!$H$7:$J$12, ""select H where  I&lt;=""&amp;CEILING(R10/R9*100)&amp;"" and J&gt;=""&amp;CEILING(R10/R9*100)&amp;"""" ),query('Final Attainment'!$H$7:$J$12, ""select H where  I&lt;=""&amp;CEILING(R10/R9*100)&amp;"" and J&gt;""&amp;"&amp;"CEILING(R10/R9*100)&amp;"""" )))"),"")</f>
        <v/>
      </c>
      <c r="S11" s="10" t="str">
        <f>IFERROR(__xludf.DUMMYFUNCTION("IF(S10=0,"""",if(CEILING(S10/S9*100)=100,query('Final Attainment'!$H$7:$J$12, ""select H where  I&lt;=""&amp;CEILING(S10/S9*100)&amp;"" and J&gt;=""&amp;CEILING(S10/S9*100)&amp;"""" ),query('Final Attainment'!$H$7:$J$12, ""select H where  I&lt;=""&amp;CEILING(S10/S9*100)&amp;"" and J&gt;""&amp;"&amp;"CEILING(S10/S9*100)&amp;"""" )))"),"")</f>
        <v/>
      </c>
      <c r="T11" s="10">
        <f>IFERROR(__xludf.DUMMYFUNCTION("IF(T10=0,"""",if(CEILING(T10/T9*100)=100,query('Final Attainment'!$H$7:$J$12, ""select H where  I&lt;=""&amp;CEILING(T10/T9*100)&amp;"" and J&gt;=""&amp;CEILING(T10/T9*100)&amp;"""" ),query('Final Attainment'!$H$7:$J$12, ""select H where  I&lt;=""&amp;CEILING(T10/T9*100)&amp;"" and J&gt;""&amp;"&amp;"CEILING(T10/T9*100)&amp;"""" )))"),3)</f>
        <v>3</v>
      </c>
      <c r="U11" s="10">
        <f>IFERROR(__xludf.DUMMYFUNCTION("IF(U10=0,"""",if(CEILING(U10/U9*100)=100,query('Final Attainment'!$H$7:$J$12, ""select H where  I&lt;=""&amp;CEILING(U10/U9*100)&amp;"" and J&gt;=""&amp;CEILING(U10/U9*100)&amp;"""" ),query('Final Attainment'!$H$7:$J$12, ""select H where  I&lt;=""&amp;CEILING(U10/U9*100)&amp;"" and J&gt;""&amp;"&amp;"CEILING(U10/U9*100)&amp;"""" )))"),2)</f>
        <v>2</v>
      </c>
      <c r="V11" s="10">
        <f>IFERROR(__xludf.DUMMYFUNCTION("IF(V10=0,"""",if(CEILING(V10/V9*100)=100,query('Final Attainment'!$H$7:$J$12, ""select H where  I&lt;=""&amp;CEILING(V10/V9*100)&amp;"" and J&gt;=""&amp;CEILING(V10/V9*100)&amp;"""" ),query('Final Attainment'!$H$7:$J$12, ""select H where  I&lt;=""&amp;CEILING(V10/V9*100)&amp;"" and J&gt;""&amp;"&amp;"CEILING(V10/V9*100)&amp;"""" )))"),2)</f>
        <v>2</v>
      </c>
    </row>
    <row r="12" ht="16.5" customHeight="1">
      <c r="A12" s="4" t="str">
        <v>Total No. of Attended Students:</v>
      </c>
      <c r="E12" s="4">
        <f>T9</f>
        <v>66</v>
      </c>
      <c r="L12" s="4" t="str">
        <v>Total No. of Students who need Remedial Class</v>
      </c>
      <c r="R12" s="11">
        <f>R9-R10</f>
        <v>0</v>
      </c>
      <c r="S12" s="11">
        <f>S9-S10</f>
        <v>0</v>
      </c>
      <c r="T12" s="11">
        <f>T9-T10</f>
        <v>18</v>
      </c>
      <c r="U12" s="11">
        <f>U9-U10</f>
        <v>24</v>
      </c>
      <c r="V12" s="11">
        <f>V9-V10</f>
        <v>22</v>
      </c>
    </row>
    <row r="13" ht="15.75" customHeight="1"/>
    <row r="14" ht="15.75" customHeight="1">
      <c r="A14" s="12" t="str">
        <v>S.No</v>
      </c>
      <c r="B14" s="12" t="str">
        <v>Reg.No.</v>
      </c>
      <c r="C14" s="12" t="str">
        <v>MARKS ALLOCATED</v>
      </c>
      <c r="H14" s="12" t="str">
        <v>MARKS OBTAINED</v>
      </c>
      <c r="M14" s="12" t="str">
        <v>CO ATTAINMENT %</v>
      </c>
      <c r="R14" s="12" t="str">
        <v>ATTAINMENT of COs</v>
      </c>
      <c r="W14" s="12" t="str">
        <v>PT2</v>
      </c>
    </row>
    <row r="15" ht="15.75" customHeight="1">
      <c r="C15" s="12" t="str">
        <v>CO1</v>
      </c>
      <c r="D15" s="12" t="str">
        <v>CO2</v>
      </c>
      <c r="E15" s="12" t="str">
        <v>CO3</v>
      </c>
      <c r="F15" s="12" t="str">
        <v>CO4</v>
      </c>
      <c r="G15" s="12" t="str">
        <v>CO5</v>
      </c>
      <c r="H15" s="12" t="str">
        <v>CO1</v>
      </c>
      <c r="I15" s="12" t="str">
        <v>CO2</v>
      </c>
      <c r="J15" s="12" t="str">
        <v>CO3</v>
      </c>
      <c r="K15" s="12" t="str">
        <v>CO4</v>
      </c>
      <c r="L15" s="12" t="str">
        <v>CO5</v>
      </c>
      <c r="M15" s="12" t="str">
        <v>CO1</v>
      </c>
      <c r="N15" s="12" t="str">
        <v>CO2</v>
      </c>
      <c r="O15" s="12" t="str">
        <v>CO3</v>
      </c>
      <c r="P15" s="12" t="str">
        <v>CO4</v>
      </c>
      <c r="Q15" s="12" t="str">
        <v>CO5</v>
      </c>
      <c r="R15" s="12" t="str">
        <v>CO1</v>
      </c>
      <c r="S15" s="12" t="str">
        <v>CO2</v>
      </c>
      <c r="T15" s="12" t="str">
        <v>CO3</v>
      </c>
      <c r="U15" s="12" t="str">
        <v>CO4</v>
      </c>
      <c r="V15" s="12" t="str">
        <v>CO5</v>
      </c>
      <c r="W15" s="12" t="str">
        <v>Marks</v>
      </c>
    </row>
    <row r="16" ht="16.5" customHeight="1">
      <c r="A16" s="3">
        <f>Theory!A6</f>
        <v>1</v>
      </c>
      <c r="B16" s="3" t="str">
        <f>Theory!B6</f>
        <v>7376231EE102</v>
      </c>
      <c r="E16" s="3">
        <v>10</v>
      </c>
      <c r="F16" s="3">
        <v>20</v>
      </c>
      <c r="G16" s="3">
        <v>20</v>
      </c>
      <c r="J16" s="3">
        <v>7</v>
      </c>
      <c r="K16" s="3">
        <v>14</v>
      </c>
      <c r="L16" s="4">
        <v>14</v>
      </c>
      <c r="N16" s="11" t="str">
        <f>IF(D16="","",I16*100/D16)</f>
        <v/>
      </c>
      <c r="O16" s="11">
        <f>IF(E16="","",J16*100/E16)</f>
        <v>70</v>
      </c>
      <c r="P16" s="11">
        <f>IF(F16="","",K16*100/F16)</f>
        <v>70</v>
      </c>
      <c r="Q16" s="11">
        <f>IF(G16="","",L16*100/G16)</f>
        <v>70</v>
      </c>
      <c r="T16" s="3" t="str">
        <f>IF(O16&gt;=$E$10,"1","0")</f>
        <v>1</v>
      </c>
      <c r="U16" s="3" t="str">
        <f>IF(P16&gt;=$E$10,"1","0")</f>
        <v>1</v>
      </c>
      <c r="V16" s="3" t="str">
        <f>IF(Q16&gt;=$E$10,"1","0")</f>
        <v>1</v>
      </c>
      <c r="W16" s="3">
        <f>Theory!E6</f>
        <v>35</v>
      </c>
    </row>
    <row r="17" ht="16.5" customHeight="1">
      <c r="A17" s="3">
        <f>Theory!A7</f>
        <v>2</v>
      </c>
      <c r="B17" s="3" t="str">
        <f>Theory!B7</f>
        <v>7376231EE103</v>
      </c>
      <c r="E17" s="3">
        <v>10</v>
      </c>
      <c r="F17" s="3">
        <v>20</v>
      </c>
      <c r="G17" s="3">
        <v>20</v>
      </c>
      <c r="J17" s="3">
        <v>6</v>
      </c>
      <c r="K17" s="3">
        <v>14</v>
      </c>
      <c r="L17" s="4">
        <v>14</v>
      </c>
      <c r="N17" s="11" t="str">
        <f>IF(D17="","",I17*100/D17)</f>
        <v/>
      </c>
      <c r="O17" s="11">
        <f>IF(E17="","",J17*100/E17)</f>
        <v>60</v>
      </c>
      <c r="P17" s="11">
        <f>IF(F17="","",K17*100/F17)</f>
        <v>70</v>
      </c>
      <c r="Q17" s="11">
        <f>IF(G17="","",L17*100/G17)</f>
        <v>70</v>
      </c>
      <c r="T17" s="3" t="str">
        <f>IF(O17&gt;=$E$10,"1","0")</f>
        <v>1</v>
      </c>
      <c r="U17" s="3" t="str">
        <f>IF(P17&gt;=$E$10,"1","0")</f>
        <v>1</v>
      </c>
      <c r="V17" s="3" t="str">
        <f>IF(Q17&gt;=$E$10,"1","0")</f>
        <v>1</v>
      </c>
      <c r="W17" s="3">
        <f>Theory!E7</f>
        <v>34</v>
      </c>
    </row>
    <row r="18" ht="16.5" customHeight="1">
      <c r="A18" s="3">
        <f>Theory!A8</f>
        <v>3</v>
      </c>
      <c r="B18" s="3" t="str">
        <f>Theory!B8</f>
        <v>7376231EE104</v>
      </c>
      <c r="E18" s="3">
        <v>10</v>
      </c>
      <c r="F18" s="3">
        <v>20</v>
      </c>
      <c r="G18" s="3">
        <v>20</v>
      </c>
      <c r="J18" s="3">
        <v>5</v>
      </c>
      <c r="K18" s="3">
        <v>9</v>
      </c>
      <c r="L18" s="4">
        <v>9</v>
      </c>
      <c r="N18" s="11" t="str">
        <f>IF(D18="","",I18*100/D18)</f>
        <v/>
      </c>
      <c r="O18" s="11">
        <f>IF(E18="","",J18*100/E18)</f>
        <v>50</v>
      </c>
      <c r="P18" s="11">
        <f>IF(F18="","",K18*100/F18)</f>
        <v>45</v>
      </c>
      <c r="Q18" s="11">
        <f>IF(G18="","",L18*100/G18)</f>
        <v>45</v>
      </c>
      <c r="T18" s="3" t="str">
        <f>IF(O18&gt;=$E$10,"1","0")</f>
        <v>0</v>
      </c>
      <c r="U18" s="3" t="str">
        <f>IF(P18&gt;=$E$10,"1","0")</f>
        <v>0</v>
      </c>
      <c r="V18" s="3" t="str">
        <f>IF(Q18&gt;=$E$10,"1","0")</f>
        <v>0</v>
      </c>
      <c r="W18" s="3">
        <f>Theory!E8</f>
        <v>23</v>
      </c>
    </row>
    <row r="19" ht="16.5" customHeight="1">
      <c r="A19" s="3">
        <f>Theory!A9</f>
        <v>4</v>
      </c>
      <c r="B19" s="3" t="str">
        <f>Theory!B9</f>
        <v>7376231EE105</v>
      </c>
      <c r="E19" s="3">
        <v>10</v>
      </c>
      <c r="F19" s="3">
        <v>20</v>
      </c>
      <c r="G19" s="3">
        <v>20</v>
      </c>
      <c r="J19" s="3">
        <v>7</v>
      </c>
      <c r="K19" s="3">
        <v>13</v>
      </c>
      <c r="L19" s="4">
        <v>13</v>
      </c>
      <c r="N19" s="11" t="str">
        <f>IF(D19="","",I19*100/D19)</f>
        <v/>
      </c>
      <c r="O19" s="11">
        <f>IF(E19="","",J19*100/E19)</f>
        <v>70</v>
      </c>
      <c r="P19" s="11">
        <f>IF(F19="","",K19*100/F19)</f>
        <v>65</v>
      </c>
      <c r="Q19" s="11">
        <f>IF(G19="","",L19*100/G19)</f>
        <v>65</v>
      </c>
      <c r="T19" s="3" t="str">
        <f>IF(O19&gt;=$E$10,"1","0")</f>
        <v>1</v>
      </c>
      <c r="U19" s="3" t="str">
        <f>IF(P19&gt;=$E$10,"1","0")</f>
        <v>1</v>
      </c>
      <c r="V19" s="3" t="str">
        <f>IF(Q19&gt;=$E$10,"1","0")</f>
        <v>1</v>
      </c>
      <c r="W19" s="3">
        <f>Theory!E9</f>
        <v>33</v>
      </c>
    </row>
    <row r="20" ht="16.5" customHeight="1">
      <c r="A20" s="3">
        <f>Theory!A10</f>
        <v>5</v>
      </c>
      <c r="B20" s="3" t="str">
        <f>Theory!B10</f>
        <v>7376231EE106</v>
      </c>
      <c r="E20" s="3">
        <v>10</v>
      </c>
      <c r="F20" s="3">
        <v>20</v>
      </c>
      <c r="G20" s="3">
        <v>20</v>
      </c>
      <c r="J20" s="3">
        <v>6</v>
      </c>
      <c r="K20" s="3">
        <v>13</v>
      </c>
      <c r="L20" s="4">
        <v>13</v>
      </c>
      <c r="N20" s="11" t="str">
        <f>IF(D20="","",I20*100/D20)</f>
        <v/>
      </c>
      <c r="O20" s="11">
        <f>IF(E20="","",J20*100/E20)</f>
        <v>60</v>
      </c>
      <c r="P20" s="11">
        <f>IF(F20="","",K20*100/F20)</f>
        <v>65</v>
      </c>
      <c r="Q20" s="11">
        <f>IF(G20="","",L20*100/G20)</f>
        <v>65</v>
      </c>
      <c r="T20" s="3" t="str">
        <f>IF(O20&gt;=$E$10,"1","0")</f>
        <v>1</v>
      </c>
      <c r="U20" s="3" t="str">
        <f>IF(P20&gt;=$E$10,"1","0")</f>
        <v>1</v>
      </c>
      <c r="V20" s="3" t="str">
        <f>IF(Q20&gt;=$E$10,"1","0")</f>
        <v>1</v>
      </c>
      <c r="W20" s="3">
        <f>Theory!E10</f>
        <v>32</v>
      </c>
    </row>
    <row r="21" ht="16.5" customHeight="1">
      <c r="A21" s="3">
        <f>Theory!A11</f>
        <v>6</v>
      </c>
      <c r="B21" s="3" t="str">
        <f>Theory!B11</f>
        <v>7376231EE107</v>
      </c>
      <c r="E21" s="3">
        <v>10</v>
      </c>
      <c r="F21" s="3">
        <v>20</v>
      </c>
      <c r="G21" s="3">
        <v>20</v>
      </c>
      <c r="J21" s="3">
        <v>6</v>
      </c>
      <c r="K21" s="3">
        <v>14</v>
      </c>
      <c r="L21" s="4">
        <v>14</v>
      </c>
      <c r="N21" s="11" t="str">
        <f>IF(D21="","",I21*100/D21)</f>
        <v/>
      </c>
      <c r="O21" s="11">
        <f>IF(E21="","",J21*100/E21)</f>
        <v>60</v>
      </c>
      <c r="P21" s="11">
        <f>IF(F21="","",K21*100/F21)</f>
        <v>70</v>
      </c>
      <c r="Q21" s="11">
        <f>IF(G21="","",L21*100/G21)</f>
        <v>70</v>
      </c>
      <c r="T21" s="3" t="str">
        <f>IF(O21&gt;=$E$10,"1","0")</f>
        <v>1</v>
      </c>
      <c r="U21" s="3" t="str">
        <f>IF(P21&gt;=$E$10,"1","0")</f>
        <v>1</v>
      </c>
      <c r="V21" s="3" t="str">
        <f>IF(Q21&gt;=$E$10,"1","0")</f>
        <v>1</v>
      </c>
      <c r="W21" s="3">
        <f>Theory!E11</f>
        <v>34</v>
      </c>
    </row>
    <row r="22" ht="16.5" customHeight="1">
      <c r="A22" s="3">
        <f>Theory!A12</f>
        <v>7</v>
      </c>
      <c r="B22" s="3" t="str">
        <f>Theory!B12</f>
        <v>7376231EE108</v>
      </c>
      <c r="E22" s="3">
        <v>10</v>
      </c>
      <c r="F22" s="3">
        <v>20</v>
      </c>
      <c r="G22" s="3">
        <v>20</v>
      </c>
      <c r="J22" s="3">
        <v>6</v>
      </c>
      <c r="K22" s="3">
        <v>13</v>
      </c>
      <c r="L22" s="4">
        <v>13</v>
      </c>
      <c r="N22" s="11" t="str">
        <f>IF(D22="","",I22*100/D22)</f>
        <v/>
      </c>
      <c r="O22" s="11">
        <f>IF(E22="","",J22*100/E22)</f>
        <v>60</v>
      </c>
      <c r="P22" s="11">
        <f>IF(F22="","",K22*100/F22)</f>
        <v>65</v>
      </c>
      <c r="Q22" s="11">
        <f>IF(G22="","",L22*100/G22)</f>
        <v>65</v>
      </c>
      <c r="T22" s="3" t="str">
        <f>IF(O22&gt;=$E$10,"1","0")</f>
        <v>1</v>
      </c>
      <c r="U22" s="3" t="str">
        <f>IF(P22&gt;=$E$10,"1","0")</f>
        <v>1</v>
      </c>
      <c r="V22" s="3" t="str">
        <f>IF(Q22&gt;=$E$10,"1","0")</f>
        <v>1</v>
      </c>
      <c r="W22" s="3">
        <f>Theory!E12</f>
        <v>32</v>
      </c>
    </row>
    <row r="23" ht="16.5" customHeight="1">
      <c r="A23" s="3">
        <f>Theory!A13</f>
        <v>8</v>
      </c>
      <c r="B23" s="3" t="str">
        <f>Theory!B13</f>
        <v>7376231EE109</v>
      </c>
      <c r="E23" s="3">
        <v>10</v>
      </c>
      <c r="F23" s="3">
        <v>20</v>
      </c>
      <c r="G23" s="3">
        <v>20</v>
      </c>
      <c r="J23" s="3">
        <v>6</v>
      </c>
      <c r="K23" s="3">
        <v>13</v>
      </c>
      <c r="L23" s="4">
        <v>13</v>
      </c>
      <c r="N23" s="11" t="str">
        <f>IF(D23="","",I23*100/D23)</f>
        <v/>
      </c>
      <c r="O23" s="11">
        <f>IF(E23="","",J23*100/E23)</f>
        <v>60</v>
      </c>
      <c r="P23" s="11">
        <f>IF(F23="","",K23*100/F23)</f>
        <v>65</v>
      </c>
      <c r="Q23" s="11">
        <f>IF(G23="","",L23*100/G23)</f>
        <v>65</v>
      </c>
      <c r="T23" s="3" t="str">
        <f>IF(O23&gt;=$E$10,"1","0")</f>
        <v>1</v>
      </c>
      <c r="U23" s="3" t="str">
        <f>IF(P23&gt;=$E$10,"1","0")</f>
        <v>1</v>
      </c>
      <c r="V23" s="3" t="str">
        <f>IF(Q23&gt;=$E$10,"1","0")</f>
        <v>1</v>
      </c>
      <c r="W23" s="3">
        <f>Theory!E13</f>
        <v>32</v>
      </c>
    </row>
    <row r="24" ht="16.5" customHeight="1">
      <c r="A24" s="3">
        <f>Theory!A14</f>
        <v>9</v>
      </c>
      <c r="B24" s="3" t="str">
        <f>Theory!B14</f>
        <v>7376231EE110</v>
      </c>
      <c r="E24" s="3">
        <v>10</v>
      </c>
      <c r="F24" s="3">
        <v>20</v>
      </c>
      <c r="G24" s="3">
        <v>20</v>
      </c>
      <c r="J24" s="3">
        <v>6</v>
      </c>
      <c r="K24" s="3">
        <v>15</v>
      </c>
      <c r="L24" s="4">
        <v>16</v>
      </c>
      <c r="N24" s="11" t="str">
        <f>IF(D24="","",I24*100/D24)</f>
        <v/>
      </c>
      <c r="O24" s="11">
        <f>IF(E24="","",J24*100/E24)</f>
        <v>60</v>
      </c>
      <c r="P24" s="11">
        <f>IF(F24="","",K24*100/F24)</f>
        <v>75</v>
      </c>
      <c r="Q24" s="11">
        <f>IF(G24="","",L24*100/G24)</f>
        <v>80</v>
      </c>
      <c r="T24" s="3" t="str">
        <f>IF(O24&gt;=$E$10,"1","0")</f>
        <v>1</v>
      </c>
      <c r="U24" s="3" t="str">
        <f>IF(P24&gt;=$E$10,"1","0")</f>
        <v>1</v>
      </c>
      <c r="V24" s="3" t="str">
        <f>IF(Q24&gt;=$E$10,"1","0")</f>
        <v>1</v>
      </c>
      <c r="W24" s="3">
        <f>Theory!E14</f>
        <v>37</v>
      </c>
    </row>
    <row r="25" ht="16.5" customHeight="1">
      <c r="A25" s="3">
        <f>Theory!A15</f>
        <v>10</v>
      </c>
      <c r="B25" s="3" t="str">
        <f>Theory!B15</f>
        <v>7376231EE111</v>
      </c>
      <c r="E25" s="3">
        <v>10</v>
      </c>
      <c r="F25" s="3">
        <v>20</v>
      </c>
      <c r="G25" s="3">
        <v>20</v>
      </c>
      <c r="J25" s="3">
        <v>3</v>
      </c>
      <c r="K25" s="3">
        <v>5</v>
      </c>
      <c r="L25" s="4">
        <v>4</v>
      </c>
      <c r="N25" s="11" t="str">
        <f>IF(D25="","",I25*100/D25)</f>
        <v/>
      </c>
      <c r="O25" s="11">
        <f>IF(E25="","",J25*100/E25)</f>
        <v>30</v>
      </c>
      <c r="P25" s="11">
        <f>IF(F25="","",K25*100/F25)</f>
        <v>25</v>
      </c>
      <c r="Q25" s="11">
        <f>IF(G25="","",L25*100/G25)</f>
        <v>20</v>
      </c>
      <c r="T25" s="3" t="str">
        <f>IF(O25&gt;=$E$10,"1","0")</f>
        <v>0</v>
      </c>
      <c r="U25" s="3" t="str">
        <f>IF(P25&gt;=$E$10,"1","0")</f>
        <v>0</v>
      </c>
      <c r="V25" s="3" t="str">
        <f>IF(Q25&gt;=$E$10,"1","0")</f>
        <v>0</v>
      </c>
      <c r="W25" s="3">
        <f>Theory!E15</f>
        <v>12</v>
      </c>
    </row>
    <row r="26" ht="16.5" customHeight="1">
      <c r="A26" s="3">
        <f>Theory!A16</f>
        <v>11</v>
      </c>
      <c r="B26" s="3" t="str">
        <f>Theory!B16</f>
        <v>7376231EE112</v>
      </c>
      <c r="E26" s="3">
        <v>10</v>
      </c>
      <c r="F26" s="3">
        <v>20</v>
      </c>
      <c r="G26" s="3">
        <v>20</v>
      </c>
      <c r="J26" s="3">
        <v>6</v>
      </c>
      <c r="K26" s="3">
        <v>11</v>
      </c>
      <c r="L26" s="4">
        <v>11</v>
      </c>
      <c r="N26" s="11" t="str">
        <f>IF(D26="","",I26*100/D26)</f>
        <v/>
      </c>
      <c r="O26" s="11">
        <f>IF(E26="","",J26*100/E26)</f>
        <v>60</v>
      </c>
      <c r="P26" s="11">
        <f>IF(F26="","",K26*100/F26)</f>
        <v>55</v>
      </c>
      <c r="Q26" s="11">
        <f>IF(G26="","",L26*100/G26)</f>
        <v>55</v>
      </c>
      <c r="T26" s="3" t="str">
        <f>IF(O26&gt;=$E$10,"1","0")</f>
        <v>1</v>
      </c>
      <c r="U26" s="3" t="str">
        <f>IF(P26&gt;=$E$10,"1","0")</f>
        <v>0</v>
      </c>
      <c r="V26" s="3" t="str">
        <f>IF(Q26&gt;=$E$10,"1","0")</f>
        <v>0</v>
      </c>
      <c r="W26" s="3">
        <f>Theory!E16</f>
        <v>28</v>
      </c>
    </row>
    <row r="27" ht="16.5" customHeight="1">
      <c r="A27" s="3">
        <f>Theory!A17</f>
        <v>12</v>
      </c>
      <c r="B27" s="3" t="str">
        <f>Theory!B17</f>
        <v>7376231EE113</v>
      </c>
      <c r="E27" s="3">
        <v>10</v>
      </c>
      <c r="F27" s="3">
        <v>20</v>
      </c>
      <c r="G27" s="3">
        <v>20</v>
      </c>
      <c r="J27" s="3">
        <v>6</v>
      </c>
      <c r="K27" s="3">
        <v>14</v>
      </c>
      <c r="L27" s="4">
        <v>14</v>
      </c>
      <c r="N27" s="11" t="str">
        <f>IF(D27="","",I27*100/D27)</f>
        <v/>
      </c>
      <c r="O27" s="11">
        <f>IF(E27="","",J27*100/E27)</f>
        <v>60</v>
      </c>
      <c r="P27" s="11">
        <f>IF(F27="","",K27*100/F27)</f>
        <v>70</v>
      </c>
      <c r="Q27" s="11">
        <f>IF(G27="","",L27*100/G27)</f>
        <v>70</v>
      </c>
      <c r="T27" s="3" t="str">
        <f>IF(O27&gt;=$E$10,"1","0")</f>
        <v>1</v>
      </c>
      <c r="U27" s="3" t="str">
        <f>IF(P27&gt;=$E$10,"1","0")</f>
        <v>1</v>
      </c>
      <c r="V27" s="3" t="str">
        <f>IF(Q27&gt;=$E$10,"1","0")</f>
        <v>1</v>
      </c>
      <c r="W27" s="3">
        <f>Theory!E17</f>
        <v>34</v>
      </c>
    </row>
    <row r="28" ht="16.5" customHeight="1">
      <c r="A28" s="3">
        <f>Theory!A18</f>
        <v>13</v>
      </c>
      <c r="B28" s="3" t="str">
        <f>Theory!B18</f>
        <v>7376231EE114</v>
      </c>
      <c r="E28" s="3">
        <v>10</v>
      </c>
      <c r="F28" s="3">
        <v>20</v>
      </c>
      <c r="G28" s="3">
        <v>20</v>
      </c>
      <c r="J28" s="3">
        <v>3</v>
      </c>
      <c r="K28" s="3">
        <v>8</v>
      </c>
      <c r="L28" s="4">
        <v>11</v>
      </c>
      <c r="N28" s="11" t="str">
        <f>IF(D28="","",I28*100/D28)</f>
        <v/>
      </c>
      <c r="O28" s="11">
        <f>IF(E28="","",J28*100/E28)</f>
        <v>30</v>
      </c>
      <c r="P28" s="11">
        <f>IF(F28="","",K28*100/F28)</f>
        <v>40</v>
      </c>
      <c r="Q28" s="11">
        <f>IF(G28="","",L28*100/G28)</f>
        <v>55</v>
      </c>
      <c r="T28" s="3" t="str">
        <f>IF(O28&gt;=$E$10,"1","0")</f>
        <v>0</v>
      </c>
      <c r="U28" s="3" t="str">
        <f>IF(P28&gt;=$E$10,"1","0")</f>
        <v>0</v>
      </c>
      <c r="V28" s="3" t="str">
        <f>IF(Q28&gt;=$E$10,"1","0")</f>
        <v>0</v>
      </c>
      <c r="W28" s="3">
        <f>Theory!E18</f>
        <v>22</v>
      </c>
    </row>
    <row r="29" ht="16.5" customHeight="1">
      <c r="A29" s="3">
        <f>Theory!A19</f>
        <v>14</v>
      </c>
      <c r="B29" s="3" t="str">
        <f>Theory!B19</f>
        <v>7376231EE115</v>
      </c>
      <c r="E29" s="3">
        <v>10</v>
      </c>
      <c r="F29" s="3">
        <v>20</v>
      </c>
      <c r="G29" s="3">
        <v>20</v>
      </c>
      <c r="J29" s="3">
        <v>3</v>
      </c>
      <c r="K29" s="3">
        <v>3</v>
      </c>
      <c r="L29" s="4">
        <v>4</v>
      </c>
      <c r="N29" s="11" t="str">
        <f>IF(D29="","",I29*100/D29)</f>
        <v/>
      </c>
      <c r="O29" s="11">
        <f>IF(E29="","",J29*100/E29)</f>
        <v>30</v>
      </c>
      <c r="P29" s="11">
        <f>IF(F29="","",K29*100/F29)</f>
        <v>15</v>
      </c>
      <c r="Q29" s="11">
        <f>IF(G29="","",L29*100/G29)</f>
        <v>20</v>
      </c>
      <c r="T29" s="3" t="str">
        <f>IF(O29&gt;=$E$10,"1","0")</f>
        <v>0</v>
      </c>
      <c r="U29" s="3" t="str">
        <f>IF(P29&gt;=$E$10,"1","0")</f>
        <v>0</v>
      </c>
      <c r="V29" s="3" t="str">
        <f>IF(Q29&gt;=$E$10,"1","0")</f>
        <v>0</v>
      </c>
      <c r="W29" s="3">
        <f>Theory!E19</f>
        <v>10</v>
      </c>
    </row>
    <row r="30" ht="16.5" customHeight="1">
      <c r="A30" s="3">
        <f>Theory!A20</f>
        <v>15</v>
      </c>
      <c r="B30" s="3" t="str">
        <f>Theory!B20</f>
        <v>7376231EE116</v>
      </c>
      <c r="E30" s="3">
        <v>10</v>
      </c>
      <c r="F30" s="3">
        <v>20</v>
      </c>
      <c r="G30" s="3">
        <v>20</v>
      </c>
      <c r="J30" s="3">
        <v>6</v>
      </c>
      <c r="K30" s="3">
        <v>9</v>
      </c>
      <c r="L30" s="4">
        <v>9</v>
      </c>
      <c r="N30" s="11" t="str">
        <f>IF(D30="","",I30*100/D30)</f>
        <v/>
      </c>
      <c r="O30" s="11">
        <f>IF(E30="","",J30*100/E30)</f>
        <v>60</v>
      </c>
      <c r="P30" s="11">
        <f>IF(F30="","",K30*100/F30)</f>
        <v>45</v>
      </c>
      <c r="Q30" s="11">
        <f>IF(G30="","",L30*100/G30)</f>
        <v>45</v>
      </c>
      <c r="T30" s="3" t="str">
        <f>IF(O30&gt;=$E$10,"1","0")</f>
        <v>1</v>
      </c>
      <c r="U30" s="3" t="str">
        <f>IF(P30&gt;=$E$10,"1","0")</f>
        <v>0</v>
      </c>
      <c r="V30" s="3" t="str">
        <f>IF(Q30&gt;=$E$10,"1","0")</f>
        <v>0</v>
      </c>
      <c r="W30" s="3">
        <f>Theory!E20</f>
        <v>24</v>
      </c>
    </row>
    <row r="31" ht="16.5" customHeight="1">
      <c r="A31" s="3">
        <f>Theory!A21</f>
        <v>16</v>
      </c>
      <c r="B31" s="3" t="str">
        <f>Theory!B21</f>
        <v>7376231EE117</v>
      </c>
      <c r="E31" s="3">
        <v>10</v>
      </c>
      <c r="F31" s="3">
        <v>20</v>
      </c>
      <c r="G31" s="3">
        <v>20</v>
      </c>
      <c r="J31" s="3">
        <v>7</v>
      </c>
      <c r="K31" s="3">
        <v>13</v>
      </c>
      <c r="L31" s="4">
        <v>13</v>
      </c>
      <c r="N31" s="11" t="str">
        <f>IF(D31="","",I31*100/D31)</f>
        <v/>
      </c>
      <c r="O31" s="11">
        <f>IF(E31="","",J31*100/E31)</f>
        <v>70</v>
      </c>
      <c r="P31" s="11">
        <f>IF(F31="","",K31*100/F31)</f>
        <v>65</v>
      </c>
      <c r="Q31" s="11">
        <f>IF(G31="","",L31*100/G31)</f>
        <v>65</v>
      </c>
      <c r="T31" s="3" t="str">
        <f>IF(O31&gt;=$E$10,"1","0")</f>
        <v>1</v>
      </c>
      <c r="U31" s="3" t="str">
        <f>IF(P31&gt;=$E$10,"1","0")</f>
        <v>1</v>
      </c>
      <c r="V31" s="3" t="str">
        <f>IF(Q31&gt;=$E$10,"1","0")</f>
        <v>1</v>
      </c>
      <c r="W31" s="3">
        <f>Theory!E21</f>
        <v>33</v>
      </c>
    </row>
    <row r="32" ht="16.5" customHeight="1">
      <c r="A32" s="3">
        <f>Theory!A22</f>
        <v>17</v>
      </c>
      <c r="B32" s="3" t="str">
        <f>Theory!B22</f>
        <v>7376231EE118</v>
      </c>
      <c r="E32" s="3">
        <v>10</v>
      </c>
      <c r="F32" s="3">
        <v>20</v>
      </c>
      <c r="G32" s="3">
        <v>20</v>
      </c>
      <c r="J32" s="3">
        <v>6</v>
      </c>
      <c r="K32" s="3">
        <v>12</v>
      </c>
      <c r="L32" s="4">
        <v>13</v>
      </c>
      <c r="N32" s="11" t="str">
        <f>IF(D32="","",I32*100/D32)</f>
        <v/>
      </c>
      <c r="O32" s="11">
        <f>IF(E32="","",J32*100/E32)</f>
        <v>60</v>
      </c>
      <c r="P32" s="11">
        <f>IF(F32="","",K32*100/F32)</f>
        <v>60</v>
      </c>
      <c r="Q32" s="11">
        <f>IF(G32="","",L32*100/G32)</f>
        <v>65</v>
      </c>
      <c r="T32" s="3" t="str">
        <f>IF(O32&gt;=$E$10,"1","0")</f>
        <v>1</v>
      </c>
      <c r="U32" s="3" t="str">
        <f>IF(P32&gt;=$E$10,"1","0")</f>
        <v>1</v>
      </c>
      <c r="V32" s="3" t="str">
        <f>IF(Q32&gt;=$E$10,"1","0")</f>
        <v>1</v>
      </c>
      <c r="W32" s="3">
        <f>Theory!E22</f>
        <v>31</v>
      </c>
    </row>
    <row r="33" ht="16.5" customHeight="1">
      <c r="A33" s="3">
        <f>Theory!A23</f>
        <v>18</v>
      </c>
      <c r="B33" s="3" t="str">
        <f>Theory!B23</f>
        <v>7376231EE119</v>
      </c>
      <c r="E33" s="3">
        <v>10</v>
      </c>
      <c r="F33" s="3">
        <v>20</v>
      </c>
      <c r="G33" s="3">
        <v>20</v>
      </c>
      <c r="J33" s="3">
        <v>6</v>
      </c>
      <c r="K33" s="3">
        <v>12</v>
      </c>
      <c r="L33" s="4">
        <v>13</v>
      </c>
      <c r="N33" s="11" t="str">
        <f>IF(D33="","",I33*100/D33)</f>
        <v/>
      </c>
      <c r="O33" s="11">
        <f>IF(E33="","",J33*100/E33)</f>
        <v>60</v>
      </c>
      <c r="P33" s="11">
        <f>IF(F33="","",K33*100/F33)</f>
        <v>60</v>
      </c>
      <c r="Q33" s="11">
        <f>IF(G33="","",L33*100/G33)</f>
        <v>65</v>
      </c>
      <c r="T33" s="3" t="str">
        <f>IF(O33&gt;=$E$10,"1","0")</f>
        <v>1</v>
      </c>
      <c r="U33" s="3" t="str">
        <f>IF(P33&gt;=$E$10,"1","0")</f>
        <v>1</v>
      </c>
      <c r="V33" s="3" t="str">
        <f>IF(Q33&gt;=$E$10,"1","0")</f>
        <v>1</v>
      </c>
      <c r="W33" s="3">
        <f>Theory!E23</f>
        <v>31</v>
      </c>
    </row>
    <row r="34" ht="16.5" customHeight="1">
      <c r="A34" s="3">
        <f>Theory!A24</f>
        <v>19</v>
      </c>
      <c r="B34" s="3" t="str">
        <f>Theory!B24</f>
        <v>7376231EE120</v>
      </c>
      <c r="E34" s="3">
        <v>10</v>
      </c>
      <c r="F34" s="3">
        <v>20</v>
      </c>
      <c r="G34" s="3">
        <v>20</v>
      </c>
      <c r="J34" s="3">
        <v>6</v>
      </c>
      <c r="K34" s="3">
        <v>13</v>
      </c>
      <c r="L34" s="4">
        <v>13</v>
      </c>
      <c r="N34" s="11" t="str">
        <f>IF(D34="","",I34*100/D34)</f>
        <v/>
      </c>
      <c r="O34" s="11">
        <f>IF(E34="","",J34*100/E34)</f>
        <v>60</v>
      </c>
      <c r="P34" s="11">
        <f>IF(F34="","",K34*100/F34)</f>
        <v>65</v>
      </c>
      <c r="Q34" s="11">
        <f>IF(G34="","",L34*100/G34)</f>
        <v>65</v>
      </c>
      <c r="T34" s="3" t="str">
        <f>IF(O34&gt;=$E$10,"1","0")</f>
        <v>1</v>
      </c>
      <c r="U34" s="3" t="str">
        <f>IF(P34&gt;=$E$10,"1","0")</f>
        <v>1</v>
      </c>
      <c r="V34" s="3" t="str">
        <f>IF(Q34&gt;=$E$10,"1","0")</f>
        <v>1</v>
      </c>
      <c r="W34" s="3">
        <f>Theory!E24</f>
        <v>32</v>
      </c>
    </row>
    <row r="35" ht="16.5" customHeight="1">
      <c r="A35" s="3">
        <f>Theory!A25</f>
        <v>20</v>
      </c>
      <c r="B35" s="3" t="str">
        <f>Theory!B25</f>
        <v>7376231EE121</v>
      </c>
      <c r="E35" s="3">
        <v>10</v>
      </c>
      <c r="F35" s="3">
        <v>20</v>
      </c>
      <c r="G35" s="3">
        <v>20</v>
      </c>
      <c r="J35" s="3">
        <v>7</v>
      </c>
      <c r="K35" s="3">
        <v>14</v>
      </c>
      <c r="L35" s="4">
        <v>15</v>
      </c>
      <c r="N35" s="11" t="str">
        <f>IF(D35="","",I35*100/D35)</f>
        <v/>
      </c>
      <c r="O35" s="11">
        <f>IF(E35="","",J35*100/E35)</f>
        <v>70</v>
      </c>
      <c r="P35" s="11">
        <f>IF(F35="","",K35*100/F35)</f>
        <v>70</v>
      </c>
      <c r="Q35" s="11">
        <f>IF(G35="","",L35*100/G35)</f>
        <v>75</v>
      </c>
      <c r="T35" s="3" t="str">
        <f>IF(O35&gt;=$E$10,"1","0")</f>
        <v>1</v>
      </c>
      <c r="U35" s="3" t="str">
        <f>IF(P35&gt;=$E$10,"1","0")</f>
        <v>1</v>
      </c>
      <c r="V35" s="3" t="str">
        <f>IF(Q35&gt;=$E$10,"1","0")</f>
        <v>1</v>
      </c>
      <c r="W35" s="3">
        <f>Theory!E25</f>
        <v>36</v>
      </c>
    </row>
    <row r="36" ht="16.5" customHeight="1">
      <c r="A36" s="3">
        <f>Theory!A26</f>
        <v>21</v>
      </c>
      <c r="B36" s="3" t="str">
        <f>Theory!B26</f>
        <v>7376231EE122</v>
      </c>
      <c r="E36" s="3">
        <v>10</v>
      </c>
      <c r="F36" s="3">
        <v>20</v>
      </c>
      <c r="G36" s="3">
        <v>20</v>
      </c>
      <c r="J36" s="3">
        <v>7</v>
      </c>
      <c r="K36" s="3">
        <v>14</v>
      </c>
      <c r="L36" s="4">
        <v>15</v>
      </c>
      <c r="N36" s="11" t="str">
        <f>IF(D36="","",I36*100/D36)</f>
        <v/>
      </c>
      <c r="O36" s="11">
        <f>IF(E36="","",J36*100/E36)</f>
        <v>70</v>
      </c>
      <c r="P36" s="11">
        <f>IF(F36="","",K36*100/F36)</f>
        <v>70</v>
      </c>
      <c r="Q36" s="11">
        <f>IF(G36="","",L36*100/G36)</f>
        <v>75</v>
      </c>
      <c r="T36" s="3" t="str">
        <f>IF(O36&gt;=$E$10,"1","0")</f>
        <v>1</v>
      </c>
      <c r="U36" s="3" t="str">
        <f>IF(P36&gt;=$E$10,"1","0")</f>
        <v>1</v>
      </c>
      <c r="V36" s="3" t="str">
        <f>IF(Q36&gt;=$E$10,"1","0")</f>
        <v>1</v>
      </c>
      <c r="W36" s="3">
        <f>Theory!E26</f>
        <v>36</v>
      </c>
    </row>
    <row r="37" ht="16.5" customHeight="1">
      <c r="A37" s="3">
        <f>Theory!A27</f>
        <v>22</v>
      </c>
      <c r="B37" s="3" t="str">
        <f>Theory!B27</f>
        <v>7376231EE123</v>
      </c>
      <c r="E37" s="3">
        <v>10</v>
      </c>
      <c r="F37" s="3">
        <v>20</v>
      </c>
      <c r="G37" s="3">
        <v>20</v>
      </c>
      <c r="J37" s="3">
        <v>6</v>
      </c>
      <c r="K37" s="3">
        <v>14</v>
      </c>
      <c r="L37" s="4">
        <v>14</v>
      </c>
      <c r="N37" s="11" t="str">
        <f>IF(D37="","",I37*100/D37)</f>
        <v/>
      </c>
      <c r="O37" s="11">
        <f>IF(E37="","",J37*100/E37)</f>
        <v>60</v>
      </c>
      <c r="P37" s="11">
        <f>IF(F37="","",K37*100/F37)</f>
        <v>70</v>
      </c>
      <c r="Q37" s="11">
        <f>IF(G37="","",L37*100/G37)</f>
        <v>70</v>
      </c>
      <c r="T37" s="3" t="str">
        <f>IF(O37&gt;=$E$10,"1","0")</f>
        <v>1</v>
      </c>
      <c r="U37" s="3" t="str">
        <f>IF(P37&gt;=$E$10,"1","0")</f>
        <v>1</v>
      </c>
      <c r="V37" s="3" t="str">
        <f>IF(Q37&gt;=$E$10,"1","0")</f>
        <v>1</v>
      </c>
      <c r="W37" s="3">
        <f>Theory!E27</f>
        <v>34</v>
      </c>
    </row>
    <row r="38" ht="16.5" customHeight="1">
      <c r="A38" s="3">
        <f>Theory!A28</f>
        <v>23</v>
      </c>
      <c r="B38" s="3" t="str">
        <f>Theory!B28</f>
        <v>7376231EE124</v>
      </c>
      <c r="E38" s="3">
        <v>10</v>
      </c>
      <c r="F38" s="3">
        <v>20</v>
      </c>
      <c r="G38" s="3">
        <v>20</v>
      </c>
      <c r="J38" s="3">
        <v>6</v>
      </c>
      <c r="K38" s="3">
        <v>11</v>
      </c>
      <c r="L38" s="4">
        <v>12</v>
      </c>
      <c r="N38" s="11" t="str">
        <f>IF(D38="","",I38*100/D38)</f>
        <v/>
      </c>
      <c r="O38" s="11">
        <f>IF(E38="","",J38*100/E38)</f>
        <v>60</v>
      </c>
      <c r="P38" s="11">
        <f>IF(F38="","",K38*100/F38)</f>
        <v>55</v>
      </c>
      <c r="Q38" s="11">
        <f>IF(G38="","",L38*100/G38)</f>
        <v>60</v>
      </c>
      <c r="T38" s="3" t="str">
        <f>IF(O38&gt;=$E$10,"1","0")</f>
        <v>1</v>
      </c>
      <c r="U38" s="3" t="str">
        <f>IF(P38&gt;=$E$10,"1","0")</f>
        <v>0</v>
      </c>
      <c r="V38" s="3" t="str">
        <f>IF(Q38&gt;=$E$10,"1","0")</f>
        <v>1</v>
      </c>
      <c r="W38" s="3">
        <f>Theory!E28</f>
        <v>29</v>
      </c>
    </row>
    <row r="39" ht="16.5" customHeight="1">
      <c r="A39" s="3">
        <f>Theory!A29</f>
        <v>24</v>
      </c>
      <c r="B39" s="3" t="str">
        <f>Theory!B29</f>
        <v>7376231EE125</v>
      </c>
      <c r="E39" s="3">
        <v>10</v>
      </c>
      <c r="F39" s="3">
        <v>20</v>
      </c>
      <c r="G39" s="3">
        <v>20</v>
      </c>
      <c r="J39" s="3">
        <v>7</v>
      </c>
      <c r="K39" s="3">
        <v>14</v>
      </c>
      <c r="L39" s="4">
        <v>14</v>
      </c>
      <c r="N39" s="11" t="str">
        <f>IF(D39="","",I39*100/D39)</f>
        <v/>
      </c>
      <c r="O39" s="11">
        <f>IF(E39="","",J39*100/E39)</f>
        <v>70</v>
      </c>
      <c r="P39" s="11">
        <f>IF(F39="","",K39*100/F39)</f>
        <v>70</v>
      </c>
      <c r="Q39" s="11">
        <f>IF(G39="","",L39*100/G39)</f>
        <v>70</v>
      </c>
      <c r="T39" s="3" t="str">
        <f>IF(O39&gt;=$E$10,"1","0")</f>
        <v>1</v>
      </c>
      <c r="U39" s="3" t="str">
        <f>IF(P39&gt;=$E$10,"1","0")</f>
        <v>1</v>
      </c>
      <c r="V39" s="3" t="str">
        <f>IF(Q39&gt;=$E$10,"1","0")</f>
        <v>1</v>
      </c>
      <c r="W39" s="3">
        <f>Theory!E29</f>
        <v>35</v>
      </c>
    </row>
    <row r="40" ht="15.75" customHeight="1">
      <c r="A40" s="3">
        <f>Theory!A30</f>
        <v>25</v>
      </c>
      <c r="B40" s="3" t="str">
        <f>Theory!B30</f>
        <v>7376231EE126</v>
      </c>
      <c r="E40" s="3">
        <v>10</v>
      </c>
      <c r="F40" s="3">
        <v>20</v>
      </c>
      <c r="G40" s="3">
        <v>20</v>
      </c>
      <c r="J40" s="3">
        <v>6</v>
      </c>
      <c r="K40" s="3">
        <v>14</v>
      </c>
      <c r="L40" s="4">
        <v>14</v>
      </c>
      <c r="N40" s="11" t="str">
        <f>IF(D40="","",I40*100/D40)</f>
        <v/>
      </c>
      <c r="O40" s="11">
        <f>IF(E40="","",J40*100/E40)</f>
        <v>60</v>
      </c>
      <c r="P40" s="11">
        <f>IF(F40="","",K40*100/F40)</f>
        <v>70</v>
      </c>
      <c r="Q40" s="11">
        <f>IF(G40="","",L40*100/G40)</f>
        <v>70</v>
      </c>
      <c r="T40" s="3" t="str">
        <f>IF(O40&gt;=$E$10,"1","0")</f>
        <v>1</v>
      </c>
      <c r="U40" s="3" t="str">
        <f>IF(P40&gt;=$E$10,"1","0")</f>
        <v>1</v>
      </c>
      <c r="V40" s="3" t="str">
        <f>IF(Q40&gt;=$E$10,"1","0")</f>
        <v>1</v>
      </c>
      <c r="W40" s="3">
        <f>Theory!E30</f>
        <v>34</v>
      </c>
    </row>
    <row r="41" ht="15.75" customHeight="1">
      <c r="A41" s="3">
        <f>Theory!A31</f>
        <v>26</v>
      </c>
      <c r="B41" s="3" t="str">
        <f>Theory!B31</f>
        <v>7376231EE127</v>
      </c>
      <c r="E41" s="3">
        <v>10</v>
      </c>
      <c r="F41" s="3">
        <v>20</v>
      </c>
      <c r="G41" s="3">
        <v>20</v>
      </c>
      <c r="J41" s="3">
        <v>7</v>
      </c>
      <c r="K41" s="3">
        <v>13</v>
      </c>
      <c r="L41" s="4">
        <v>13</v>
      </c>
      <c r="N41" s="11" t="str">
        <f>IF(D41="","",I41*100/D41)</f>
        <v/>
      </c>
      <c r="O41" s="11">
        <f>IF(E41="","",J41*100/E41)</f>
        <v>70</v>
      </c>
      <c r="P41" s="11">
        <f>IF(F41="","",K41*100/F41)</f>
        <v>65</v>
      </c>
      <c r="Q41" s="11">
        <f>IF(G41="","",L41*100/G41)</f>
        <v>65</v>
      </c>
      <c r="T41" s="3" t="str">
        <f>IF(O41&gt;=$E$10,"1","0")</f>
        <v>1</v>
      </c>
      <c r="U41" s="3" t="str">
        <f>IF(P41&gt;=$E$10,"1","0")</f>
        <v>1</v>
      </c>
      <c r="V41" s="3" t="str">
        <f>IF(Q41&gt;=$E$10,"1","0")</f>
        <v>1</v>
      </c>
      <c r="W41" s="3">
        <f>Theory!E31</f>
        <v>33</v>
      </c>
    </row>
    <row r="42" ht="15.75" customHeight="1">
      <c r="A42" s="3">
        <f>Theory!A32</f>
        <v>27</v>
      </c>
      <c r="B42" s="3" t="str">
        <f>Theory!B32</f>
        <v>7376231EE128</v>
      </c>
      <c r="E42" s="3">
        <v>10</v>
      </c>
      <c r="F42" s="3">
        <v>20</v>
      </c>
      <c r="G42" s="3">
        <v>20</v>
      </c>
      <c r="J42" s="3">
        <v>6</v>
      </c>
      <c r="K42" s="3">
        <v>12</v>
      </c>
      <c r="L42" s="4">
        <v>13</v>
      </c>
      <c r="N42" s="11" t="str">
        <f>IF(D42="","",I42*100/D42)</f>
        <v/>
      </c>
      <c r="O42" s="11">
        <f>IF(E42="","",J42*100/E42)</f>
        <v>60</v>
      </c>
      <c r="P42" s="11">
        <f>IF(F42="","",K42*100/F42)</f>
        <v>60</v>
      </c>
      <c r="Q42" s="11">
        <f>IF(G42="","",L42*100/G42)</f>
        <v>65</v>
      </c>
      <c r="T42" s="3" t="str">
        <f>IF(O42&gt;=$E$10,"1","0")</f>
        <v>1</v>
      </c>
      <c r="U42" s="3" t="str">
        <f>IF(P42&gt;=$E$10,"1","0")</f>
        <v>1</v>
      </c>
      <c r="V42" s="3" t="str">
        <f>IF(Q42&gt;=$E$10,"1","0")</f>
        <v>1</v>
      </c>
      <c r="W42" s="3">
        <f>Theory!E32</f>
        <v>31</v>
      </c>
    </row>
    <row r="43" ht="15.75" customHeight="1">
      <c r="A43" s="3">
        <f>Theory!A33</f>
        <v>28</v>
      </c>
      <c r="B43" s="3" t="str">
        <f>Theory!B33</f>
        <v>7376231EE129</v>
      </c>
      <c r="E43" s="3">
        <v>10</v>
      </c>
      <c r="F43" s="3">
        <v>20</v>
      </c>
      <c r="G43" s="3">
        <v>20</v>
      </c>
      <c r="J43" s="3">
        <v>6</v>
      </c>
      <c r="K43" s="3">
        <v>14</v>
      </c>
      <c r="L43" s="4">
        <v>14</v>
      </c>
      <c r="N43" s="11" t="str">
        <f>IF(D43="","",I43*100/D43)</f>
        <v/>
      </c>
      <c r="O43" s="11">
        <f>IF(E43="","",J43*100/E43)</f>
        <v>60</v>
      </c>
      <c r="P43" s="11">
        <f>IF(F43="","",K43*100/F43)</f>
        <v>70</v>
      </c>
      <c r="Q43" s="11">
        <f>IF(G43="","",L43*100/G43)</f>
        <v>70</v>
      </c>
      <c r="T43" s="3" t="str">
        <f>IF(O43&gt;=$E$10,"1","0")</f>
        <v>1</v>
      </c>
      <c r="U43" s="3" t="str">
        <f>IF(P43&gt;=$E$10,"1","0")</f>
        <v>1</v>
      </c>
      <c r="V43" s="3" t="str">
        <f>IF(Q43&gt;=$E$10,"1","0")</f>
        <v>1</v>
      </c>
      <c r="W43" s="3">
        <f>Theory!E33</f>
        <v>34</v>
      </c>
    </row>
    <row r="44" ht="15.75" customHeight="1">
      <c r="A44" s="3">
        <f>Theory!A34</f>
        <v>29</v>
      </c>
      <c r="B44" s="3" t="str">
        <f>Theory!B34</f>
        <v>7376231EE130</v>
      </c>
      <c r="E44" s="3">
        <v>10</v>
      </c>
      <c r="F44" s="3">
        <v>20</v>
      </c>
      <c r="G44" s="3">
        <v>20</v>
      </c>
      <c r="J44" s="3">
        <v>7</v>
      </c>
      <c r="K44" s="3">
        <v>13</v>
      </c>
      <c r="L44" s="4">
        <v>13</v>
      </c>
      <c r="N44" s="11" t="str">
        <f>IF(D44="","",I44*100/D44)</f>
        <v/>
      </c>
      <c r="O44" s="11">
        <f>IF(E44="","",J44*100/E44)</f>
        <v>70</v>
      </c>
      <c r="P44" s="11">
        <f>IF(F44="","",K44*100/F44)</f>
        <v>65</v>
      </c>
      <c r="Q44" s="11">
        <f>IF(G44="","",L44*100/G44)</f>
        <v>65</v>
      </c>
      <c r="T44" s="3" t="str">
        <f>IF(O44&gt;=$E$10,"1","0")</f>
        <v>1</v>
      </c>
      <c r="U44" s="3" t="str">
        <f>IF(P44&gt;=$E$10,"1","0")</f>
        <v>1</v>
      </c>
      <c r="V44" s="3" t="str">
        <f>IF(Q44&gt;=$E$10,"1","0")</f>
        <v>1</v>
      </c>
      <c r="W44" s="3">
        <f>Theory!E34</f>
        <v>33</v>
      </c>
    </row>
    <row r="45" ht="15.75" customHeight="1">
      <c r="A45" s="3">
        <f>Theory!A35</f>
        <v>30</v>
      </c>
      <c r="B45" s="3" t="str">
        <f>Theory!B35</f>
        <v>7376231EE131</v>
      </c>
      <c r="E45" s="3">
        <v>10</v>
      </c>
      <c r="F45" s="3">
        <v>20</v>
      </c>
      <c r="G45" s="3">
        <v>20</v>
      </c>
      <c r="J45" s="3">
        <v>6</v>
      </c>
      <c r="K45" s="3">
        <v>13</v>
      </c>
      <c r="L45" s="4">
        <v>13</v>
      </c>
      <c r="N45" s="11" t="str">
        <f>IF(D45="","",I45*100/D45)</f>
        <v/>
      </c>
      <c r="O45" s="11">
        <f>IF(E45="","",J45*100/E45)</f>
        <v>60</v>
      </c>
      <c r="P45" s="11">
        <f>IF(F45="","",K45*100/F45)</f>
        <v>65</v>
      </c>
      <c r="Q45" s="11">
        <f>IF(G45="","",L45*100/G45)</f>
        <v>65</v>
      </c>
      <c r="T45" s="3" t="str">
        <f>IF(O45&gt;=$E$10,"1","0")</f>
        <v>1</v>
      </c>
      <c r="U45" s="3" t="str">
        <f>IF(P45&gt;=$E$10,"1","0")</f>
        <v>1</v>
      </c>
      <c r="V45" s="3" t="str">
        <f>IF(Q45&gt;=$E$10,"1","0")</f>
        <v>1</v>
      </c>
      <c r="W45" s="3">
        <f>Theory!E35</f>
        <v>32</v>
      </c>
    </row>
    <row r="46" ht="15.75" customHeight="1">
      <c r="A46" s="3">
        <f>Theory!A36</f>
        <v>31</v>
      </c>
      <c r="B46" s="3" t="str">
        <f>Theory!B36</f>
        <v>7376231EE132</v>
      </c>
      <c r="E46" s="3">
        <v>10</v>
      </c>
      <c r="F46" s="3">
        <v>20</v>
      </c>
      <c r="G46" s="3">
        <v>20</v>
      </c>
      <c r="J46" s="3">
        <v>6</v>
      </c>
      <c r="K46" s="3">
        <v>14</v>
      </c>
      <c r="L46" s="4">
        <v>14</v>
      </c>
      <c r="N46" s="11" t="str">
        <f>IF(D46="","",I46*100/D46)</f>
        <v/>
      </c>
      <c r="O46" s="11">
        <f>IF(E46="","",J46*100/E46)</f>
        <v>60</v>
      </c>
      <c r="P46" s="11">
        <f>IF(F46="","",K46*100/F46)</f>
        <v>70</v>
      </c>
      <c r="Q46" s="11">
        <f>IF(G46="","",L46*100/G46)</f>
        <v>70</v>
      </c>
      <c r="T46" s="3" t="str">
        <f>IF(O46&gt;=$E$10,"1","0")</f>
        <v>1</v>
      </c>
      <c r="U46" s="3" t="str">
        <f>IF(P46&gt;=$E$10,"1","0")</f>
        <v>1</v>
      </c>
      <c r="V46" s="3" t="str">
        <f>IF(Q46&gt;=$E$10,"1","0")</f>
        <v>1</v>
      </c>
      <c r="W46" s="3">
        <f>Theory!E36</f>
        <v>34</v>
      </c>
    </row>
    <row r="47" ht="15.75" customHeight="1">
      <c r="A47" s="3">
        <f>Theory!A37</f>
        <v>32</v>
      </c>
      <c r="B47" s="3" t="str">
        <f>Theory!B37</f>
        <v>7376231EE133</v>
      </c>
      <c r="E47" s="3">
        <v>10</v>
      </c>
      <c r="F47" s="3">
        <v>20</v>
      </c>
      <c r="G47" s="3">
        <v>20</v>
      </c>
      <c r="J47" s="3">
        <v>6</v>
      </c>
      <c r="K47" s="3">
        <v>11</v>
      </c>
      <c r="L47" s="4">
        <v>11</v>
      </c>
      <c r="N47" s="11" t="str">
        <f>IF(D47="","",I47*100/D47)</f>
        <v/>
      </c>
      <c r="O47" s="11">
        <f>IF(E47="","",J47*100/E47)</f>
        <v>60</v>
      </c>
      <c r="P47" s="11">
        <f>IF(F47="","",K47*100/F47)</f>
        <v>55</v>
      </c>
      <c r="Q47" s="11">
        <f>IF(G47="","",L47*100/G47)</f>
        <v>55</v>
      </c>
      <c r="T47" s="3" t="str">
        <f>IF(O47&gt;=$E$10,"1","0")</f>
        <v>1</v>
      </c>
      <c r="U47" s="3" t="str">
        <f>IF(P47&gt;=$E$10,"1","0")</f>
        <v>0</v>
      </c>
      <c r="V47" s="3" t="str">
        <f>IF(Q47&gt;=$E$10,"1","0")</f>
        <v>0</v>
      </c>
      <c r="W47" s="3">
        <f>Theory!E37</f>
        <v>28</v>
      </c>
    </row>
    <row r="48" ht="15.75" customHeight="1">
      <c r="A48" s="3">
        <f>Theory!A38</f>
        <v>33</v>
      </c>
      <c r="B48" s="3" t="str">
        <f>Theory!B38</f>
        <v>7376231EE134</v>
      </c>
      <c r="E48" s="3">
        <v>10</v>
      </c>
      <c r="F48" s="3">
        <v>20</v>
      </c>
      <c r="G48" s="3">
        <v>20</v>
      </c>
      <c r="J48" s="3">
        <v>7</v>
      </c>
      <c r="K48" s="3">
        <v>13</v>
      </c>
      <c r="L48" s="4">
        <v>13</v>
      </c>
      <c r="N48" s="11" t="str">
        <f>IF(D48="","",I48*100/D48)</f>
        <v/>
      </c>
      <c r="O48" s="11">
        <f>IF(E48="","",J48*100/E48)</f>
        <v>70</v>
      </c>
      <c r="P48" s="11">
        <f>IF(F48="","",K48*100/F48)</f>
        <v>65</v>
      </c>
      <c r="Q48" s="11">
        <f>IF(G48="","",L48*100/G48)</f>
        <v>65</v>
      </c>
      <c r="T48" s="3" t="str">
        <f>IF(O48&gt;=$E$10,"1","0")</f>
        <v>1</v>
      </c>
      <c r="U48" s="3" t="str">
        <f>IF(P48&gt;=$E$10,"1","0")</f>
        <v>1</v>
      </c>
      <c r="V48" s="3" t="str">
        <f>IF(Q48&gt;=$E$10,"1","0")</f>
        <v>1</v>
      </c>
      <c r="W48" s="3">
        <f>Theory!E38</f>
        <v>33</v>
      </c>
    </row>
    <row r="49" ht="15.75" customHeight="1">
      <c r="A49" s="3">
        <f>Theory!A39</f>
        <v>34</v>
      </c>
      <c r="B49" s="3" t="str">
        <f>Theory!B39</f>
        <v>7376231EE135</v>
      </c>
      <c r="E49" s="3">
        <v>10</v>
      </c>
      <c r="F49" s="3">
        <v>20</v>
      </c>
      <c r="G49" s="3">
        <v>20</v>
      </c>
      <c r="J49" s="3">
        <v>7</v>
      </c>
      <c r="K49" s="3">
        <v>13</v>
      </c>
      <c r="L49" s="4">
        <v>13</v>
      </c>
      <c r="N49" s="11" t="str">
        <f>IF(D49="","",I49*100/D49)</f>
        <v/>
      </c>
      <c r="O49" s="11">
        <f>IF(E49="","",J49*100/E49)</f>
        <v>70</v>
      </c>
      <c r="P49" s="11">
        <f>IF(F49="","",K49*100/F49)</f>
        <v>65</v>
      </c>
      <c r="Q49" s="11">
        <f>IF(G49="","",L49*100/G49)</f>
        <v>65</v>
      </c>
      <c r="T49" s="3" t="str">
        <f>IF(O49&gt;=$E$10,"1","0")</f>
        <v>1</v>
      </c>
      <c r="U49" s="3" t="str">
        <f>IF(P49&gt;=$E$10,"1","0")</f>
        <v>1</v>
      </c>
      <c r="V49" s="3" t="str">
        <f>IF(Q49&gt;=$E$10,"1","0")</f>
        <v>1</v>
      </c>
      <c r="W49" s="3">
        <f>Theory!E39</f>
        <v>33</v>
      </c>
    </row>
    <row r="50" ht="15.75" customHeight="1">
      <c r="A50" s="3">
        <f>Theory!A40</f>
        <v>35</v>
      </c>
      <c r="B50" s="3" t="str">
        <f>Theory!B40</f>
        <v>7376231EE136</v>
      </c>
      <c r="E50" s="3">
        <v>10</v>
      </c>
      <c r="F50" s="3">
        <v>20</v>
      </c>
      <c r="G50" s="3">
        <v>20</v>
      </c>
      <c r="J50" s="3">
        <v>6</v>
      </c>
      <c r="K50" s="3">
        <v>12</v>
      </c>
      <c r="L50" s="4">
        <v>13</v>
      </c>
      <c r="N50" s="11" t="str">
        <f>IF(D50="","",I50*100/D50)</f>
        <v/>
      </c>
      <c r="O50" s="11">
        <f>IF(E50="","",J50*100/E50)</f>
        <v>60</v>
      </c>
      <c r="P50" s="11">
        <f>IF(F50="","",K50*100/F50)</f>
        <v>60</v>
      </c>
      <c r="Q50" s="11">
        <f>IF(G50="","",L50*100/G50)</f>
        <v>65</v>
      </c>
      <c r="T50" s="3" t="str">
        <f>IF(O50&gt;=$E$10,"1","0")</f>
        <v>1</v>
      </c>
      <c r="U50" s="3" t="str">
        <f>IF(P50&gt;=$E$10,"1","0")</f>
        <v>1</v>
      </c>
      <c r="V50" s="3" t="str">
        <f>IF(Q50&gt;=$E$10,"1","0")</f>
        <v>1</v>
      </c>
      <c r="W50" s="3">
        <f>Theory!E40</f>
        <v>31</v>
      </c>
    </row>
    <row r="51" ht="15.75" customHeight="1">
      <c r="A51" s="3">
        <f>Theory!A41</f>
        <v>36</v>
      </c>
      <c r="B51" s="3" t="str">
        <f>Theory!B41</f>
        <v>7376231EE137</v>
      </c>
      <c r="E51" s="3">
        <v>10</v>
      </c>
      <c r="F51" s="3">
        <v>20</v>
      </c>
      <c r="G51" s="3">
        <v>20</v>
      </c>
      <c r="J51" s="3">
        <v>6</v>
      </c>
      <c r="K51" s="3">
        <v>9</v>
      </c>
      <c r="L51" s="4">
        <v>9</v>
      </c>
      <c r="N51" s="11" t="str">
        <f>IF(D51="","",I51*100/D51)</f>
        <v/>
      </c>
      <c r="O51" s="11">
        <f>IF(E51="","",J51*100/E51)</f>
        <v>60</v>
      </c>
      <c r="P51" s="11">
        <f>IF(F51="","",K51*100/F51)</f>
        <v>45</v>
      </c>
      <c r="Q51" s="11">
        <f>IF(G51="","",L51*100/G51)</f>
        <v>45</v>
      </c>
      <c r="T51" s="3" t="str">
        <f>IF(O51&gt;=$E$10,"1","0")</f>
        <v>1</v>
      </c>
      <c r="U51" s="3" t="str">
        <f>IF(P51&gt;=$E$10,"1","0")</f>
        <v>0</v>
      </c>
      <c r="V51" s="3" t="str">
        <f>IF(Q51&gt;=$E$10,"1","0")</f>
        <v>0</v>
      </c>
      <c r="W51" s="3">
        <f>Theory!E41</f>
        <v>24</v>
      </c>
    </row>
    <row r="52" ht="15.75" customHeight="1">
      <c r="A52" s="3">
        <f>Theory!A42</f>
        <v>37</v>
      </c>
      <c r="B52" s="3" t="str">
        <f>Theory!B42</f>
        <v>7376231EE138</v>
      </c>
      <c r="E52" s="3">
        <v>10</v>
      </c>
      <c r="F52" s="3">
        <v>20</v>
      </c>
      <c r="G52" s="3">
        <v>20</v>
      </c>
      <c r="J52" s="3">
        <v>7</v>
      </c>
      <c r="K52" s="3">
        <v>13</v>
      </c>
      <c r="L52" s="4">
        <v>13</v>
      </c>
      <c r="N52" s="11" t="str">
        <f>IF(D52="","",I52*100/D52)</f>
        <v/>
      </c>
      <c r="O52" s="11">
        <f>IF(E52="","",J52*100/E52)</f>
        <v>70</v>
      </c>
      <c r="P52" s="11">
        <f>IF(F52="","",K52*100/F52)</f>
        <v>65</v>
      </c>
      <c r="Q52" s="11">
        <f>IF(G52="","",L52*100/G52)</f>
        <v>65</v>
      </c>
      <c r="T52" s="3" t="str">
        <f>IF(O52&gt;=$E$10,"1","0")</f>
        <v>1</v>
      </c>
      <c r="U52" s="3" t="str">
        <f>IF(P52&gt;=$E$10,"1","0")</f>
        <v>1</v>
      </c>
      <c r="V52" s="3" t="str">
        <f>IF(Q52&gt;=$E$10,"1","0")</f>
        <v>1</v>
      </c>
      <c r="W52" s="3">
        <f>Theory!E42</f>
        <v>33</v>
      </c>
    </row>
    <row r="53" ht="15.75" customHeight="1">
      <c r="A53" s="3">
        <f>Theory!A43</f>
        <v>38</v>
      </c>
      <c r="B53" s="3" t="str">
        <f>Theory!B43</f>
        <v>7376231EE139</v>
      </c>
      <c r="E53" s="3">
        <v>10</v>
      </c>
      <c r="F53" s="3">
        <v>20</v>
      </c>
      <c r="G53" s="3">
        <v>20</v>
      </c>
      <c r="J53" s="3">
        <v>6</v>
      </c>
      <c r="K53" s="3">
        <v>13</v>
      </c>
      <c r="L53" s="4">
        <v>13</v>
      </c>
      <c r="N53" s="11" t="str">
        <f>IF(D53="","",I53*100/D53)</f>
        <v/>
      </c>
      <c r="O53" s="11">
        <f>IF(E53="","",J53*100/E53)</f>
        <v>60</v>
      </c>
      <c r="P53" s="11">
        <f>IF(F53="","",K53*100/F53)</f>
        <v>65</v>
      </c>
      <c r="Q53" s="11">
        <f>IF(G53="","",L53*100/G53)</f>
        <v>65</v>
      </c>
      <c r="T53" s="3" t="str">
        <f>IF(O53&gt;=$E$10,"1","0")</f>
        <v>1</v>
      </c>
      <c r="U53" s="3" t="str">
        <f>IF(P53&gt;=$E$10,"1","0")</f>
        <v>1</v>
      </c>
      <c r="V53" s="3" t="str">
        <f>IF(Q53&gt;=$E$10,"1","0")</f>
        <v>1</v>
      </c>
      <c r="W53" s="3">
        <f>Theory!E43</f>
        <v>32</v>
      </c>
    </row>
    <row r="54" ht="15.75" customHeight="1">
      <c r="A54" s="3">
        <f>Theory!A44</f>
        <v>39</v>
      </c>
      <c r="B54" s="3" t="str">
        <f>Theory!B44</f>
        <v>7376231EE140</v>
      </c>
      <c r="E54" s="3">
        <v>10</v>
      </c>
      <c r="F54" s="3">
        <v>20</v>
      </c>
      <c r="G54" s="3">
        <v>20</v>
      </c>
      <c r="J54" s="3">
        <v>6</v>
      </c>
      <c r="K54" s="3">
        <v>11</v>
      </c>
      <c r="L54" s="4">
        <v>11</v>
      </c>
      <c r="N54" s="11" t="str">
        <f>IF(D54="","",I54*100/D54)</f>
        <v/>
      </c>
      <c r="O54" s="11">
        <f>IF(E54="","",J54*100/E54)</f>
        <v>60</v>
      </c>
      <c r="P54" s="11">
        <f>IF(F54="","",K54*100/F54)</f>
        <v>55</v>
      </c>
      <c r="Q54" s="11">
        <f>IF(G54="","",L54*100/G54)</f>
        <v>55</v>
      </c>
      <c r="T54" s="3" t="str">
        <f>IF(O54&gt;=$E$10,"1","0")</f>
        <v>1</v>
      </c>
      <c r="U54" s="3" t="str">
        <f>IF(P54&gt;=$E$10,"1","0")</f>
        <v>0</v>
      </c>
      <c r="V54" s="3" t="str">
        <f>IF(Q54&gt;=$E$10,"1","0")</f>
        <v>0</v>
      </c>
      <c r="W54" s="3">
        <f>Theory!E44</f>
        <v>28</v>
      </c>
    </row>
    <row r="55" ht="15.75" customHeight="1">
      <c r="A55" s="3">
        <f>Theory!A45</f>
        <v>40</v>
      </c>
      <c r="B55" s="3" t="str">
        <f>Theory!B45</f>
        <v>7376231EE141</v>
      </c>
      <c r="E55" s="3">
        <v>10</v>
      </c>
      <c r="F55" s="3">
        <v>20</v>
      </c>
      <c r="G55" s="3">
        <v>20</v>
      </c>
      <c r="J55" s="3">
        <v>6</v>
      </c>
      <c r="K55" s="3">
        <v>14</v>
      </c>
      <c r="L55" s="4">
        <v>14</v>
      </c>
      <c r="N55" s="11" t="str">
        <f>IF(D55="","",I55*100/D55)</f>
        <v/>
      </c>
      <c r="O55" s="11">
        <f>IF(E55="","",J55*100/E55)</f>
        <v>60</v>
      </c>
      <c r="P55" s="11">
        <f>IF(F55="","",K55*100/F55)</f>
        <v>70</v>
      </c>
      <c r="Q55" s="11">
        <f>IF(G55="","",L55*100/G55)</f>
        <v>70</v>
      </c>
      <c r="T55" s="3" t="str">
        <f>IF(O55&gt;=$E$10,"1","0")</f>
        <v>1</v>
      </c>
      <c r="U55" s="3" t="str">
        <f>IF(P55&gt;=$E$10,"1","0")</f>
        <v>1</v>
      </c>
      <c r="V55" s="3" t="str">
        <f>IF(Q55&gt;=$E$10,"1","0")</f>
        <v>1</v>
      </c>
      <c r="W55" s="3">
        <f>Theory!E45</f>
        <v>34</v>
      </c>
    </row>
    <row r="56" ht="15.75" customHeight="1">
      <c r="A56" s="3">
        <f>Theory!A46</f>
        <v>41</v>
      </c>
      <c r="B56" s="3" t="str">
        <f>Theory!B46</f>
        <v>7376231EE142</v>
      </c>
      <c r="E56" s="3">
        <v>10</v>
      </c>
      <c r="F56" s="3">
        <v>20</v>
      </c>
      <c r="G56" s="3">
        <v>20</v>
      </c>
      <c r="J56" s="3">
        <v>6</v>
      </c>
      <c r="K56" s="3">
        <v>14</v>
      </c>
      <c r="L56" s="4">
        <v>14</v>
      </c>
      <c r="N56" s="11" t="str">
        <f>IF(D56="","",I56*100/D56)</f>
        <v/>
      </c>
      <c r="O56" s="11">
        <f>IF(E56="","",J56*100/E56)</f>
        <v>60</v>
      </c>
      <c r="P56" s="11">
        <f>IF(F56="","",K56*100/F56)</f>
        <v>70</v>
      </c>
      <c r="Q56" s="11">
        <f>IF(G56="","",L56*100/G56)</f>
        <v>70</v>
      </c>
      <c r="T56" s="3" t="str">
        <f>IF(O56&gt;=$E$10,"1","0")</f>
        <v>1</v>
      </c>
      <c r="U56" s="3" t="str">
        <f>IF(P56&gt;=$E$10,"1","0")</f>
        <v>1</v>
      </c>
      <c r="V56" s="3" t="str">
        <f>IF(Q56&gt;=$E$10,"1","0")</f>
        <v>1</v>
      </c>
      <c r="W56" s="3">
        <f>Theory!E46</f>
        <v>34</v>
      </c>
    </row>
    <row r="57" ht="15.75" customHeight="1">
      <c r="A57" s="3">
        <f>Theory!A47</f>
        <v>42</v>
      </c>
      <c r="B57" s="3" t="str">
        <f>Theory!B47</f>
        <v>7376231EE143</v>
      </c>
      <c r="E57" s="3">
        <v>10</v>
      </c>
      <c r="F57" s="3">
        <v>20</v>
      </c>
      <c r="G57" s="3">
        <v>20</v>
      </c>
      <c r="J57" s="3">
        <v>6</v>
      </c>
      <c r="K57" s="3">
        <v>11</v>
      </c>
      <c r="L57" s="4">
        <v>11</v>
      </c>
      <c r="N57" s="11" t="str">
        <f>IF(D57="","",I57*100/D57)</f>
        <v/>
      </c>
      <c r="O57" s="11">
        <f>IF(E57="","",J57*100/E57)</f>
        <v>60</v>
      </c>
      <c r="P57" s="11">
        <f>IF(F57="","",K57*100/F57)</f>
        <v>55</v>
      </c>
      <c r="Q57" s="11">
        <f>IF(G57="","",L57*100/G57)</f>
        <v>55</v>
      </c>
      <c r="T57" s="3" t="str">
        <f>IF(O57&gt;=$E$10,"1","0")</f>
        <v>1</v>
      </c>
      <c r="U57" s="3" t="str">
        <f>IF(P57&gt;=$E$10,"1","0")</f>
        <v>0</v>
      </c>
      <c r="V57" s="3" t="str">
        <f>IF(Q57&gt;=$E$10,"1","0")</f>
        <v>0</v>
      </c>
      <c r="W57" s="3">
        <f>Theory!E47</f>
        <v>28</v>
      </c>
    </row>
    <row r="58" ht="15.75" customHeight="1">
      <c r="A58" s="3">
        <f>Theory!A48</f>
        <v>43</v>
      </c>
      <c r="B58" s="3" t="str">
        <f>Theory!B48</f>
        <v>7376231EE144</v>
      </c>
      <c r="E58" s="3">
        <v>10</v>
      </c>
      <c r="F58" s="3">
        <v>20</v>
      </c>
      <c r="G58" s="3">
        <v>20</v>
      </c>
      <c r="J58" s="3">
        <v>5</v>
      </c>
      <c r="K58" s="3">
        <v>13</v>
      </c>
      <c r="L58" s="4">
        <v>12</v>
      </c>
      <c r="N58" s="11" t="str">
        <f>IF(D58="","",I58*100/D58)</f>
        <v/>
      </c>
      <c r="O58" s="11">
        <f>IF(E58="","",J58*100/E58)</f>
        <v>50</v>
      </c>
      <c r="P58" s="11">
        <f>IF(F58="","",K58*100/F58)</f>
        <v>65</v>
      </c>
      <c r="Q58" s="11">
        <f>IF(G58="","",L58*100/G58)</f>
        <v>60</v>
      </c>
      <c r="T58" s="3" t="str">
        <f>IF(O58&gt;=$E$10,"1","0")</f>
        <v>0</v>
      </c>
      <c r="U58" s="3" t="str">
        <f>IF(P58&gt;=$E$10,"1","0")</f>
        <v>1</v>
      </c>
      <c r="V58" s="3" t="str">
        <f>IF(Q58&gt;=$E$10,"1","0")</f>
        <v>1</v>
      </c>
      <c r="W58" s="3">
        <f>Theory!E48</f>
        <v>30</v>
      </c>
    </row>
    <row r="59" ht="15.75" customHeight="1">
      <c r="A59" s="3">
        <f>Theory!A49</f>
        <v>44</v>
      </c>
      <c r="B59" s="3" t="str">
        <f>Theory!B49</f>
        <v>7376231EE145</v>
      </c>
      <c r="E59" s="3">
        <v>10</v>
      </c>
      <c r="F59" s="3">
        <v>20</v>
      </c>
      <c r="G59" s="3">
        <v>20</v>
      </c>
      <c r="J59" s="3">
        <v>5</v>
      </c>
      <c r="K59" s="3">
        <v>13</v>
      </c>
      <c r="L59" s="4">
        <v>12</v>
      </c>
      <c r="N59" s="11" t="str">
        <f>IF(D59="","",I59*100/D59)</f>
        <v/>
      </c>
      <c r="O59" s="11">
        <f>IF(E59="","",J59*100/E59)</f>
        <v>50</v>
      </c>
      <c r="P59" s="11">
        <f>IF(F59="","",K59*100/F59)</f>
        <v>65</v>
      </c>
      <c r="Q59" s="11">
        <f>IF(G59="","",L59*100/G59)</f>
        <v>60</v>
      </c>
      <c r="T59" s="3" t="str">
        <f>IF(O59&gt;=$E$10,"1","0")</f>
        <v>0</v>
      </c>
      <c r="U59" s="3" t="str">
        <f>IF(P59&gt;=$E$10,"1","0")</f>
        <v>1</v>
      </c>
      <c r="V59" s="3" t="str">
        <f>IF(Q59&gt;=$E$10,"1","0")</f>
        <v>1</v>
      </c>
      <c r="W59" s="3">
        <f>Theory!E49</f>
        <v>30</v>
      </c>
    </row>
    <row r="60" ht="15.75" customHeight="1">
      <c r="A60" s="3">
        <f>Theory!A50</f>
        <v>45</v>
      </c>
      <c r="B60" s="3" t="str">
        <f>Theory!B50</f>
        <v>7376231EE146</v>
      </c>
      <c r="E60" s="3">
        <v>10</v>
      </c>
      <c r="F60" s="3">
        <v>20</v>
      </c>
      <c r="G60" s="3">
        <v>20</v>
      </c>
      <c r="J60" s="3">
        <v>6</v>
      </c>
      <c r="K60" s="3">
        <v>14</v>
      </c>
      <c r="L60" s="4">
        <v>14</v>
      </c>
      <c r="N60" s="11" t="str">
        <f>IF(D60="","",I60*100/D60)</f>
        <v/>
      </c>
      <c r="O60" s="11">
        <f>IF(E60="","",J60*100/E60)</f>
        <v>60</v>
      </c>
      <c r="P60" s="11">
        <f>IF(F60="","",K60*100/F60)</f>
        <v>70</v>
      </c>
      <c r="Q60" s="11">
        <f>IF(G60="","",L60*100/G60)</f>
        <v>70</v>
      </c>
      <c r="T60" s="3" t="str">
        <f>IF(O60&gt;=$E$10,"1","0")</f>
        <v>1</v>
      </c>
      <c r="U60" s="3" t="str">
        <f>IF(P60&gt;=$E$10,"1","0")</f>
        <v>1</v>
      </c>
      <c r="V60" s="3" t="str">
        <f>IF(Q60&gt;=$E$10,"1","0")</f>
        <v>1</v>
      </c>
      <c r="W60" s="3">
        <f>Theory!E50</f>
        <v>34</v>
      </c>
    </row>
    <row r="61" ht="15.75" customHeight="1">
      <c r="A61" s="3">
        <f>Theory!A51</f>
        <v>46</v>
      </c>
      <c r="B61" s="3" t="str">
        <f>Theory!B51</f>
        <v>7376231EE147</v>
      </c>
      <c r="E61" s="3">
        <v>10</v>
      </c>
      <c r="F61" s="3">
        <v>20</v>
      </c>
      <c r="G61" s="3">
        <v>20</v>
      </c>
      <c r="J61" s="3">
        <v>5</v>
      </c>
      <c r="K61" s="3">
        <v>11</v>
      </c>
      <c r="L61" s="4">
        <v>11</v>
      </c>
      <c r="N61" s="11" t="str">
        <f>IF(D61="","",I61*100/D61)</f>
        <v/>
      </c>
      <c r="O61" s="11">
        <f>IF(E61="","",J61*100/E61)</f>
        <v>50</v>
      </c>
      <c r="P61" s="11">
        <f>IF(F61="","",K61*100/F61)</f>
        <v>55</v>
      </c>
      <c r="Q61" s="11">
        <f>IF(G61="","",L61*100/G61)</f>
        <v>55</v>
      </c>
      <c r="T61" s="3" t="str">
        <f>IF(O61&gt;=$E$10,"1","0")</f>
        <v>0</v>
      </c>
      <c r="U61" s="3" t="str">
        <f>IF(P61&gt;=$E$10,"1","0")</f>
        <v>0</v>
      </c>
      <c r="V61" s="3" t="str">
        <f>IF(Q61&gt;=$E$10,"1","0")</f>
        <v>0</v>
      </c>
      <c r="W61" s="3">
        <f>Theory!E51</f>
        <v>27</v>
      </c>
    </row>
    <row r="62" ht="15.75" customHeight="1">
      <c r="A62" s="3">
        <f>Theory!A52</f>
        <v>47</v>
      </c>
      <c r="B62" s="3" t="str">
        <f>Theory!B52</f>
        <v>7376231EE148</v>
      </c>
      <c r="E62" s="3">
        <v>10</v>
      </c>
      <c r="F62" s="3">
        <v>20</v>
      </c>
      <c r="G62" s="3">
        <v>20</v>
      </c>
      <c r="J62" s="3">
        <v>6</v>
      </c>
      <c r="K62" s="3">
        <v>14</v>
      </c>
      <c r="L62" s="4">
        <v>14</v>
      </c>
      <c r="N62" s="11" t="str">
        <f>IF(D62="","",I62*100/D62)</f>
        <v/>
      </c>
      <c r="O62" s="11">
        <f>IF(E62="","",J62*100/E62)</f>
        <v>60</v>
      </c>
      <c r="P62" s="11">
        <f>IF(F62="","",K62*100/F62)</f>
        <v>70</v>
      </c>
      <c r="Q62" s="11">
        <f>IF(G62="","",L62*100/G62)</f>
        <v>70</v>
      </c>
      <c r="T62" s="3" t="str">
        <f>IF(O62&gt;=$E$10,"1","0")</f>
        <v>1</v>
      </c>
      <c r="U62" s="3" t="str">
        <f>IF(P62&gt;=$E$10,"1","0")</f>
        <v>1</v>
      </c>
      <c r="V62" s="3" t="str">
        <f>IF(Q62&gt;=$E$10,"1","0")</f>
        <v>1</v>
      </c>
      <c r="W62" s="3">
        <f>Theory!E52</f>
        <v>34</v>
      </c>
    </row>
    <row r="63" ht="15.75" customHeight="1">
      <c r="A63" s="3">
        <f>Theory!A53</f>
        <v>48</v>
      </c>
      <c r="B63" s="3" t="str">
        <f>Theory!B53</f>
        <v>7376231EE149</v>
      </c>
      <c r="E63" s="3">
        <v>10</v>
      </c>
      <c r="F63" s="3">
        <v>20</v>
      </c>
      <c r="G63" s="3">
        <v>20</v>
      </c>
      <c r="J63" s="3">
        <v>3</v>
      </c>
      <c r="K63" s="3">
        <v>9</v>
      </c>
      <c r="L63" s="4">
        <v>9</v>
      </c>
      <c r="N63" s="11" t="str">
        <f>IF(D63="","",I63*100/D63)</f>
        <v/>
      </c>
      <c r="O63" s="11">
        <f>IF(E63="","",J63*100/E63)</f>
        <v>30</v>
      </c>
      <c r="P63" s="11">
        <f>IF(F63="","",K63*100/F63)</f>
        <v>45</v>
      </c>
      <c r="Q63" s="11">
        <f>IF(G63="","",L63*100/G63)</f>
        <v>45</v>
      </c>
      <c r="T63" s="3" t="str">
        <f>IF(O63&gt;=$E$10,"1","0")</f>
        <v>0</v>
      </c>
      <c r="U63" s="3" t="str">
        <f>IF(P63&gt;=$E$10,"1","0")</f>
        <v>0</v>
      </c>
      <c r="V63" s="3" t="str">
        <f>IF(Q63&gt;=$E$10,"1","0")</f>
        <v>0</v>
      </c>
      <c r="W63" s="3">
        <f>Theory!E53</f>
        <v>21</v>
      </c>
    </row>
    <row r="64" ht="15.75" customHeight="1">
      <c r="A64" s="3">
        <f>Theory!A54</f>
        <v>49</v>
      </c>
      <c r="B64" s="3" t="str">
        <f>Theory!B54</f>
        <v>7376231EE150</v>
      </c>
      <c r="E64" s="3">
        <v>10</v>
      </c>
      <c r="F64" s="3">
        <v>20</v>
      </c>
      <c r="G64" s="3">
        <v>20</v>
      </c>
      <c r="J64" s="3">
        <v>4</v>
      </c>
      <c r="K64" s="3">
        <v>7</v>
      </c>
      <c r="L64" s="4">
        <v>8</v>
      </c>
      <c r="N64" s="11" t="str">
        <f>IF(D64="","",I64*100/D64)</f>
        <v/>
      </c>
      <c r="O64" s="11">
        <f>IF(E64="","",J64*100/E64)</f>
        <v>40</v>
      </c>
      <c r="P64" s="11">
        <f>IF(F64="","",K64*100/F64)</f>
        <v>35</v>
      </c>
      <c r="Q64" s="11">
        <f>IF(G64="","",L64*100/G64)</f>
        <v>40</v>
      </c>
      <c r="T64" s="3" t="str">
        <f>IF(O64&gt;=$E$10,"1","0")</f>
        <v>0</v>
      </c>
      <c r="U64" s="3" t="str">
        <f>IF(P64&gt;=$E$10,"1","0")</f>
        <v>0</v>
      </c>
      <c r="V64" s="3" t="str">
        <f>IF(Q64&gt;=$E$10,"1","0")</f>
        <v>0</v>
      </c>
      <c r="W64" s="3">
        <f>Theory!E54</f>
        <v>19</v>
      </c>
    </row>
    <row r="65" ht="15.75" customHeight="1">
      <c r="A65" s="3">
        <f>Theory!A55</f>
        <v>50</v>
      </c>
      <c r="B65" s="3" t="str">
        <f>Theory!B55</f>
        <v>7376231EE151</v>
      </c>
      <c r="E65" s="3">
        <v>10</v>
      </c>
      <c r="F65" s="3">
        <v>20</v>
      </c>
      <c r="G65" s="3">
        <v>20</v>
      </c>
      <c r="J65" s="3">
        <v>4</v>
      </c>
      <c r="K65" s="3">
        <v>7</v>
      </c>
      <c r="L65" s="4">
        <v>7</v>
      </c>
      <c r="N65" s="11" t="str">
        <f>IF(D65="","",I65*100/D65)</f>
        <v/>
      </c>
      <c r="O65" s="11">
        <f>IF(E65="","",J65*100/E65)</f>
        <v>40</v>
      </c>
      <c r="P65" s="11">
        <f>IF(F65="","",K65*100/F65)</f>
        <v>35</v>
      </c>
      <c r="Q65" s="11">
        <f>IF(G65="","",L65*100/G65)</f>
        <v>35</v>
      </c>
      <c r="T65" s="3" t="str">
        <f>IF(O65&gt;=$E$10,"1","0")</f>
        <v>0</v>
      </c>
      <c r="U65" s="3" t="str">
        <f>IF(P65&gt;=$E$10,"1","0")</f>
        <v>0</v>
      </c>
      <c r="V65" s="3" t="str">
        <f>IF(Q65&gt;=$E$10,"1","0")</f>
        <v>0</v>
      </c>
      <c r="W65" s="3">
        <f>Theory!E55</f>
        <v>18</v>
      </c>
    </row>
    <row r="66" ht="15.75" customHeight="1">
      <c r="A66" s="3">
        <f>Theory!A56</f>
        <v>51</v>
      </c>
      <c r="B66" s="3" t="str">
        <f>Theory!B56</f>
        <v>7376231EE152</v>
      </c>
      <c r="E66" s="3">
        <v>10</v>
      </c>
      <c r="F66" s="3">
        <v>20</v>
      </c>
      <c r="G66" s="3">
        <v>20</v>
      </c>
      <c r="J66" s="3">
        <v>3</v>
      </c>
      <c r="K66" s="3">
        <v>9</v>
      </c>
      <c r="L66" s="4">
        <v>9</v>
      </c>
      <c r="N66" s="11" t="str">
        <f>IF(D66="","",I66*100/D66)</f>
        <v/>
      </c>
      <c r="O66" s="11">
        <f>IF(E66="","",J66*100/E66)</f>
        <v>30</v>
      </c>
      <c r="P66" s="11">
        <f>IF(F66="","",K66*100/F66)</f>
        <v>45</v>
      </c>
      <c r="Q66" s="11">
        <f>IF(G66="","",L66*100/G66)</f>
        <v>45</v>
      </c>
      <c r="T66" s="3" t="str">
        <f>IF(O66&gt;=$E$10,"1","0")</f>
        <v>0</v>
      </c>
      <c r="U66" s="3" t="str">
        <f>IF(P66&gt;=$E$10,"1","0")</f>
        <v>0</v>
      </c>
      <c r="V66" s="3" t="str">
        <f>IF(Q66&gt;=$E$10,"1","0")</f>
        <v>0</v>
      </c>
      <c r="W66" s="3">
        <f>Theory!E56</f>
        <v>21</v>
      </c>
    </row>
    <row r="67" ht="15.75" customHeight="1">
      <c r="A67" s="3">
        <f>Theory!A57</f>
        <v>52</v>
      </c>
      <c r="B67" s="3" t="str">
        <f>Theory!B57</f>
        <v>7376231EE153</v>
      </c>
      <c r="E67" s="3">
        <v>10</v>
      </c>
      <c r="F67" s="3">
        <v>20</v>
      </c>
      <c r="G67" s="3">
        <v>20</v>
      </c>
      <c r="J67" s="3">
        <v>6</v>
      </c>
      <c r="K67" s="3">
        <v>13</v>
      </c>
      <c r="L67" s="4">
        <v>13</v>
      </c>
      <c r="N67" s="11" t="str">
        <f>IF(D67="","",I67*100/D67)</f>
        <v/>
      </c>
      <c r="O67" s="11">
        <f>IF(E67="","",J67*100/E67)</f>
        <v>60</v>
      </c>
      <c r="P67" s="11">
        <f>IF(F67="","",K67*100/F67)</f>
        <v>65</v>
      </c>
      <c r="Q67" s="11">
        <f>IF(G67="","",L67*100/G67)</f>
        <v>65</v>
      </c>
      <c r="T67" s="3" t="str">
        <f>IF(O67&gt;=$E$10,"1","0")</f>
        <v>1</v>
      </c>
      <c r="U67" s="3" t="str">
        <f>IF(P67&gt;=$E$10,"1","0")</f>
        <v>1</v>
      </c>
      <c r="V67" s="3" t="str">
        <f>IF(Q67&gt;=$E$10,"1","0")</f>
        <v>1</v>
      </c>
      <c r="W67" s="3">
        <f>Theory!E57</f>
        <v>32</v>
      </c>
    </row>
    <row r="68" ht="15.75" customHeight="1">
      <c r="A68" s="3">
        <f>Theory!A58</f>
        <v>53</v>
      </c>
      <c r="B68" s="3" t="str">
        <f>Theory!B58</f>
        <v>7376231EE154</v>
      </c>
      <c r="E68" s="3">
        <v>10</v>
      </c>
      <c r="F68" s="3">
        <v>20</v>
      </c>
      <c r="G68" s="3">
        <v>20</v>
      </c>
      <c r="J68" s="3">
        <v>7</v>
      </c>
      <c r="K68" s="3">
        <v>13</v>
      </c>
      <c r="L68" s="4">
        <v>13</v>
      </c>
      <c r="N68" s="11" t="str">
        <f>IF(D68="","",I68*100/D68)</f>
        <v/>
      </c>
      <c r="O68" s="11">
        <f>IF(E68="","",J68*100/E68)</f>
        <v>70</v>
      </c>
      <c r="P68" s="11">
        <f>IF(F68="","",K68*100/F68)</f>
        <v>65</v>
      </c>
      <c r="Q68" s="11">
        <f>IF(G68="","",L68*100/G68)</f>
        <v>65</v>
      </c>
      <c r="T68" s="3" t="str">
        <f>IF(O68&gt;=$E$10,"1","0")</f>
        <v>1</v>
      </c>
      <c r="U68" s="3" t="str">
        <f>IF(P68&gt;=$E$10,"1","0")</f>
        <v>1</v>
      </c>
      <c r="V68" s="3" t="str">
        <f>IF(Q68&gt;=$E$10,"1","0")</f>
        <v>1</v>
      </c>
      <c r="W68" s="3">
        <f>Theory!E58</f>
        <v>33</v>
      </c>
    </row>
    <row r="69" ht="15.75" customHeight="1">
      <c r="A69" s="3">
        <f>Theory!A59</f>
        <v>54</v>
      </c>
      <c r="B69" s="3" t="str">
        <f>Theory!B59</f>
        <v>7376231EE155</v>
      </c>
      <c r="E69" s="3">
        <v>10</v>
      </c>
      <c r="F69" s="3">
        <v>20</v>
      </c>
      <c r="G69" s="3">
        <v>20</v>
      </c>
      <c r="J69" s="3">
        <v>5</v>
      </c>
      <c r="K69" s="3">
        <v>11</v>
      </c>
      <c r="L69" s="4">
        <v>11</v>
      </c>
      <c r="N69" s="11" t="str">
        <f>IF(D69="","",I69*100/D69)</f>
        <v/>
      </c>
      <c r="O69" s="11">
        <f>IF(E69="","",J69*100/E69)</f>
        <v>50</v>
      </c>
      <c r="P69" s="11">
        <f>IF(F69="","",K69*100/F69)</f>
        <v>55</v>
      </c>
      <c r="Q69" s="11">
        <f>IF(G69="","",L69*100/G69)</f>
        <v>55</v>
      </c>
      <c r="T69" s="3" t="str">
        <f>IF(O69&gt;=$E$10,"1","0")</f>
        <v>0</v>
      </c>
      <c r="U69" s="3" t="str">
        <f>IF(P69&gt;=$E$10,"1","0")</f>
        <v>0</v>
      </c>
      <c r="V69" s="3" t="str">
        <f>IF(Q69&gt;=$E$10,"1","0")</f>
        <v>0</v>
      </c>
      <c r="W69" s="3">
        <f>Theory!E59</f>
        <v>27</v>
      </c>
    </row>
    <row r="70" ht="15.75" customHeight="1">
      <c r="A70" s="3">
        <f>Theory!A60</f>
        <v>55</v>
      </c>
      <c r="B70" s="3" t="str">
        <f>Theory!B60</f>
        <v>7376231EE156</v>
      </c>
      <c r="E70" s="3">
        <v>10</v>
      </c>
      <c r="F70" s="3">
        <v>20</v>
      </c>
      <c r="G70" s="3">
        <v>20</v>
      </c>
      <c r="J70" s="3">
        <v>6</v>
      </c>
      <c r="K70" s="3">
        <v>13</v>
      </c>
      <c r="L70" s="4">
        <v>13</v>
      </c>
      <c r="N70" s="11" t="str">
        <f>IF(D70="","",I70*100/D70)</f>
        <v/>
      </c>
      <c r="O70" s="11">
        <f>IF(E70="","",J70*100/E70)</f>
        <v>60</v>
      </c>
      <c r="P70" s="11">
        <f>IF(F70="","",K70*100/F70)</f>
        <v>65</v>
      </c>
      <c r="Q70" s="11">
        <f>IF(G70="","",L70*100/G70)</f>
        <v>65</v>
      </c>
      <c r="T70" s="3" t="str">
        <f>IF(O70&gt;=$E$10,"1","0")</f>
        <v>1</v>
      </c>
      <c r="U70" s="3" t="str">
        <f>IF(P70&gt;=$E$10,"1","0")</f>
        <v>1</v>
      </c>
      <c r="V70" s="3" t="str">
        <f>IF(Q70&gt;=$E$10,"1","0")</f>
        <v>1</v>
      </c>
      <c r="W70" s="3">
        <f>Theory!E60</f>
        <v>32</v>
      </c>
    </row>
    <row r="71" ht="15.75" customHeight="1">
      <c r="A71" s="3">
        <f>Theory!A61</f>
        <v>56</v>
      </c>
      <c r="B71" s="3" t="str">
        <f>Theory!B61</f>
        <v>7376231EE157</v>
      </c>
      <c r="E71" s="3">
        <v>10</v>
      </c>
      <c r="F71" s="3">
        <v>20</v>
      </c>
      <c r="G71" s="3">
        <v>20</v>
      </c>
      <c r="J71" s="3">
        <v>7</v>
      </c>
      <c r="K71" s="3">
        <v>14</v>
      </c>
      <c r="L71" s="4">
        <v>15</v>
      </c>
      <c r="N71" s="11" t="str">
        <f>IF(D71="","",I71*100/D71)</f>
        <v/>
      </c>
      <c r="O71" s="11">
        <f>IF(E71="","",J71*100/E71)</f>
        <v>70</v>
      </c>
      <c r="P71" s="11">
        <f>IF(F71="","",K71*100/F71)</f>
        <v>70</v>
      </c>
      <c r="Q71" s="11">
        <f>IF(G71="","",L71*100/G71)</f>
        <v>75</v>
      </c>
      <c r="T71" s="3" t="str">
        <f>IF(O71&gt;=$E$10,"1","0")</f>
        <v>1</v>
      </c>
      <c r="U71" s="3" t="str">
        <f>IF(P71&gt;=$E$10,"1","0")</f>
        <v>1</v>
      </c>
      <c r="V71" s="3" t="str">
        <f>IF(Q71&gt;=$E$10,"1","0")</f>
        <v>1</v>
      </c>
      <c r="W71" s="3">
        <f>Theory!E61</f>
        <v>36</v>
      </c>
    </row>
    <row r="72" ht="15.75" customHeight="1">
      <c r="A72" s="3">
        <f>Theory!A62</f>
        <v>57</v>
      </c>
      <c r="B72" s="3" t="str">
        <f>Theory!B62</f>
        <v>7376231EE158</v>
      </c>
      <c r="E72" s="3">
        <v>10</v>
      </c>
      <c r="F72" s="3">
        <v>20</v>
      </c>
      <c r="G72" s="3">
        <v>20</v>
      </c>
      <c r="J72" s="3">
        <v>5</v>
      </c>
      <c r="K72" s="3">
        <v>13</v>
      </c>
      <c r="L72" s="4">
        <v>12</v>
      </c>
      <c r="N72" s="11" t="str">
        <f>IF(D72="","",I72*100/D72)</f>
        <v/>
      </c>
      <c r="O72" s="11">
        <f>IF(E72="","",J72*100/E72)</f>
        <v>50</v>
      </c>
      <c r="P72" s="11">
        <f>IF(F72="","",K72*100/F72)</f>
        <v>65</v>
      </c>
      <c r="Q72" s="11">
        <f>IF(G72="","",L72*100/G72)</f>
        <v>60</v>
      </c>
      <c r="T72" s="3" t="str">
        <f>IF(O72&gt;=$E$10,"1","0")</f>
        <v>0</v>
      </c>
      <c r="U72" s="3" t="str">
        <f>IF(P72&gt;=$E$10,"1","0")</f>
        <v>1</v>
      </c>
      <c r="V72" s="3" t="str">
        <f>IF(Q72&gt;=$E$10,"1","0")</f>
        <v>1</v>
      </c>
      <c r="W72" s="3">
        <f>Theory!E62</f>
        <v>30</v>
      </c>
    </row>
    <row r="73" ht="15.75" customHeight="1">
      <c r="A73" s="3">
        <f>Theory!A63</f>
        <v>58</v>
      </c>
      <c r="B73" s="3" t="str">
        <f>Theory!B63</f>
        <v>7376231EE159</v>
      </c>
      <c r="E73" s="3">
        <v>10</v>
      </c>
      <c r="F73" s="3">
        <v>20</v>
      </c>
      <c r="G73" s="3">
        <v>20</v>
      </c>
      <c r="J73" s="3">
        <v>6</v>
      </c>
      <c r="K73" s="3">
        <v>11</v>
      </c>
      <c r="L73" s="4">
        <v>11</v>
      </c>
      <c r="N73" s="11" t="str">
        <f>IF(D73="","",I73*100/D73)</f>
        <v/>
      </c>
      <c r="O73" s="11">
        <f>IF(E73="","",J73*100/E73)</f>
        <v>60</v>
      </c>
      <c r="P73" s="11">
        <f>IF(F73="","",K73*100/F73)</f>
        <v>55</v>
      </c>
      <c r="Q73" s="11">
        <f>IF(G73="","",L73*100/G73)</f>
        <v>55</v>
      </c>
      <c r="T73" s="3" t="str">
        <f>IF(O73&gt;=$E$10,"1","0")</f>
        <v>1</v>
      </c>
      <c r="U73" s="3" t="str">
        <f>IF(P73&gt;=$E$10,"1","0")</f>
        <v>0</v>
      </c>
      <c r="V73" s="3" t="str">
        <f>IF(Q73&gt;=$E$10,"1","0")</f>
        <v>0</v>
      </c>
      <c r="W73" s="3">
        <f>Theory!E63</f>
        <v>28</v>
      </c>
    </row>
    <row r="74" ht="15.75" customHeight="1">
      <c r="A74" s="3">
        <f>Theory!A64</f>
        <v>59</v>
      </c>
      <c r="B74" s="3" t="str">
        <f>Theory!B64</f>
        <v>7376231EE160</v>
      </c>
      <c r="E74" s="3">
        <v>10</v>
      </c>
      <c r="F74" s="3">
        <v>20</v>
      </c>
      <c r="G74" s="3">
        <v>20</v>
      </c>
      <c r="J74" s="3">
        <v>6</v>
      </c>
      <c r="K74" s="3">
        <v>9</v>
      </c>
      <c r="L74" s="4">
        <v>9</v>
      </c>
      <c r="N74" s="11" t="str">
        <f>IF(D74="","",I74*100/D74)</f>
        <v/>
      </c>
      <c r="O74" s="11">
        <f>IF(E74="","",J74*100/E74)</f>
        <v>60</v>
      </c>
      <c r="P74" s="11">
        <f>IF(F74="","",K74*100/F74)</f>
        <v>45</v>
      </c>
      <c r="Q74" s="11">
        <f>IF(G74="","",L74*100/G74)</f>
        <v>45</v>
      </c>
      <c r="T74" s="3" t="str">
        <f>IF(O74&gt;=$E$10,"1","0")</f>
        <v>1</v>
      </c>
      <c r="U74" s="3" t="str">
        <f>IF(P74&gt;=$E$10,"1","0")</f>
        <v>0</v>
      </c>
      <c r="V74" s="3" t="str">
        <f>IF(Q74&gt;=$E$10,"1","0")</f>
        <v>0</v>
      </c>
      <c r="W74" s="3">
        <f>Theory!E64</f>
        <v>24</v>
      </c>
    </row>
    <row r="75" ht="15.75" customHeight="1">
      <c r="A75" s="3">
        <f>Theory!A65</f>
        <v>60</v>
      </c>
      <c r="B75" s="3" t="str">
        <f>Theory!B65</f>
        <v>7376231EE161</v>
      </c>
      <c r="E75" s="3">
        <v>10</v>
      </c>
      <c r="F75" s="3">
        <v>20</v>
      </c>
      <c r="G75" s="3">
        <v>20</v>
      </c>
      <c r="J75" s="3">
        <v>5</v>
      </c>
      <c r="K75" s="3">
        <v>13</v>
      </c>
      <c r="L75" s="4">
        <v>12</v>
      </c>
      <c r="N75" s="11" t="str">
        <f>IF(D75="","",I75*100/D75)</f>
        <v/>
      </c>
      <c r="O75" s="11">
        <f>IF(E75="","",J75*100/E75)</f>
        <v>50</v>
      </c>
      <c r="P75" s="11">
        <f>IF(F75="","",K75*100/F75)</f>
        <v>65</v>
      </c>
      <c r="Q75" s="11">
        <f>IF(G75="","",L75*100/G75)</f>
        <v>60</v>
      </c>
      <c r="T75" s="3" t="str">
        <f>IF(O75&gt;=$E$10,"1","0")</f>
        <v>0</v>
      </c>
      <c r="U75" s="3" t="str">
        <f>IF(P75&gt;=$E$10,"1","0")</f>
        <v>1</v>
      </c>
      <c r="V75" s="3" t="str">
        <f>IF(Q75&gt;=$E$10,"1","0")</f>
        <v>1</v>
      </c>
      <c r="W75" s="3">
        <f>Theory!E65</f>
        <v>30</v>
      </c>
    </row>
    <row r="76" ht="15.75" customHeight="1">
      <c r="A76" s="3">
        <f>Theory!A66</f>
        <v>61</v>
      </c>
      <c r="B76" s="3" t="str">
        <f>Theory!B66</f>
        <v>7376241EE501</v>
      </c>
      <c r="E76" s="3">
        <v>10</v>
      </c>
      <c r="F76" s="3">
        <v>20</v>
      </c>
      <c r="G76" s="3">
        <v>20</v>
      </c>
      <c r="J76" s="3">
        <v>6</v>
      </c>
      <c r="K76" s="3">
        <v>11</v>
      </c>
      <c r="L76" s="4">
        <v>12</v>
      </c>
      <c r="N76" s="11" t="str">
        <f>IF(D76="","",I76*100/D76)</f>
        <v/>
      </c>
      <c r="O76" s="11">
        <f>IF(E76="","",J76*100/E76)</f>
        <v>60</v>
      </c>
      <c r="P76" s="11">
        <f>IF(F76="","",K76*100/F76)</f>
        <v>55</v>
      </c>
      <c r="Q76" s="11">
        <f>IF(G76="","",L76*100/G76)</f>
        <v>60</v>
      </c>
      <c r="T76" s="3" t="str">
        <f>IF(O76&gt;=$E$10,"1","0")</f>
        <v>1</v>
      </c>
      <c r="U76" s="3" t="str">
        <f>IF(P76&gt;=$E$10,"1","0")</f>
        <v>0</v>
      </c>
      <c r="V76" s="3" t="str">
        <f>IF(Q76&gt;=$E$10,"1","0")</f>
        <v>1</v>
      </c>
      <c r="W76" s="3">
        <f>Theory!E66</f>
        <v>29</v>
      </c>
    </row>
    <row r="77" ht="15.75" customHeight="1">
      <c r="A77" s="3">
        <f>Theory!A67</f>
        <v>62</v>
      </c>
      <c r="B77" s="3" t="str">
        <f>Theory!B67</f>
        <v>7376241EE502</v>
      </c>
      <c r="E77" s="3">
        <v>10</v>
      </c>
      <c r="F77" s="3">
        <v>20</v>
      </c>
      <c r="G77" s="3">
        <v>20</v>
      </c>
      <c r="J77" s="3">
        <v>4</v>
      </c>
      <c r="K77" s="3">
        <v>7</v>
      </c>
      <c r="L77" s="4">
        <v>6</v>
      </c>
      <c r="N77" s="11" t="str">
        <f>IF(D77="","",I77*100/D77)</f>
        <v/>
      </c>
      <c r="O77" s="11">
        <f>IF(E77="","",J77*100/E77)</f>
        <v>40</v>
      </c>
      <c r="P77" s="11">
        <f>IF(F77="","",K77*100/F77)</f>
        <v>35</v>
      </c>
      <c r="Q77" s="11">
        <f>IF(G77="","",L77*100/G77)</f>
        <v>30</v>
      </c>
      <c r="T77" s="3" t="str">
        <f>IF(O77&gt;=$E$10,"1","0")</f>
        <v>0</v>
      </c>
      <c r="U77" s="3" t="str">
        <f>IF(P77&gt;=$E$10,"1","0")</f>
        <v>0</v>
      </c>
      <c r="V77" s="3" t="str">
        <f>IF(Q77&gt;=$E$10,"1","0")</f>
        <v>0</v>
      </c>
      <c r="W77" s="3">
        <f>Theory!E67</f>
        <v>17</v>
      </c>
    </row>
    <row r="78" ht="15.75" customHeight="1">
      <c r="A78" s="3">
        <f>Theory!A68</f>
        <v>63</v>
      </c>
      <c r="B78" s="3" t="str">
        <f>Theory!B68</f>
        <v>7376241EE503</v>
      </c>
      <c r="E78" s="3">
        <v>10</v>
      </c>
      <c r="F78" s="3">
        <v>20</v>
      </c>
      <c r="G78" s="3">
        <v>20</v>
      </c>
      <c r="J78" s="3">
        <v>4</v>
      </c>
      <c r="K78" s="3">
        <v>7</v>
      </c>
      <c r="L78" s="4">
        <v>6</v>
      </c>
      <c r="N78" s="11" t="str">
        <f>IF(D78="","",I78*100/D78)</f>
        <v/>
      </c>
      <c r="O78" s="11">
        <f>IF(E78="","",J78*100/E78)</f>
        <v>40</v>
      </c>
      <c r="P78" s="11">
        <f>IF(F78="","",K78*100/F78)</f>
        <v>35</v>
      </c>
      <c r="Q78" s="11">
        <f>IF(G78="","",L78*100/G78)</f>
        <v>30</v>
      </c>
      <c r="T78" s="3" t="str">
        <f>IF(O78&gt;=$E$10,"1","0")</f>
        <v>0</v>
      </c>
      <c r="U78" s="3" t="str">
        <f>IF(P78&gt;=$E$10,"1","0")</f>
        <v>0</v>
      </c>
      <c r="V78" s="3" t="str">
        <f>IF(Q78&gt;=$E$10,"1","0")</f>
        <v>0</v>
      </c>
      <c r="W78" s="3">
        <f>Theory!E68</f>
        <v>17</v>
      </c>
    </row>
    <row r="79" ht="15.75" customHeight="1">
      <c r="A79" s="3">
        <f>Theory!A69</f>
        <v>64</v>
      </c>
      <c r="B79" s="3" t="str">
        <f>Theory!B69</f>
        <v>7376241EE504</v>
      </c>
      <c r="E79" s="3">
        <v>10</v>
      </c>
      <c r="F79" s="3">
        <v>20</v>
      </c>
      <c r="G79" s="3">
        <v>20</v>
      </c>
      <c r="J79" s="3">
        <v>5</v>
      </c>
      <c r="K79" s="3">
        <v>11</v>
      </c>
      <c r="L79" s="4">
        <v>11</v>
      </c>
      <c r="N79" s="11" t="str">
        <f>IF(D79="","",I79*100/D79)</f>
        <v/>
      </c>
      <c r="O79" s="11">
        <f>IF(E79="","",J79*100/E79)</f>
        <v>50</v>
      </c>
      <c r="P79" s="11">
        <f>IF(F79="","",K79*100/F79)</f>
        <v>55</v>
      </c>
      <c r="Q79" s="11">
        <f>IF(G79="","",L79*100/G79)</f>
        <v>55</v>
      </c>
      <c r="T79" s="3" t="str">
        <f>IF(O79&gt;=$E$10,"1","0")</f>
        <v>0</v>
      </c>
      <c r="U79" s="3" t="str">
        <f>IF(P79&gt;=$E$10,"1","0")</f>
        <v>0</v>
      </c>
      <c r="V79" s="3" t="str">
        <f>IF(Q79&gt;=$E$10,"1","0")</f>
        <v>0</v>
      </c>
      <c r="W79" s="3">
        <f>Theory!E69</f>
        <v>27</v>
      </c>
    </row>
    <row r="80" ht="15.75" customHeight="1">
      <c r="A80" s="3">
        <f>Theory!A70</f>
        <v>65</v>
      </c>
      <c r="B80" s="3" t="str">
        <f>Theory!B70</f>
        <v>7376241EE505</v>
      </c>
      <c r="E80" s="3">
        <v>10</v>
      </c>
      <c r="F80" s="3">
        <v>20</v>
      </c>
      <c r="G80" s="3">
        <v>20</v>
      </c>
      <c r="J80" s="3">
        <v>5</v>
      </c>
      <c r="K80" s="3">
        <v>10</v>
      </c>
      <c r="L80" s="4">
        <v>11</v>
      </c>
      <c r="N80" s="11" t="str">
        <f>IF(D80="","",I80*100/D80)</f>
        <v/>
      </c>
      <c r="O80" s="11">
        <f>IF(E80="","",J80*100/E80)</f>
        <v>50</v>
      </c>
      <c r="P80" s="11">
        <f>IF(F80="","",K80*100/F80)</f>
        <v>50</v>
      </c>
      <c r="Q80" s="11">
        <f>IF(G80="","",L80*100/G80)</f>
        <v>55</v>
      </c>
      <c r="T80" s="3" t="str">
        <f>IF(O80&gt;=$E$10,"1","0")</f>
        <v>0</v>
      </c>
      <c r="U80" s="3" t="str">
        <f>IF(P80&gt;=$E$10,"1","0")</f>
        <v>0</v>
      </c>
      <c r="V80" s="3" t="str">
        <f>IF(Q80&gt;=$E$10,"1","0")</f>
        <v>0</v>
      </c>
      <c r="W80" s="3">
        <f>Theory!E70</f>
        <v>26</v>
      </c>
    </row>
    <row r="81" ht="15.75" customHeight="1">
      <c r="A81" s="3">
        <f>Theory!A71</f>
        <v>66</v>
      </c>
      <c r="B81" s="3" t="str">
        <f>Theory!B71</f>
        <v>7376241EE506</v>
      </c>
      <c r="E81" s="3">
        <v>10</v>
      </c>
      <c r="F81" s="3">
        <v>20</v>
      </c>
      <c r="G81" s="3">
        <v>20</v>
      </c>
      <c r="J81" s="3">
        <v>6</v>
      </c>
      <c r="K81" s="3">
        <v>13</v>
      </c>
      <c r="L81" s="4">
        <v>13</v>
      </c>
      <c r="N81" s="11" t="str">
        <f>IF(D81="","",I81*100/D81)</f>
        <v/>
      </c>
      <c r="O81" s="11">
        <f>IF(E81="","",J81*100/E81)</f>
        <v>60</v>
      </c>
      <c r="P81" s="11">
        <f>IF(F81="","",K81*100/F81)</f>
        <v>65</v>
      </c>
      <c r="Q81" s="11">
        <f>IF(G81="","",L81*100/G81)</f>
        <v>65</v>
      </c>
      <c r="T81" s="3" t="str">
        <f>IF(O81&gt;=$E$10,"1","0")</f>
        <v>1</v>
      </c>
      <c r="U81" s="3" t="str">
        <f>IF(P81&gt;=$E$10,"1","0")</f>
        <v>1</v>
      </c>
      <c r="V81" s="3" t="str">
        <f>IF(Q81&gt;=$E$10,"1","0")</f>
        <v>1</v>
      </c>
      <c r="W81" s="3">
        <f>Theory!E71</f>
        <v>32</v>
      </c>
    </row>
    <row r="82" hidden="1" ht="15.75" customHeight="1"/>
    <row r="83" hidden="1" ht="15.75" customHeight="1"/>
    <row r="84" hidden="1" ht="15.75" customHeight="1"/>
    <row r="85" hidden="1" ht="15.75" customHeight="1"/>
    <row r="86" hidden="1" ht="15.75" customHeight="1"/>
    <row r="87" hidden="1" ht="15.75" customHeight="1"/>
    <row r="88" hidden="1" ht="15.75" customHeight="1"/>
    <row r="89" hidden="1" ht="15.75" customHeight="1"/>
    <row r="90" hidden="1" ht="15.75" customHeight="1"/>
    <row r="91" hidden="1" ht="15.75" customHeight="1"/>
    <row r="92" hidden="1" ht="15.75" customHeight="1"/>
    <row r="93" hidden="1" ht="15.75" customHeight="1"/>
    <row r="94" hidden="1" ht="15.75" customHeight="1"/>
    <row r="95" hidden="1" ht="15.75" customHeight="1"/>
    <row r="96" hidden="1" ht="15.75" customHeight="1"/>
    <row r="97" hidden="1" ht="15.75" customHeight="1"/>
    <row r="98" hidden="1" ht="15.75" customHeight="1"/>
    <row r="99" hidden="1" ht="15.75" customHeight="1"/>
    <row r="100" hidden="1" ht="15.75" customHeight="1"/>
    <row r="101" hidden="1" ht="15.75" customHeight="1"/>
    <row r="102" hidden="1" ht="15.75" customHeight="1"/>
    <row r="103" hidden="1" ht="15.75" customHeight="1"/>
    <row r="104" hidden="1" ht="15.75" customHeight="1"/>
    <row r="105" hidden="1" ht="15.75" customHeight="1"/>
    <row r="106" hidden="1" ht="15.75" customHeight="1"/>
    <row r="107" hidden="1" ht="15.75" customHeight="1"/>
    <row r="108" hidden="1" ht="15.75" customHeight="1"/>
    <row r="109" hidden="1" ht="15.75" customHeight="1"/>
    <row r="110" hidden="1" ht="15.75" customHeight="1"/>
    <row r="111" hidden="1" ht="15.75" customHeight="1"/>
    <row r="112" hidden="1" ht="15.75" customHeight="1"/>
    <row r="113" hidden="1" ht="15.75" customHeight="1"/>
    <row r="114" hidden="1" ht="15.75" customHeight="1"/>
    <row r="115" hidden="1" ht="15.75" customHeight="1"/>
    <row r="116" hidden="1" ht="15.75" customHeight="1"/>
    <row r="117" hidden="1" ht="15.75" customHeight="1"/>
    <row r="118" hidden="1" ht="15.75" customHeight="1"/>
    <row r="119" hidden="1" ht="15.75" customHeight="1"/>
    <row r="120" hidden="1" ht="15.75" customHeight="1"/>
    <row r="121" hidden="1" ht="15.75" customHeight="1"/>
    <row r="122" hidden="1" ht="15.75" customHeight="1"/>
    <row r="123" hidden="1" ht="15.75" customHeight="1"/>
    <row r="124" hidden="1" ht="15.75" customHeight="1"/>
    <row r="125" hidden="1" ht="15.75" customHeight="1"/>
    <row r="126" hidden="1" ht="15.75" customHeight="1"/>
    <row r="127" hidden="1" ht="15.75" customHeight="1"/>
    <row r="128" hidden="1" ht="15.75" customHeight="1"/>
    <row r="129" hidden="1" ht="15.75" customHeight="1"/>
    <row r="130" hidden="1" ht="15.75" customHeight="1"/>
    <row r="131" hidden="1" ht="15.75" customHeight="1"/>
    <row r="132" hidden="1" ht="15.75" customHeight="1"/>
    <row r="133" hidden="1" ht="15.75" customHeight="1"/>
    <row r="134" hidden="1" ht="15.75" customHeight="1"/>
    <row r="135" hidden="1" ht="15.75" customHeight="1"/>
    <row r="136" hidden="1" ht="15.75" customHeight="1"/>
    <row r="137" hidden="1" ht="15.75" customHeight="1"/>
    <row r="138" hidden="1" ht="15.75" customHeight="1"/>
    <row r="139" hidden="1" ht="15.75" customHeight="1"/>
    <row r="140" hidden="1" ht="15.75" customHeight="1"/>
    <row r="141" hidden="1" ht="15.75" customHeight="1"/>
    <row r="142" hidden="1" ht="15.75" customHeight="1"/>
    <row r="143" hidden="1" ht="15.75" customHeight="1"/>
    <row r="144" hidden="1" ht="15.75" customHeight="1"/>
    <row r="145" hidden="1" ht="15.75" customHeight="1"/>
    <row r="146" hidden="1" ht="15.75" customHeight="1"/>
    <row r="147" hidden="1" ht="15.75" customHeight="1"/>
    <row r="148" hidden="1" ht="15.75" customHeight="1"/>
    <row r="149" hidden="1" ht="15.75" customHeight="1"/>
    <row r="150" hidden="1" ht="15.75" customHeight="1"/>
    <row r="151" hidden="1" ht="15.75" customHeight="1"/>
    <row r="152" hidden="1" ht="15.75" customHeight="1"/>
    <row r="153" hidden="1" ht="15.75" customHeight="1"/>
    <row r="154" hidden="1" ht="15.75" customHeight="1"/>
    <row r="155" hidden="1" ht="15.75" customHeight="1"/>
    <row r="156" hidden="1" ht="15.75" customHeight="1"/>
    <row r="157" hidden="1" ht="15.75" customHeight="1"/>
    <row r="158" hidden="1" ht="15.75" customHeight="1"/>
    <row r="159" hidden="1" ht="15.75" customHeight="1"/>
    <row r="160" hidden="1" ht="15.75" customHeight="1"/>
    <row r="161" hidden="1" ht="15.75" customHeight="1"/>
    <row r="162" hidden="1" ht="15.75" customHeight="1"/>
    <row r="163" hidden="1" ht="15.75" customHeight="1"/>
    <row r="164" hidden="1" ht="15.75" customHeight="1"/>
    <row r="165" hidden="1" ht="15.75" customHeight="1"/>
    <row r="166" hidden="1" ht="15.75" customHeight="1"/>
    <row r="167" hidden="1" ht="15.75" customHeight="1"/>
    <row r="168" hidden="1" ht="15.75" customHeight="1"/>
    <row r="169" hidden="1" ht="15.75" customHeight="1"/>
    <row r="170" hidden="1" ht="15.75" customHeight="1"/>
    <row r="171" hidden="1" ht="15.75" customHeight="1"/>
    <row r="172" hidden="1" ht="15.75" customHeight="1"/>
    <row r="173" hidden="1" ht="15.75" customHeight="1"/>
    <row r="174" hidden="1" ht="15.75" customHeight="1"/>
    <row r="175" hidden="1" ht="15.75" customHeight="1"/>
    <row r="176" hidden="1" ht="15.75" customHeight="1"/>
    <row r="177" hidden="1" ht="15.75" customHeight="1"/>
    <row r="178" hidden="1" ht="15.75" customHeight="1"/>
    <row r="179" hidden="1" ht="15.75" customHeight="1"/>
    <row r="180" hidden="1" ht="15.75" customHeight="1"/>
    <row r="181" hidden="1" ht="15.75" customHeight="1"/>
    <row r="182" hidden="1" ht="15.75" customHeight="1"/>
    <row r="183" hidden="1" ht="15.75" customHeight="1"/>
    <row r="184" hidden="1" ht="15.75" customHeight="1"/>
    <row r="185" hidden="1" ht="15.75" customHeight="1"/>
    <row r="186" hidden="1" ht="15.75" customHeight="1"/>
    <row r="187" hidden="1" ht="15.75" customHeight="1"/>
    <row r="188" hidden="1" ht="15.75" customHeight="1"/>
    <row r="189" hidden="1" ht="15.75" customHeight="1"/>
    <row r="190" hidden="1" ht="15.75" customHeight="1"/>
    <row r="191" hidden="1" ht="15.75" customHeight="1"/>
    <row r="192" hidden="1" ht="15.75" customHeight="1"/>
    <row r="193" hidden="1" ht="15.75" customHeight="1"/>
    <row r="194" hidden="1" ht="15.75" customHeight="1"/>
    <row r="195" hidden="1" ht="15.75" customHeight="1"/>
    <row r="196" hidden="1" ht="15.75" customHeight="1"/>
    <row r="197" hidden="1" ht="15.75" customHeight="1"/>
    <row r="198" hidden="1" ht="15.75" customHeight="1"/>
    <row r="199" hidden="1" ht="15.75" customHeight="1"/>
    <row r="200" hidden="1" ht="15.75" customHeight="1"/>
    <row r="201" hidden="1" ht="15.75" customHeight="1"/>
    <row r="202" hidden="1" ht="15.75" customHeight="1"/>
    <row r="203" hidden="1" ht="15.75" customHeight="1"/>
    <row r="204" hidden="1" ht="15.75" customHeight="1"/>
    <row r="205" hidden="1" ht="15.75" customHeight="1"/>
    <row r="206" hidden="1" ht="15.75" customHeight="1"/>
    <row r="207" hidden="1" ht="15.75" customHeight="1"/>
    <row r="208" hidden="1" ht="15.75" customHeight="1"/>
    <row r="209" hidden="1" ht="15.75" customHeight="1"/>
    <row r="210" hidden="1" ht="15.75" customHeight="1"/>
    <row r="211" hidden="1" ht="15.75" customHeight="1"/>
    <row r="212" hidden="1" ht="15.75" customHeight="1"/>
    <row r="213" hidden="1" ht="15.75" customHeight="1"/>
    <row r="214" hidden="1" ht="15.75" customHeight="1"/>
    <row r="215" hidden="1" ht="15.75" customHeight="1"/>
    <row r="216" hidden="1" ht="15.75" customHeight="1"/>
    <row r="217" hidden="1" ht="15.75" customHeight="1"/>
    <row r="218" hidden="1" ht="15.75" customHeight="1"/>
    <row r="219" hidden="1" ht="15.75" customHeight="1"/>
    <row r="220" hidden="1" ht="15.75" customHeight="1"/>
    <row r="221" hidden="1" ht="15.75" customHeight="1"/>
    <row r="222" hidden="1" ht="15.75" customHeight="1"/>
    <row r="223" hidden="1" ht="15.75" customHeight="1"/>
    <row r="224" hidden="1" ht="15.75" customHeight="1"/>
    <row r="225" hidden="1" ht="15.75" customHeight="1"/>
    <row r="226" hidden="1" ht="15.75" customHeight="1"/>
    <row r="227" hidden="1" ht="15.75" customHeight="1"/>
    <row r="228" hidden="1" ht="15.75" customHeight="1"/>
    <row r="229" hidden="1" ht="15.75" customHeight="1"/>
    <row r="230" hidden="1" ht="15.75" customHeight="1"/>
    <row r="231" hidden="1" ht="15.75" customHeight="1"/>
    <row r="232" hidden="1" ht="15.75" customHeight="1"/>
    <row r="233" hidden="1" ht="15.75" customHeight="1"/>
    <row r="234" hidden="1" ht="15.75" customHeight="1"/>
    <row r="235" hidden="1" ht="15.75" customHeight="1"/>
    <row r="236" hidden="1" ht="15.75" customHeight="1"/>
    <row r="237" hidden="1" ht="15.75" customHeight="1"/>
    <row r="238" hidden="1" ht="15.75" customHeight="1"/>
    <row r="239" hidden="1" ht="15.75" customHeight="1"/>
    <row r="240" hidden="1" ht="15.75" customHeight="1"/>
    <row r="241" hidden="1" ht="15.75" customHeight="1"/>
    <row r="242" hidden="1" ht="15.75" customHeight="1"/>
    <row r="243" hidden="1" ht="15.75" customHeight="1"/>
    <row r="244" hidden="1" ht="15.75" customHeight="1"/>
    <row r="245" hidden="1" ht="15.75" customHeight="1"/>
    <row r="246" hidden="1" ht="15.75" customHeight="1"/>
    <row r="247" hidden="1" ht="15.75" customHeight="1"/>
    <row r="248" hidden="1" ht="15.75" customHeight="1"/>
    <row r="249" hidden="1" ht="15.75" customHeight="1"/>
    <row r="250" hidden="1" ht="15.75" customHeight="1"/>
    <row r="251" hidden="1" ht="15.75" customHeight="1"/>
    <row r="252" hidden="1" ht="15.75" customHeight="1"/>
    <row r="253" hidden="1" ht="15.75" customHeight="1"/>
    <row r="254" hidden="1" ht="15.75" customHeight="1"/>
    <row r="255" hidden="1" ht="15.75" customHeight="1"/>
    <row r="256" hidden="1" ht="15.75" customHeight="1"/>
    <row r="257" hidden="1" ht="15.75" customHeight="1"/>
    <row r="258" hidden="1" ht="15.75" customHeight="1"/>
    <row r="259" hidden="1" ht="15.75" customHeight="1"/>
    <row r="260" hidden="1" ht="15.75" customHeight="1"/>
    <row r="261" hidden="1" ht="15.75" customHeight="1"/>
    <row r="262" hidden="1" ht="15.75" customHeight="1"/>
    <row r="263" hidden="1" ht="15.75" customHeight="1"/>
    <row r="264" hidden="1" ht="15.75" customHeight="1"/>
    <row r="265" hidden="1" ht="15.75" customHeight="1"/>
    <row r="266" hidden="1" ht="15.75" customHeight="1"/>
    <row r="267" hidden="1" ht="15.75" customHeight="1"/>
    <row r="268" hidden="1" ht="15.75" customHeight="1"/>
    <row r="269" hidden="1" ht="15.75" customHeight="1"/>
    <row r="270" hidden="1" ht="15.75" customHeight="1"/>
    <row r="271" hidden="1" ht="15.75" customHeight="1"/>
    <row r="272" hidden="1" ht="15.75" customHeight="1"/>
    <row r="273" hidden="1" ht="15.75" customHeight="1"/>
    <row r="274" hidden="1" ht="15.75" customHeight="1"/>
    <row r="275" hidden="1" ht="15.75" customHeight="1"/>
    <row r="276" hidden="1" ht="15.75" customHeight="1"/>
    <row r="277" hidden="1" ht="15.75" customHeight="1"/>
    <row r="278" hidden="1" ht="15.75" customHeight="1"/>
    <row r="279" hidden="1" ht="15.75" customHeight="1"/>
    <row r="280" hidden="1" ht="15.75" customHeight="1"/>
    <row r="281" hidden="1" ht="15.75" customHeight="1"/>
    <row r="282" hidden="1" ht="15.75" customHeight="1"/>
    <row r="283" hidden="1" ht="15.75" customHeight="1"/>
    <row r="284" hidden="1" ht="15.75" customHeight="1"/>
    <row r="285" hidden="1" ht="15.75" customHeight="1"/>
    <row r="286" hidden="1" ht="15.75" customHeight="1"/>
    <row r="287" hidden="1" ht="15.75" customHeight="1"/>
    <row r="288" hidden="1" ht="15.75" customHeight="1"/>
    <row r="289" hidden="1" ht="15.75" customHeight="1"/>
    <row r="290" hidden="1" ht="15.75" customHeight="1"/>
    <row r="291" hidden="1" ht="15.75" customHeight="1"/>
    <row r="292" hidden="1" ht="15.75" customHeight="1"/>
    <row r="293" hidden="1" ht="15.75" customHeight="1"/>
    <row r="294" hidden="1" ht="15.75" customHeight="1"/>
    <row r="295" hidden="1" ht="15.75" customHeight="1"/>
    <row r="296" hidden="1" ht="15.75" customHeight="1"/>
    <row r="297" hidden="1" ht="15.75" customHeight="1"/>
    <row r="298" hidden="1" ht="15.75" customHeight="1"/>
    <row r="299" hidden="1" ht="15.75" customHeight="1"/>
    <row r="300" hidden="1" ht="15.75" customHeight="1"/>
    <row r="301" hidden="1" ht="15.75" customHeight="1"/>
    <row r="302" hidden="1" ht="15.75" customHeight="1"/>
    <row r="303" hidden="1" ht="15.75" customHeight="1"/>
    <row r="304" hidden="1" ht="15.75" customHeight="1"/>
    <row r="305" hidden="1" ht="15.75" customHeight="1"/>
    <row r="306" hidden="1" ht="15.75" customHeight="1"/>
    <row r="307" hidden="1" ht="15.75" customHeight="1"/>
    <row r="308" hidden="1" ht="15.75" customHeight="1"/>
    <row r="309" hidden="1" ht="15.75" customHeight="1"/>
    <row r="310" hidden="1" ht="15.75" customHeight="1"/>
    <row r="311" hidden="1" ht="15.75" customHeight="1"/>
    <row r="312" hidden="1" ht="15.75" customHeight="1"/>
    <row r="313" hidden="1" ht="15.75" customHeight="1"/>
    <row r="314" hidden="1" ht="15.75" customHeight="1"/>
    <row r="315" hidden="1" ht="15.75" customHeight="1"/>
    <row r="316" hidden="1" ht="15.75" customHeight="1"/>
    <row r="317" hidden="1" ht="15.75" customHeight="1"/>
    <row r="318" hidden="1" ht="15.75" customHeight="1"/>
    <row r="319" hidden="1" ht="15.75" customHeight="1"/>
    <row r="320" hidden="1" ht="15.75" customHeight="1"/>
    <row r="321" hidden="1" ht="15.75" customHeight="1"/>
    <row r="322" hidden="1" ht="15.75" customHeight="1"/>
    <row r="323" hidden="1" ht="15.75" customHeight="1"/>
    <row r="324" hidden="1" ht="15.75" customHeight="1"/>
    <row r="325" hidden="1" ht="15.75" customHeight="1"/>
    <row r="326" hidden="1" ht="15.75" customHeight="1"/>
    <row r="327" hidden="1" ht="15.75" customHeight="1"/>
    <row r="328" hidden="1" ht="15.75" customHeight="1"/>
    <row r="329" hidden="1" ht="15.75" customHeight="1"/>
    <row r="330" hidden="1" ht="15.75" customHeight="1"/>
    <row r="331" hidden="1" ht="15.75" customHeight="1"/>
    <row r="332" hidden="1" ht="15.75" customHeight="1"/>
    <row r="333" hidden="1" ht="15.75" customHeight="1"/>
    <row r="334" hidden="1" ht="15.75" customHeight="1"/>
    <row r="335" hidden="1" ht="15.75" customHeight="1"/>
    <row r="336" hidden="1" ht="15.75" customHeight="1"/>
    <row r="337" hidden="1" ht="15.75" customHeight="1"/>
    <row r="338" hidden="1" ht="15.75" customHeight="1"/>
    <row r="339" hidden="1" ht="15.75" customHeight="1"/>
    <row r="340" hidden="1" ht="15.75" customHeight="1"/>
    <row r="341" hidden="1" ht="15.75" customHeight="1"/>
    <row r="342" hidden="1" ht="15.75" customHeight="1"/>
    <row r="343" hidden="1" ht="15.75" customHeight="1"/>
    <row r="344" hidden="1" ht="15.75" customHeight="1"/>
    <row r="345" hidden="1" ht="15.75" customHeight="1"/>
    <row r="346" hidden="1" ht="15.75" customHeight="1"/>
    <row r="347" hidden="1" ht="15.75" customHeight="1"/>
    <row r="348" hidden="1" ht="15.75" customHeight="1"/>
    <row r="349" hidden="1" ht="15.75" customHeight="1"/>
    <row r="350" hidden="1" ht="15.75" customHeight="1"/>
    <row r="351" hidden="1" ht="15.75" customHeight="1"/>
    <row r="352" hidden="1" ht="15.75" customHeight="1"/>
    <row r="353" hidden="1" ht="15.75" customHeight="1"/>
    <row r="354" hidden="1" ht="15.75" customHeight="1"/>
    <row r="355" hidden="1" ht="15.75" customHeight="1"/>
    <row r="356" hidden="1" ht="15.75" customHeight="1"/>
    <row r="357" hidden="1" ht="15.75" customHeight="1"/>
    <row r="358" hidden="1" ht="15.75" customHeight="1"/>
    <row r="359" hidden="1" ht="15.75" customHeight="1"/>
    <row r="360" hidden="1" ht="15.75" customHeight="1"/>
    <row r="361" hidden="1" ht="15.75" customHeight="1"/>
    <row r="362" hidden="1" ht="15.75" customHeight="1"/>
    <row r="363" hidden="1" ht="15.75" customHeight="1"/>
    <row r="364" hidden="1" ht="15.75" customHeight="1"/>
    <row r="365" hidden="1" ht="15.75" customHeight="1"/>
    <row r="366" hidden="1" ht="15.75" customHeight="1"/>
    <row r="367" hidden="1" ht="15.75" customHeight="1"/>
    <row r="368" hidden="1" ht="15.75" customHeight="1"/>
    <row r="369" hidden="1" ht="15.75" customHeight="1"/>
    <row r="370" hidden="1" ht="15.75" customHeight="1"/>
    <row r="371" hidden="1" ht="15.75" customHeight="1"/>
    <row r="372" hidden="1" ht="15.75" customHeight="1"/>
    <row r="373" hidden="1" ht="15.75" customHeight="1"/>
    <row r="374" hidden="1" ht="15.75" customHeight="1"/>
    <row r="375" hidden="1" ht="15.75" customHeight="1"/>
    <row r="376" hidden="1" ht="15.75" customHeight="1"/>
    <row r="377" hidden="1" ht="15.75" customHeight="1"/>
    <row r="378" hidden="1" ht="15.75" customHeight="1"/>
    <row r="379" hidden="1" ht="15.75" customHeight="1"/>
    <row r="380" hidden="1" ht="15.75" customHeight="1"/>
    <row r="381" hidden="1" ht="15.75" customHeight="1"/>
    <row r="382" hidden="1" ht="15.75" customHeight="1"/>
    <row r="383" hidden="1" ht="15.75" customHeight="1"/>
    <row r="384" hidden="1" ht="15.75" customHeight="1"/>
    <row r="385" hidden="1" ht="15.75" customHeight="1"/>
    <row r="386" hidden="1" ht="15.75" customHeight="1"/>
    <row r="387" hidden="1" ht="15.75" customHeight="1"/>
    <row r="388" hidden="1" ht="15.75" customHeight="1"/>
    <row r="389" hidden="1" ht="15.75" customHeight="1"/>
    <row r="390" hidden="1" ht="15.75" customHeight="1"/>
    <row r="391" hidden="1" ht="15.75" customHeight="1"/>
    <row r="392" hidden="1" ht="15.75" customHeight="1"/>
    <row r="393" hidden="1" ht="15.75" customHeight="1"/>
    <row r="394" hidden="1" ht="15.75" customHeight="1"/>
    <row r="395" hidden="1" ht="15.75" customHeight="1"/>
    <row r="396" hidden="1" ht="15.75" customHeight="1"/>
    <row r="397" hidden="1" ht="15.75" customHeight="1"/>
    <row r="398" hidden="1" ht="15.75" customHeight="1"/>
    <row r="399" hidden="1" ht="15.75" customHeight="1"/>
    <row r="400" hidden="1" ht="15.75" customHeight="1"/>
    <row r="401" hidden="1" ht="15.75" customHeight="1"/>
    <row r="402" hidden="1" ht="15.75" customHeight="1"/>
    <row r="403" hidden="1" ht="15.75" customHeight="1"/>
    <row r="404" hidden="1" ht="15.75" customHeight="1"/>
    <row r="405" hidden="1" ht="15.75" customHeight="1"/>
    <row r="406" hidden="1" ht="15.75" customHeight="1"/>
    <row r="407" hidden="1" ht="15.75" customHeight="1"/>
    <row r="408" hidden="1" ht="15.75" customHeight="1"/>
    <row r="409" hidden="1" ht="15.75" customHeight="1"/>
    <row r="410" hidden="1" ht="15.75" customHeight="1"/>
    <row r="411" hidden="1" ht="15.75" customHeight="1"/>
    <row r="412" hidden="1" ht="15.75" customHeight="1"/>
    <row r="413" hidden="1" ht="15.75" customHeight="1"/>
    <row r="414" hidden="1" ht="15.75" customHeight="1"/>
    <row r="415" hidden="1" ht="15.75" customHeight="1"/>
    <row r="416" hidden="1" ht="15.75" customHeight="1"/>
    <row r="417" hidden="1" ht="15.75" customHeight="1"/>
    <row r="418" hidden="1" ht="15.75" customHeight="1"/>
    <row r="419" hidden="1" ht="15.75" customHeight="1"/>
    <row r="420" hidden="1" ht="15.75" customHeight="1"/>
    <row r="421" hidden="1" ht="15.75" customHeight="1"/>
    <row r="422" hidden="1" ht="15.75" customHeight="1"/>
    <row r="423" hidden="1" ht="15.75" customHeight="1"/>
    <row r="424" hidden="1" ht="15.75" customHeight="1"/>
    <row r="425" hidden="1" ht="15.75" customHeight="1"/>
    <row r="426" hidden="1" ht="15.75" customHeight="1"/>
    <row r="427" hidden="1" ht="15.75" customHeight="1"/>
    <row r="428" hidden="1" ht="15.75" customHeight="1"/>
    <row r="429" hidden="1" ht="15.75" customHeight="1"/>
    <row r="430" hidden="1" ht="15.75" customHeight="1"/>
    <row r="431" hidden="1" ht="15.75" customHeight="1"/>
    <row r="432" hidden="1" ht="15.75" customHeight="1"/>
    <row r="433" hidden="1" ht="15.75" customHeight="1"/>
    <row r="434" hidden="1" ht="15.75" customHeight="1"/>
    <row r="435" hidden="1" ht="15.75" customHeight="1"/>
    <row r="436" hidden="1" ht="15.75" customHeight="1"/>
    <row r="437" hidden="1" ht="15.75" customHeight="1"/>
    <row r="438" hidden="1" ht="15.75" customHeight="1"/>
    <row r="439" hidden="1" ht="15.75" customHeight="1"/>
    <row r="440" hidden="1" ht="15.75" customHeight="1"/>
    <row r="441" hidden="1" ht="15.75" customHeight="1"/>
    <row r="442" hidden="1" ht="15.75" customHeight="1"/>
    <row r="443" hidden="1" ht="15.75" customHeight="1"/>
    <row r="444" hidden="1" ht="15.75" customHeight="1"/>
    <row r="445" hidden="1" ht="15.75" customHeight="1"/>
    <row r="446" hidden="1" ht="15.75" customHeight="1"/>
    <row r="447" hidden="1" ht="15.75" customHeight="1"/>
    <row r="448" hidden="1" ht="15.75" customHeight="1"/>
    <row r="449" hidden="1" ht="15.75" customHeight="1"/>
    <row r="450" hidden="1" ht="15.75" customHeight="1"/>
    <row r="451" hidden="1" ht="15.75" customHeight="1"/>
    <row r="452" hidden="1" ht="15.75" customHeight="1"/>
    <row r="453" hidden="1" ht="15.75" customHeight="1"/>
    <row r="454" hidden="1" ht="15.75" customHeight="1"/>
    <row r="455" hidden="1" ht="15.75" customHeight="1"/>
    <row r="456" hidden="1" ht="15.75" customHeight="1"/>
    <row r="457" hidden="1" ht="15.75" customHeight="1"/>
    <row r="458" hidden="1" ht="15.75" customHeight="1"/>
    <row r="459" hidden="1" ht="15.75" customHeight="1"/>
    <row r="460" hidden="1" ht="15.75" customHeight="1"/>
    <row r="461" hidden="1" ht="15.75" customHeight="1"/>
    <row r="462" hidden="1" ht="15.75" customHeight="1"/>
    <row r="463" hidden="1" ht="15.75" customHeight="1"/>
    <row r="464" hidden="1" ht="15.75" customHeight="1"/>
    <row r="465" hidden="1" ht="15.75" customHeight="1"/>
    <row r="466" hidden="1" ht="15.75" customHeight="1"/>
    <row r="467" hidden="1" ht="15.75" customHeight="1"/>
    <row r="468" hidden="1" ht="15.75" customHeight="1"/>
    <row r="469" hidden="1" ht="15.75" customHeight="1"/>
    <row r="470" hidden="1" ht="15.75" customHeight="1"/>
    <row r="471" hidden="1" ht="15.75" customHeight="1"/>
    <row r="472" hidden="1" ht="15.75" customHeight="1"/>
  </sheetData>
  <mergeCells count="27">
    <mergeCell ref="R14:V14"/>
    <mergeCell ref="A11:D11"/>
    <mergeCell ref="E11:F11"/>
    <mergeCell ref="L11:Q11"/>
    <mergeCell ref="A12:D12"/>
    <mergeCell ref="E12:F12"/>
    <mergeCell ref="L12:Q12"/>
    <mergeCell ref="A14:A15"/>
    <mergeCell ref="A10:D10"/>
    <mergeCell ref="E10:F10"/>
    <mergeCell ref="L10:Q10"/>
    <mergeCell ref="B14:B15"/>
    <mergeCell ref="C14:G14"/>
    <mergeCell ref="H14:L14"/>
    <mergeCell ref="M14:Q14"/>
    <mergeCell ref="A6:V6"/>
    <mergeCell ref="L7:V7"/>
    <mergeCell ref="A7:A9"/>
    <mergeCell ref="B7:K9"/>
    <mergeCell ref="L8:Q8"/>
    <mergeCell ref="L9:Q9"/>
    <mergeCell ref="A1:V1"/>
    <mergeCell ref="A2:V2"/>
    <mergeCell ref="A4:B4"/>
    <mergeCell ref="E4:F4"/>
    <mergeCell ref="H4:J4"/>
    <mergeCell ref="K4:Q4"/>
  </mergeCells>
  <pageMargins left="0.7" right="0.7" top="0.75" bottom="0.75" header="0" footer="0"/>
  <ignoredErrors>
    <ignoredError numberStoredAsText="1" sqref="A1:Z47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542"/>
  <sheetViews>
    <sheetView workbookViewId="0" rightToLeft="0"/>
  </sheetViews>
  <cols>
    <col min="1" max="1" customWidth="1" width="6.140625"/>
    <col min="2" max="2" customWidth="1" width="19"/>
    <col min="3" max="3" customWidth="1" width="8"/>
    <col min="4" max="4" customWidth="1" width="8"/>
    <col min="5" max="5" customWidth="1" width="8"/>
    <col min="6" max="6" customWidth="1" width="8"/>
    <col min="7" max="7" customWidth="1" width="8"/>
    <col min="8" max="8" customWidth="1" width="8"/>
    <col min="9" max="9" customWidth="1" width="8"/>
    <col min="10" max="10" customWidth="1" width="9.28515625"/>
    <col min="11" max="11" customWidth="1" width="8"/>
    <col min="12" max="12" customWidth="1" width="8"/>
    <col min="13" max="13" customWidth="1" width="8"/>
    <col min="14" max="14" customWidth="1" width="8"/>
    <col min="15" max="15" customWidth="1" width="8"/>
    <col min="16" max="16" customWidth="1" width="8"/>
    <col min="17" max="17" customWidth="1" width="8"/>
    <col min="18" max="18" customWidth="1" width="8"/>
    <col min="19" max="19" customWidth="1" width="8"/>
    <col min="20" max="20" customWidth="1" width="8"/>
    <col min="21" max="21" customWidth="1" width="8"/>
    <col min="22" max="22" customWidth="1" width="8"/>
    <col min="23" max="23" customWidth="1" width="14.42578125"/>
    <col min="24" max="24" customWidth="1" width="14.42578125"/>
    <col min="25" max="25" customWidth="1" width="8"/>
    <col min="26" max="26" customWidth="1" width="8"/>
  </cols>
  <sheetData>
    <row r="1" ht="26.25" customHeight="1">
      <c r="A1" s="3">
        <f>'Final Attainment'!A1:V1</f>
        <v>0</v>
      </c>
    </row>
    <row r="2" ht="19.5" customHeight="1">
      <c r="A2" s="3">
        <f>'Final Attainment'!A2:V2</f>
        <v>0</v>
      </c>
    </row>
    <row r="3" ht="15.75" customHeight="1"/>
    <row r="4" ht="39" customHeight="1">
      <c r="A4" s="3" t="str">
        <v>Academic Year:</v>
      </c>
      <c r="C4" s="3" t="str">
        <f>'Final Attainment'!C4</f>
        <v>2024-2025 EVEN</v>
      </c>
      <c r="E4" s="3" t="str">
        <v>Sem &amp; Year:</v>
      </c>
      <c r="G4" s="3" t="str">
        <f>'Final Attainment'!G4</f>
        <v>IV &amp; II</v>
      </c>
      <c r="H4" s="3" t="str">
        <v>Course Code &amp; Title:</v>
      </c>
      <c r="K4" s="3" t="str">
        <f>'Final Attainment'!K4:Q4</f>
        <v>22EE401 &amp; POWER GENERATION, TRANSMISSION AND DISTRIBUTION</v>
      </c>
      <c r="R4" s="3" t="str">
        <v>Faculty:</v>
      </c>
      <c r="S4" s="3" t="str">
        <f>'Final Attainment'!S4</f>
        <v>Dr.SIVARAMAN P / EE1329</v>
      </c>
    </row>
    <row r="5" ht="16.5" customHeight="1"/>
    <row r="6" ht="28.5" customHeight="1">
      <c r="A6" s="4" t="str">
        <v>IP1</v>
      </c>
    </row>
    <row r="7" ht="28.5" customHeight="1" xml:space="preserve">
      <c r="A7" s="4" t="str">
        <v>Scale</v>
      </c>
      <c r="B7" s="4" t="str" xml:space="preserve">
        <f>'Final Attainment'!X1</f>
        <v xml:space="preserve">CO Attainment Level 0: &lt;50% of students scoring less than the target marks_x000d_
CO Attainment Level 1: 50% of students scoring more than the target marks_x000d_
CO Attainment Level 2: 60% of students scoring more than the target marks_x000d_
CO Attainment Level 3: 70% of students scoring more than the target marks</v>
      </c>
      <c r="L7" s="4" t="str">
        <v>CO Attainment Summary</v>
      </c>
    </row>
    <row r="8" ht="15.75" customHeight="1">
      <c r="R8" s="4" t="str">
        <v>CO1</v>
      </c>
      <c r="S8" s="4" t="str">
        <v>CO2</v>
      </c>
      <c r="T8" s="4" t="str">
        <v>CO3</v>
      </c>
      <c r="U8" s="4" t="str">
        <v>CO4</v>
      </c>
      <c r="V8" s="4" t="str">
        <v>CO5</v>
      </c>
    </row>
    <row r="9" ht="16.5" customHeight="1">
      <c r="L9" s="4" t="str">
        <v>Total No. of Students</v>
      </c>
      <c r="R9" s="4">
        <f>COUNTIF(H16:H542,"&gt;=0")</f>
        <v>66</v>
      </c>
      <c r="S9" s="4">
        <f>COUNTIF(I16:I542,"&gt;=0")</f>
        <v>0</v>
      </c>
      <c r="T9" s="4">
        <f>COUNTIF(J16:J542,"&gt;=0")</f>
        <v>0</v>
      </c>
      <c r="U9" s="4">
        <f>COUNTIF(K16:K542,"&gt;=0")</f>
        <v>0</v>
      </c>
      <c r="V9" s="4">
        <f>COUNTIF(L16:L542,"&gt;=0")</f>
        <v>0</v>
      </c>
    </row>
    <row r="10" ht="15.75" customHeight="1">
      <c r="A10" s="4" t="str">
        <v>Target CO%:</v>
      </c>
      <c r="E10" s="4">
        <f>'Final Attainment'!E7</f>
        <v>58</v>
      </c>
      <c r="L10" s="4" t="str">
        <v>Total No. of Students Achieved the Target CO%</v>
      </c>
      <c r="R10" s="4">
        <f>COUNTIF(M16:M542,"&gt;="&amp;$E$10)</f>
        <v>63</v>
      </c>
      <c r="S10" s="4">
        <f>COUNTIF(N16:N542,"&gt;="&amp;$E$10)</f>
        <v>0</v>
      </c>
      <c r="T10" s="4">
        <f>COUNTIF(O16:O542,"&gt;="&amp;$E$10)</f>
        <v>0</v>
      </c>
      <c r="U10" s="4">
        <f>COUNTIF(P16:P542,"&gt;="&amp;$E$10)</f>
        <v>0</v>
      </c>
      <c r="V10" s="4">
        <f>COUNTIF(Q16:Q542,"&gt;="&amp;$E$10)</f>
        <v>0</v>
      </c>
    </row>
    <row r="11" ht="15.75" customHeight="1">
      <c r="A11" s="4" t="str">
        <v>Total No. of Students:</v>
      </c>
      <c r="E11" s="4">
        <f>COUNTA(B16:B542)</f>
        <v>66</v>
      </c>
      <c r="L11" s="4" t="str">
        <v>Attainment Level</v>
      </c>
      <c r="R11" s="10">
        <f>IFERROR(__xludf.DUMMYFUNCTION("IF(R10=0,"""",if(CEILING(R10/R9*100)=100,query('Final Attainment'!$H$7:$J$12, ""select H where  I&lt;=""&amp;CEILING(R10/R9*100)&amp;"" and J&gt;=""&amp;CEILING(R10/R9*100)&amp;"""" ),query('Final Attainment'!$H$7:$J$12, ""select H where  I&lt;=""&amp;CEILING(R10/R9*100)&amp;"" and J&gt;""&amp;"&amp;"CEILING(R10/R9*100)&amp;"""" )))"),3)</f>
        <v>3</v>
      </c>
      <c r="S11" s="10" t="str">
        <f>IFERROR(__xludf.DUMMYFUNCTION("IF(S10=0,"""",if(CEILING(S10/S9*100)=100,query('Final Attainment'!$H$7:$J$12, ""select H where  I&lt;=""&amp;CEILING(S10/S9*100)&amp;"" and J&gt;=""&amp;CEILING(S10/S9*100)&amp;"""" ),query('Final Attainment'!$H$7:$J$12, ""select H where  I&lt;=""&amp;CEILING(S10/S9*100)&amp;"" and J&gt;""&amp;"&amp;"CEILING(S10/S9*100)&amp;"""" )))"),"")</f>
        <v/>
      </c>
      <c r="T11" s="10" t="str">
        <f>IFERROR(__xludf.DUMMYFUNCTION("IF(T10=0,"""",if(CEILING(T10/T9*100)=100,query('Final Attainment'!$H$7:$J$12, ""select H where  I&lt;=""&amp;CEILING(T10/T9*100)&amp;"" and J&gt;=""&amp;CEILING(T10/T9*100)&amp;"""" ),query('Final Attainment'!$H$7:$J$12, ""select H where  I&lt;=""&amp;CEILING(T10/T9*100)&amp;"" and J&gt;""&amp;"&amp;"CEILING(T10/T9*100)&amp;"""" )))"),"")</f>
        <v/>
      </c>
      <c r="U11" s="10" t="str">
        <f>IFERROR(__xludf.DUMMYFUNCTION("IF(U10=0,"""",if(CEILING(U10/U9*100)=100,query('Final Attainment'!$H$7:$J$12, ""select H where  I&lt;=""&amp;CEILING(U10/U9*100)&amp;"" and J&gt;=""&amp;CEILING(U10/U9*100)&amp;"""" ),query('Final Attainment'!$H$7:$J$12, ""select H where  I&lt;=""&amp;CEILING(U10/U9*100)&amp;"" and J&gt;""&amp;"&amp;"CEILING(U10/U9*100)&amp;"""" )))"),"")</f>
        <v/>
      </c>
      <c r="V11" s="10" t="str">
        <f>IFERROR(__xludf.DUMMYFUNCTION("IF(V10=0,"""",if(CEILING(V10/V9*100)=100,query('Final Attainment'!$H$7:$J$12, ""select H where  I&lt;=""&amp;CEILING(V10/V9*100)&amp;"" and J&gt;=""&amp;CEILING(V10/V9*100)&amp;"""" ),query('Final Attainment'!$H$7:$J$12, ""select H where  I&lt;=""&amp;CEILING(V10/V9*100)&amp;"" and J&gt;""&amp;"&amp;"CEILING(V10/V9*100)&amp;"""" )))"),"")</f>
        <v/>
      </c>
    </row>
    <row r="12" ht="16.5" customHeight="1">
      <c r="A12" s="4" t="str">
        <v>Total No. of Attended Students:</v>
      </c>
      <c r="E12" s="4">
        <f>R9</f>
        <v>66</v>
      </c>
      <c r="L12" s="4" t="str">
        <v>Total No. of Students who need Remedial Class</v>
      </c>
      <c r="R12" s="11">
        <f>R9-R10</f>
        <v>3</v>
      </c>
      <c r="S12" s="11">
        <f>S9-S10</f>
        <v>0</v>
      </c>
      <c r="T12" s="11">
        <f>T9-T10</f>
        <v>0</v>
      </c>
      <c r="U12" s="11">
        <f>U9-U10</f>
        <v>0</v>
      </c>
      <c r="V12" s="11">
        <f>V9-V10</f>
        <v>0</v>
      </c>
    </row>
    <row r="13" ht="15.75" customHeight="1"/>
    <row r="14" ht="15.75" customHeight="1">
      <c r="A14" s="12" t="str">
        <v>S.No</v>
      </c>
      <c r="B14" s="12" t="str">
        <v>Reg.No.</v>
      </c>
      <c r="C14" s="12" t="str">
        <v>MARKS ALLOCATED</v>
      </c>
      <c r="H14" s="12" t="str">
        <v>MARKS OBTAINED</v>
      </c>
      <c r="M14" s="12" t="str">
        <v>CO ATTAINMENT %</v>
      </c>
      <c r="R14" s="12" t="str">
        <v>ATTAINMENT of COs</v>
      </c>
      <c r="W14" s="12" t="str">
        <v>IP1</v>
      </c>
    </row>
    <row r="15" ht="15.75" customHeight="1">
      <c r="C15" s="12" t="str">
        <v>CO1</v>
      </c>
      <c r="D15" s="12" t="str">
        <v>CO2</v>
      </c>
      <c r="E15" s="12" t="str">
        <v>CO3</v>
      </c>
      <c r="F15" s="12" t="str">
        <v>CO4</v>
      </c>
      <c r="G15" s="12" t="str">
        <v>CO5</v>
      </c>
      <c r="H15" s="12" t="str">
        <v>CO1</v>
      </c>
      <c r="I15" s="12" t="str">
        <v>CO2</v>
      </c>
      <c r="J15" s="12" t="str">
        <v>CO3</v>
      </c>
      <c r="K15" s="12" t="str">
        <v>CO4</v>
      </c>
      <c r="L15" s="12" t="str">
        <v>CO5</v>
      </c>
      <c r="M15" s="12" t="str">
        <v>CO1</v>
      </c>
      <c r="N15" s="12" t="str">
        <v>CO2</v>
      </c>
      <c r="O15" s="12" t="str">
        <v>CO3</v>
      </c>
      <c r="P15" s="12" t="str">
        <v>CO4</v>
      </c>
      <c r="Q15" s="12" t="str">
        <v>CO5</v>
      </c>
      <c r="R15" s="12" t="str">
        <v>CO1</v>
      </c>
      <c r="S15" s="12" t="str">
        <v>CO2</v>
      </c>
      <c r="T15" s="12" t="str">
        <v>CO3</v>
      </c>
      <c r="U15" s="12" t="str">
        <v>CO4</v>
      </c>
      <c r="V15" s="12" t="str">
        <v>CO5</v>
      </c>
      <c r="W15" s="12" t="str">
        <v>Marks</v>
      </c>
    </row>
    <row r="16" ht="16.5" customHeight="1">
      <c r="A16" s="3">
        <f>Theory!A6</f>
        <v>1</v>
      </c>
      <c r="B16" s="3" t="str">
        <f>Theory!B6</f>
        <v>7376231EE102</v>
      </c>
      <c r="C16" s="3">
        <v>8</v>
      </c>
      <c r="H16" s="4">
        <v>8</v>
      </c>
      <c r="M16" s="11">
        <f>IF(C16="","",H16*100/C16)</f>
        <v>100</v>
      </c>
      <c r="N16" s="11" t="str">
        <f>IF(D16="","",I16*100/D16)</f>
        <v/>
      </c>
      <c r="O16" s="11" t="str">
        <f>IF(E16="","",J16*100/E16)</f>
        <v/>
      </c>
      <c r="P16" s="11" t="str">
        <f>IF(F16="","",K16*100/F16)</f>
        <v/>
      </c>
      <c r="Q16" s="11" t="str">
        <f>IF(G16="","",L16*100/G16)</f>
        <v/>
      </c>
      <c r="W16" s="3">
        <f>IP!D6</f>
        <v>8</v>
      </c>
    </row>
    <row r="17" ht="16.5" customHeight="1">
      <c r="A17" s="3">
        <f>Theory!A7</f>
        <v>2</v>
      </c>
      <c r="B17" s="3" t="str">
        <f>Theory!B7</f>
        <v>7376231EE103</v>
      </c>
      <c r="C17" s="3">
        <v>8</v>
      </c>
      <c r="H17" s="4">
        <v>8</v>
      </c>
      <c r="M17" s="11">
        <f>IF(C17="","",H17*100/C17)</f>
        <v>100</v>
      </c>
      <c r="N17" s="11" t="str">
        <f>IF(D17="","",I17*100/D17)</f>
        <v/>
      </c>
      <c r="O17" s="11" t="str">
        <f>IF(E17="","",J17*100/E17)</f>
        <v/>
      </c>
      <c r="P17" s="11" t="str">
        <f>IF(F17="","",K17*100/F17)</f>
        <v/>
      </c>
      <c r="Q17" s="11" t="str">
        <f>IF(G17="","",L17*100/G17)</f>
        <v/>
      </c>
      <c r="W17" s="3">
        <f>IP!D7</f>
        <v>8</v>
      </c>
    </row>
    <row r="18" ht="16.5" customHeight="1">
      <c r="A18" s="3">
        <f>Theory!A8</f>
        <v>3</v>
      </c>
      <c r="B18" s="3" t="str">
        <f>Theory!B8</f>
        <v>7376231EE104</v>
      </c>
      <c r="C18" s="3">
        <v>8</v>
      </c>
      <c r="H18" s="4">
        <v>5</v>
      </c>
      <c r="M18" s="11">
        <f>IF(C18="","",H18*100/C18)</f>
        <v>62.5</v>
      </c>
      <c r="N18" s="11" t="str">
        <f>IF(D18="","",I18*100/D18)</f>
        <v/>
      </c>
      <c r="O18" s="11" t="str">
        <f>IF(E18="","",J18*100/E18)</f>
        <v/>
      </c>
      <c r="P18" s="11" t="str">
        <f>IF(F18="","",K18*100/F18)</f>
        <v/>
      </c>
      <c r="Q18" s="11" t="str">
        <f>IF(G18="","",L18*100/G18)</f>
        <v/>
      </c>
      <c r="W18" s="3">
        <f>IP!D8</f>
        <v>5</v>
      </c>
    </row>
    <row r="19" ht="16.5" customHeight="1">
      <c r="A19" s="3">
        <f>Theory!A9</f>
        <v>4</v>
      </c>
      <c r="B19" s="3" t="str">
        <f>Theory!B9</f>
        <v>7376231EE105</v>
      </c>
      <c r="C19" s="3">
        <v>8</v>
      </c>
      <c r="H19" s="4">
        <v>8</v>
      </c>
      <c r="M19" s="11">
        <f>IF(C19="","",H19*100/C19)</f>
        <v>100</v>
      </c>
      <c r="N19" s="11" t="str">
        <f>IF(D19="","",I19*100/D19)</f>
        <v/>
      </c>
      <c r="O19" s="11" t="str">
        <f>IF(E19="","",J19*100/E19)</f>
        <v/>
      </c>
      <c r="P19" s="11" t="str">
        <f>IF(F19="","",K19*100/F19)</f>
        <v/>
      </c>
      <c r="Q19" s="11" t="str">
        <f>IF(G19="","",L19*100/G19)</f>
        <v/>
      </c>
      <c r="W19" s="3">
        <f>IP!D9</f>
        <v>8</v>
      </c>
    </row>
    <row r="20" ht="16.5" customHeight="1">
      <c r="A20" s="3">
        <f>Theory!A10</f>
        <v>5</v>
      </c>
      <c r="B20" s="3" t="str">
        <f>Theory!B10</f>
        <v>7376231EE106</v>
      </c>
      <c r="C20" s="3">
        <v>8</v>
      </c>
      <c r="H20" s="4">
        <v>7</v>
      </c>
      <c r="M20" s="11">
        <f>IF(C20="","",H20*100/C20)</f>
        <v>87.5</v>
      </c>
      <c r="N20" s="11" t="str">
        <f>IF(D20="","",I20*100/D20)</f>
        <v/>
      </c>
      <c r="O20" s="11" t="str">
        <f>IF(E20="","",J20*100/E20)</f>
        <v/>
      </c>
      <c r="P20" s="11" t="str">
        <f>IF(F20="","",K20*100/F20)</f>
        <v/>
      </c>
      <c r="Q20" s="11" t="str">
        <f>IF(G20="","",L20*100/G20)</f>
        <v/>
      </c>
      <c r="W20" s="3">
        <f>IP!D10</f>
        <v>7</v>
      </c>
    </row>
    <row r="21" ht="16.5" customHeight="1">
      <c r="A21" s="3">
        <f>Theory!A11</f>
        <v>6</v>
      </c>
      <c r="B21" s="3" t="str">
        <f>Theory!B11</f>
        <v>7376231EE107</v>
      </c>
      <c r="C21" s="3">
        <v>8</v>
      </c>
      <c r="H21" s="4">
        <v>8</v>
      </c>
      <c r="M21" s="11">
        <f>IF(C21="","",H21*100/C21)</f>
        <v>100</v>
      </c>
      <c r="N21" s="11" t="str">
        <f>IF(D21="","",I21*100/D21)</f>
        <v/>
      </c>
      <c r="O21" s="11" t="str">
        <f>IF(E21="","",J21*100/E21)</f>
        <v/>
      </c>
      <c r="P21" s="11" t="str">
        <f>IF(F21="","",K21*100/F21)</f>
        <v/>
      </c>
      <c r="Q21" s="11" t="str">
        <f>IF(G21="","",L21*100/G21)</f>
        <v/>
      </c>
      <c r="W21" s="3">
        <f>IP!D11</f>
        <v>8</v>
      </c>
    </row>
    <row r="22" ht="16.5" customHeight="1">
      <c r="A22" s="3">
        <f>Theory!A12</f>
        <v>7</v>
      </c>
      <c r="B22" s="3" t="str">
        <f>Theory!B12</f>
        <v>7376231EE108</v>
      </c>
      <c r="C22" s="3">
        <v>8</v>
      </c>
      <c r="H22" s="4">
        <v>8</v>
      </c>
      <c r="M22" s="11">
        <f>IF(C22="","",H22*100/C22)</f>
        <v>100</v>
      </c>
      <c r="N22" s="11" t="str">
        <f>IF(D22="","",I22*100/D22)</f>
        <v/>
      </c>
      <c r="O22" s="11" t="str">
        <f>IF(E22="","",J22*100/E22)</f>
        <v/>
      </c>
      <c r="P22" s="11" t="str">
        <f>IF(F22="","",K22*100/F22)</f>
        <v/>
      </c>
      <c r="Q22" s="11" t="str">
        <f>IF(G22="","",L22*100/G22)</f>
        <v/>
      </c>
      <c r="W22" s="3">
        <f>IP!D12</f>
        <v>8</v>
      </c>
    </row>
    <row r="23" ht="16.5" customHeight="1">
      <c r="A23" s="3">
        <f>Theory!A13</f>
        <v>8</v>
      </c>
      <c r="B23" s="3" t="str">
        <f>Theory!B13</f>
        <v>7376231EE109</v>
      </c>
      <c r="C23" s="3">
        <v>8</v>
      </c>
      <c r="H23" s="4">
        <v>8</v>
      </c>
      <c r="M23" s="11">
        <f>IF(C23="","",H23*100/C23)</f>
        <v>100</v>
      </c>
      <c r="N23" s="11" t="str">
        <f>IF(D23="","",I23*100/D23)</f>
        <v/>
      </c>
      <c r="O23" s="11" t="str">
        <f>IF(E23="","",J23*100/E23)</f>
        <v/>
      </c>
      <c r="P23" s="11" t="str">
        <f>IF(F23="","",K23*100/F23)</f>
        <v/>
      </c>
      <c r="Q23" s="11" t="str">
        <f>IF(G23="","",L23*100/G23)</f>
        <v/>
      </c>
      <c r="W23" s="3">
        <f>IP!D13</f>
        <v>8</v>
      </c>
    </row>
    <row r="24" ht="16.5" customHeight="1">
      <c r="A24" s="3">
        <f>Theory!A14</f>
        <v>9</v>
      </c>
      <c r="B24" s="3" t="str">
        <f>Theory!B14</f>
        <v>7376231EE110</v>
      </c>
      <c r="C24" s="3">
        <v>8</v>
      </c>
      <c r="H24" s="4">
        <v>8</v>
      </c>
      <c r="M24" s="11">
        <f>IF(C24="","",H24*100/C24)</f>
        <v>100</v>
      </c>
      <c r="N24" s="11" t="str">
        <f>IF(D24="","",I24*100/D24)</f>
        <v/>
      </c>
      <c r="O24" s="11" t="str">
        <f>IF(E24="","",J24*100/E24)</f>
        <v/>
      </c>
      <c r="P24" s="11" t="str">
        <f>IF(F24="","",K24*100/F24)</f>
        <v/>
      </c>
      <c r="Q24" s="11" t="str">
        <f>IF(G24="","",L24*100/G24)</f>
        <v/>
      </c>
      <c r="W24" s="3">
        <f>IP!D14</f>
        <v>8</v>
      </c>
    </row>
    <row r="25" ht="16.5" customHeight="1">
      <c r="A25" s="3">
        <f>Theory!A15</f>
        <v>10</v>
      </c>
      <c r="B25" s="3" t="str">
        <f>Theory!B15</f>
        <v>7376231EE111</v>
      </c>
      <c r="C25" s="3">
        <v>8</v>
      </c>
      <c r="H25" s="4">
        <v>2</v>
      </c>
      <c r="M25" s="11">
        <f>IF(C25="","",H25*100/C25)</f>
        <v>25</v>
      </c>
      <c r="N25" s="11" t="str">
        <f>IF(D25="","",I25*100/D25)</f>
        <v/>
      </c>
      <c r="O25" s="11" t="str">
        <f>IF(E25="","",J25*100/E25)</f>
        <v/>
      </c>
      <c r="P25" s="11" t="str">
        <f>IF(F25="","",K25*100/F25)</f>
        <v/>
      </c>
      <c r="Q25" s="11" t="str">
        <f>IF(G25="","",L25*100/G25)</f>
        <v/>
      </c>
      <c r="W25" s="3">
        <f>IP!D15</f>
        <v>2</v>
      </c>
    </row>
    <row r="26" ht="16.5" customHeight="1">
      <c r="A26" s="3">
        <f>Theory!A16</f>
        <v>11</v>
      </c>
      <c r="B26" s="3" t="str">
        <f>Theory!B16</f>
        <v>7376231EE112</v>
      </c>
      <c r="C26" s="3">
        <v>8</v>
      </c>
      <c r="H26" s="4">
        <v>7</v>
      </c>
      <c r="M26" s="11">
        <f>IF(C26="","",H26*100/C26)</f>
        <v>87.5</v>
      </c>
      <c r="N26" s="11" t="str">
        <f>IF(D26="","",I26*100/D26)</f>
        <v/>
      </c>
      <c r="O26" s="11" t="str">
        <f>IF(E26="","",J26*100/E26)</f>
        <v/>
      </c>
      <c r="P26" s="11" t="str">
        <f>IF(F26="","",K26*100/F26)</f>
        <v/>
      </c>
      <c r="Q26" s="11" t="str">
        <f>IF(G26="","",L26*100/G26)</f>
        <v/>
      </c>
      <c r="W26" s="3">
        <f>IP!D16</f>
        <v>7</v>
      </c>
    </row>
    <row r="27" ht="16.5" customHeight="1">
      <c r="A27" s="3">
        <f>Theory!A17</f>
        <v>12</v>
      </c>
      <c r="B27" s="3" t="str">
        <f>Theory!B17</f>
        <v>7376231EE113</v>
      </c>
      <c r="C27" s="3">
        <v>8</v>
      </c>
      <c r="H27" s="4">
        <v>8</v>
      </c>
      <c r="M27" s="11">
        <f>IF(C27="","",H27*100/C27)</f>
        <v>100</v>
      </c>
      <c r="N27" s="11" t="str">
        <f>IF(D27="","",I27*100/D27)</f>
        <v/>
      </c>
      <c r="O27" s="11" t="str">
        <f>IF(E27="","",J27*100/E27)</f>
        <v/>
      </c>
      <c r="P27" s="11" t="str">
        <f>IF(F27="","",K27*100/F27)</f>
        <v/>
      </c>
      <c r="Q27" s="11" t="str">
        <f>IF(G27="","",L27*100/G27)</f>
        <v/>
      </c>
      <c r="W27" s="3">
        <f>IP!D17</f>
        <v>8</v>
      </c>
    </row>
    <row r="28" ht="16.5" customHeight="1">
      <c r="A28" s="3">
        <f>Theory!A18</f>
        <v>13</v>
      </c>
      <c r="B28" s="3" t="str">
        <f>Theory!B18</f>
        <v>7376231EE114</v>
      </c>
      <c r="C28" s="3">
        <v>8</v>
      </c>
      <c r="H28" s="4">
        <v>6</v>
      </c>
      <c r="M28" s="11">
        <f>IF(C28="","",H28*100/C28)</f>
        <v>75</v>
      </c>
      <c r="N28" s="11" t="str">
        <f>IF(D28="","",I28*100/D28)</f>
        <v/>
      </c>
      <c r="O28" s="11" t="str">
        <f>IF(E28="","",J28*100/E28)</f>
        <v/>
      </c>
      <c r="P28" s="11" t="str">
        <f>IF(F28="","",K28*100/F28)</f>
        <v/>
      </c>
      <c r="Q28" s="11" t="str">
        <f>IF(G28="","",L28*100/G28)</f>
        <v/>
      </c>
      <c r="W28" s="3">
        <f>IP!D18</f>
        <v>6</v>
      </c>
    </row>
    <row r="29" ht="16.5" customHeight="1">
      <c r="A29" s="3">
        <f>Theory!A19</f>
        <v>14</v>
      </c>
      <c r="B29" s="3" t="str">
        <f>Theory!B19</f>
        <v>7376231EE115</v>
      </c>
      <c r="C29" s="3">
        <v>8</v>
      </c>
      <c r="H29" s="4">
        <v>5</v>
      </c>
      <c r="M29" s="11">
        <f>IF(C29="","",H29*100/C29)</f>
        <v>62.5</v>
      </c>
      <c r="N29" s="11" t="str">
        <f>IF(D29="","",I29*100/D29)</f>
        <v/>
      </c>
      <c r="O29" s="11" t="str">
        <f>IF(E29="","",J29*100/E29)</f>
        <v/>
      </c>
      <c r="P29" s="11" t="str">
        <f>IF(F29="","",K29*100/F29)</f>
        <v/>
      </c>
      <c r="Q29" s="11" t="str">
        <f>IF(G29="","",L29*100/G29)</f>
        <v/>
      </c>
      <c r="W29" s="3">
        <f>IP!D19</f>
        <v>5</v>
      </c>
    </row>
    <row r="30" ht="16.5" customHeight="1">
      <c r="A30" s="3">
        <f>Theory!A20</f>
        <v>15</v>
      </c>
      <c r="B30" s="3" t="str">
        <f>Theory!B20</f>
        <v>7376231EE116</v>
      </c>
      <c r="C30" s="3">
        <v>8</v>
      </c>
      <c r="H30" s="4">
        <v>6</v>
      </c>
      <c r="M30" s="11">
        <f>IF(C30="","",H30*100/C30)</f>
        <v>75</v>
      </c>
      <c r="N30" s="11" t="str">
        <f>IF(D30="","",I30*100/D30)</f>
        <v/>
      </c>
      <c r="O30" s="11" t="str">
        <f>IF(E30="","",J30*100/E30)</f>
        <v/>
      </c>
      <c r="P30" s="11" t="str">
        <f>IF(F30="","",K30*100/F30)</f>
        <v/>
      </c>
      <c r="Q30" s="11" t="str">
        <f>IF(G30="","",L30*100/G30)</f>
        <v/>
      </c>
      <c r="W30" s="3">
        <f>IP!D20</f>
        <v>6</v>
      </c>
    </row>
    <row r="31" ht="16.5" customHeight="1">
      <c r="A31" s="3">
        <f>Theory!A21</f>
        <v>16</v>
      </c>
      <c r="B31" s="3" t="str">
        <f>Theory!B21</f>
        <v>7376231EE117</v>
      </c>
      <c r="C31" s="3">
        <v>8</v>
      </c>
      <c r="H31" s="4">
        <v>8</v>
      </c>
      <c r="M31" s="11">
        <f>IF(C31="","",H31*100/C31)</f>
        <v>100</v>
      </c>
      <c r="N31" s="11" t="str">
        <f>IF(D31="","",I31*100/D31)</f>
        <v/>
      </c>
      <c r="O31" s="11" t="str">
        <f>IF(E31="","",J31*100/E31)</f>
        <v/>
      </c>
      <c r="P31" s="11" t="str">
        <f>IF(F31="","",K31*100/F31)</f>
        <v/>
      </c>
      <c r="Q31" s="11" t="str">
        <f>IF(G31="","",L31*100/G31)</f>
        <v/>
      </c>
      <c r="W31" s="3">
        <f>IP!D21</f>
        <v>8</v>
      </c>
    </row>
    <row r="32" ht="16.5" customHeight="1">
      <c r="A32" s="3">
        <f>Theory!A22</f>
        <v>17</v>
      </c>
      <c r="B32" s="3" t="str">
        <f>Theory!B22</f>
        <v>7376231EE118</v>
      </c>
      <c r="C32" s="3">
        <v>8</v>
      </c>
      <c r="H32" s="4">
        <v>7</v>
      </c>
      <c r="M32" s="11">
        <f>IF(C32="","",H32*100/C32)</f>
        <v>87.5</v>
      </c>
      <c r="N32" s="11" t="str">
        <f>IF(D32="","",I32*100/D32)</f>
        <v/>
      </c>
      <c r="O32" s="11" t="str">
        <f>IF(E32="","",J32*100/E32)</f>
        <v/>
      </c>
      <c r="P32" s="11" t="str">
        <f>IF(F32="","",K32*100/F32)</f>
        <v/>
      </c>
      <c r="Q32" s="11" t="str">
        <f>IF(G32="","",L32*100/G32)</f>
        <v/>
      </c>
      <c r="W32" s="3">
        <f>IP!D22</f>
        <v>7</v>
      </c>
    </row>
    <row r="33" ht="16.5" customHeight="1">
      <c r="A33" s="3">
        <f>Theory!A23</f>
        <v>18</v>
      </c>
      <c r="B33" s="3" t="str">
        <f>Theory!B23</f>
        <v>7376231EE119</v>
      </c>
      <c r="C33" s="3">
        <v>8</v>
      </c>
      <c r="H33" s="4">
        <v>7</v>
      </c>
      <c r="M33" s="11">
        <f>IF(C33="","",H33*100/C33)</f>
        <v>87.5</v>
      </c>
      <c r="N33" s="11" t="str">
        <f>IF(D33="","",I33*100/D33)</f>
        <v/>
      </c>
      <c r="O33" s="11" t="str">
        <f>IF(E33="","",J33*100/E33)</f>
        <v/>
      </c>
      <c r="P33" s="11" t="str">
        <f>IF(F33="","",K33*100/F33)</f>
        <v/>
      </c>
      <c r="Q33" s="11" t="str">
        <f>IF(G33="","",L33*100/G33)</f>
        <v/>
      </c>
      <c r="W33" s="3">
        <f>IP!D23</f>
        <v>7</v>
      </c>
    </row>
    <row r="34" ht="16.5" customHeight="1">
      <c r="A34" s="3">
        <f>Theory!A24</f>
        <v>19</v>
      </c>
      <c r="B34" s="3" t="str">
        <f>Theory!B24</f>
        <v>7376231EE120</v>
      </c>
      <c r="C34" s="3">
        <v>8</v>
      </c>
      <c r="H34" s="4">
        <v>8</v>
      </c>
      <c r="M34" s="11">
        <f>IF(C34="","",H34*100/C34)</f>
        <v>100</v>
      </c>
      <c r="N34" s="11" t="str">
        <f>IF(D34="","",I34*100/D34)</f>
        <v/>
      </c>
      <c r="O34" s="11" t="str">
        <f>IF(E34="","",J34*100/E34)</f>
        <v/>
      </c>
      <c r="P34" s="11" t="str">
        <f>IF(F34="","",K34*100/F34)</f>
        <v/>
      </c>
      <c r="Q34" s="11" t="str">
        <f>IF(G34="","",L34*100/G34)</f>
        <v/>
      </c>
      <c r="W34" s="3">
        <f>IP!D24</f>
        <v>8</v>
      </c>
    </row>
    <row r="35" ht="16.5" customHeight="1">
      <c r="A35" s="3">
        <f>Theory!A25</f>
        <v>20</v>
      </c>
      <c r="B35" s="3" t="str">
        <f>Theory!B25</f>
        <v>7376231EE121</v>
      </c>
      <c r="C35" s="3">
        <v>8</v>
      </c>
      <c r="H35" s="4">
        <v>8</v>
      </c>
      <c r="M35" s="11">
        <f>IF(C35="","",H35*100/C35)</f>
        <v>100</v>
      </c>
      <c r="N35" s="11" t="str">
        <f>IF(D35="","",I35*100/D35)</f>
        <v/>
      </c>
      <c r="O35" s="11" t="str">
        <f>IF(E35="","",J35*100/E35)</f>
        <v/>
      </c>
      <c r="P35" s="11" t="str">
        <f>IF(F35="","",K35*100/F35)</f>
        <v/>
      </c>
      <c r="Q35" s="11" t="str">
        <f>IF(G35="","",L35*100/G35)</f>
        <v/>
      </c>
      <c r="W35" s="3">
        <f>IP!D25</f>
        <v>8</v>
      </c>
    </row>
    <row r="36" ht="16.5" customHeight="1">
      <c r="A36" s="3">
        <f>Theory!A26</f>
        <v>21</v>
      </c>
      <c r="B36" s="3" t="str">
        <f>Theory!B26</f>
        <v>7376231EE122</v>
      </c>
      <c r="C36" s="3">
        <v>8</v>
      </c>
      <c r="H36" s="4">
        <v>8</v>
      </c>
      <c r="M36" s="11">
        <f>IF(C36="","",H36*100/C36)</f>
        <v>100</v>
      </c>
      <c r="N36" s="11" t="str">
        <f>IF(D36="","",I36*100/D36)</f>
        <v/>
      </c>
      <c r="O36" s="11" t="str">
        <f>IF(E36="","",J36*100/E36)</f>
        <v/>
      </c>
      <c r="P36" s="11" t="str">
        <f>IF(F36="","",K36*100/F36)</f>
        <v/>
      </c>
      <c r="Q36" s="11" t="str">
        <f>IF(G36="","",L36*100/G36)</f>
        <v/>
      </c>
      <c r="W36" s="3">
        <f>IP!D26</f>
        <v>8</v>
      </c>
    </row>
    <row r="37" ht="16.5" customHeight="1">
      <c r="A37" s="3">
        <f>Theory!A27</f>
        <v>22</v>
      </c>
      <c r="B37" s="3" t="str">
        <f>Theory!B27</f>
        <v>7376231EE123</v>
      </c>
      <c r="C37" s="3">
        <v>8</v>
      </c>
      <c r="H37" s="4">
        <v>8</v>
      </c>
      <c r="M37" s="11">
        <f>IF(C37="","",H37*100/C37)</f>
        <v>100</v>
      </c>
      <c r="N37" s="11" t="str">
        <f>IF(D37="","",I37*100/D37)</f>
        <v/>
      </c>
      <c r="O37" s="11" t="str">
        <f>IF(E37="","",J37*100/E37)</f>
        <v/>
      </c>
      <c r="P37" s="11" t="str">
        <f>IF(F37="","",K37*100/F37)</f>
        <v/>
      </c>
      <c r="Q37" s="11" t="str">
        <f>IF(G37="","",L37*100/G37)</f>
        <v/>
      </c>
      <c r="W37" s="3">
        <f>IP!D27</f>
        <v>8</v>
      </c>
    </row>
    <row r="38" ht="16.5" customHeight="1">
      <c r="A38" s="3">
        <f>Theory!A28</f>
        <v>23</v>
      </c>
      <c r="B38" s="3" t="str">
        <f>Theory!B28</f>
        <v>7376231EE124</v>
      </c>
      <c r="C38" s="3">
        <v>8</v>
      </c>
      <c r="H38" s="4">
        <v>7</v>
      </c>
      <c r="M38" s="11">
        <f>IF(C38="","",H38*100/C38)</f>
        <v>87.5</v>
      </c>
      <c r="N38" s="11" t="str">
        <f>IF(D38="","",I38*100/D38)</f>
        <v/>
      </c>
      <c r="O38" s="11" t="str">
        <f>IF(E38="","",J38*100/E38)</f>
        <v/>
      </c>
      <c r="P38" s="11" t="str">
        <f>IF(F38="","",K38*100/F38)</f>
        <v/>
      </c>
      <c r="Q38" s="11" t="str">
        <f>IF(G38="","",L38*100/G38)</f>
        <v/>
      </c>
      <c r="W38" s="3">
        <f>IP!D28</f>
        <v>7</v>
      </c>
    </row>
    <row r="39" ht="16.5" customHeight="1">
      <c r="A39" s="3">
        <f>Theory!A29</f>
        <v>24</v>
      </c>
      <c r="B39" s="3" t="str">
        <f>Theory!B29</f>
        <v>7376231EE125</v>
      </c>
      <c r="C39" s="3">
        <v>8</v>
      </c>
      <c r="H39" s="4">
        <v>8</v>
      </c>
      <c r="M39" s="11">
        <f>IF(C39="","",H39*100/C39)</f>
        <v>100</v>
      </c>
      <c r="N39" s="11" t="str">
        <f>IF(D39="","",I39*100/D39)</f>
        <v/>
      </c>
      <c r="O39" s="11" t="str">
        <f>IF(E39="","",J39*100/E39)</f>
        <v/>
      </c>
      <c r="P39" s="11" t="str">
        <f>IF(F39="","",K39*100/F39)</f>
        <v/>
      </c>
      <c r="Q39" s="11" t="str">
        <f>IF(G39="","",L39*100/G39)</f>
        <v/>
      </c>
      <c r="W39" s="3">
        <f>IP!D29</f>
        <v>8</v>
      </c>
    </row>
    <row r="40" ht="15.75" customHeight="1">
      <c r="A40" s="3">
        <f>Theory!A30</f>
        <v>25</v>
      </c>
      <c r="B40" s="3" t="str">
        <f>Theory!B30</f>
        <v>7376231EE126</v>
      </c>
      <c r="C40" s="3">
        <v>8</v>
      </c>
      <c r="H40" s="4">
        <v>8</v>
      </c>
      <c r="M40" s="11">
        <f>IF(C40="","",H40*100/C40)</f>
        <v>100</v>
      </c>
      <c r="N40" s="11" t="str">
        <f>IF(D40="","",I40*100/D40)</f>
        <v/>
      </c>
      <c r="O40" s="11" t="str">
        <f>IF(E40="","",J40*100/E40)</f>
        <v/>
      </c>
      <c r="P40" s="11" t="str">
        <f>IF(F40="","",K40*100/F40)</f>
        <v/>
      </c>
      <c r="Q40" s="11" t="str">
        <f>IF(G40="","",L40*100/G40)</f>
        <v/>
      </c>
      <c r="W40" s="3">
        <f>IP!D30</f>
        <v>8</v>
      </c>
    </row>
    <row r="41" ht="15.75" customHeight="1">
      <c r="A41" s="3">
        <f>Theory!A31</f>
        <v>26</v>
      </c>
      <c r="B41" s="3" t="str">
        <f>Theory!B31</f>
        <v>7376231EE127</v>
      </c>
      <c r="C41" s="3">
        <v>8</v>
      </c>
      <c r="H41" s="4">
        <v>7</v>
      </c>
      <c r="M41" s="11">
        <f>IF(C41="","",H41*100/C41)</f>
        <v>87.5</v>
      </c>
      <c r="N41" s="11" t="str">
        <f>IF(D41="","",I41*100/D41)</f>
        <v/>
      </c>
      <c r="O41" s="11" t="str">
        <f>IF(E41="","",J41*100/E41)</f>
        <v/>
      </c>
      <c r="P41" s="11" t="str">
        <f>IF(F41="","",K41*100/F41)</f>
        <v/>
      </c>
      <c r="Q41" s="11" t="str">
        <f>IF(G41="","",L41*100/G41)</f>
        <v/>
      </c>
      <c r="W41" s="3">
        <f>IP!D31</f>
        <v>7</v>
      </c>
    </row>
    <row r="42" ht="15.75" customHeight="1">
      <c r="A42" s="3">
        <f>Theory!A32</f>
        <v>27</v>
      </c>
      <c r="B42" s="3" t="str">
        <f>Theory!B32</f>
        <v>7376231EE128</v>
      </c>
      <c r="C42" s="3">
        <v>8</v>
      </c>
      <c r="H42" s="4">
        <v>5</v>
      </c>
      <c r="M42" s="11">
        <f>IF(C42="","",H42*100/C42)</f>
        <v>62.5</v>
      </c>
      <c r="N42" s="11" t="str">
        <f>IF(D42="","",I42*100/D42)</f>
        <v/>
      </c>
      <c r="O42" s="11" t="str">
        <f>IF(E42="","",J42*100/E42)</f>
        <v/>
      </c>
      <c r="P42" s="11" t="str">
        <f>IF(F42="","",K42*100/F42)</f>
        <v/>
      </c>
      <c r="Q42" s="11" t="str">
        <f>IF(G42="","",L42*100/G42)</f>
        <v/>
      </c>
      <c r="W42" s="3">
        <f>IP!D32</f>
        <v>5</v>
      </c>
    </row>
    <row r="43" ht="15.75" customHeight="1">
      <c r="A43" s="3">
        <f>Theory!A33</f>
        <v>28</v>
      </c>
      <c r="B43" s="3" t="str">
        <f>Theory!B33</f>
        <v>7376231EE129</v>
      </c>
      <c r="C43" s="3">
        <v>8</v>
      </c>
      <c r="H43" s="4">
        <v>7</v>
      </c>
      <c r="M43" s="11">
        <f>IF(C43="","",H43*100/C43)</f>
        <v>87.5</v>
      </c>
      <c r="N43" s="11" t="str">
        <f>IF(D43="","",I43*100/D43)</f>
        <v/>
      </c>
      <c r="O43" s="11" t="str">
        <f>IF(E43="","",J43*100/E43)</f>
        <v/>
      </c>
      <c r="P43" s="11" t="str">
        <f>IF(F43="","",K43*100/F43)</f>
        <v/>
      </c>
      <c r="Q43" s="11" t="str">
        <f>IF(G43="","",L43*100/G43)</f>
        <v/>
      </c>
      <c r="W43" s="3">
        <f>IP!D33</f>
        <v>7</v>
      </c>
    </row>
    <row r="44" ht="15.75" customHeight="1">
      <c r="A44" s="3">
        <f>Theory!A34</f>
        <v>29</v>
      </c>
      <c r="B44" s="3" t="str">
        <f>Theory!B34</f>
        <v>7376231EE130</v>
      </c>
      <c r="C44" s="3">
        <v>8</v>
      </c>
      <c r="H44" s="4">
        <v>7</v>
      </c>
      <c r="M44" s="11">
        <f>IF(C44="","",H44*100/C44)</f>
        <v>87.5</v>
      </c>
      <c r="N44" s="11" t="str">
        <f>IF(D44="","",I44*100/D44)</f>
        <v/>
      </c>
      <c r="O44" s="11" t="str">
        <f>IF(E44="","",J44*100/E44)</f>
        <v/>
      </c>
      <c r="P44" s="11" t="str">
        <f>IF(F44="","",K44*100/F44)</f>
        <v/>
      </c>
      <c r="Q44" s="11" t="str">
        <f>IF(G44="","",L44*100/G44)</f>
        <v/>
      </c>
      <c r="W44" s="3">
        <f>IP!D34</f>
        <v>7</v>
      </c>
    </row>
    <row r="45" ht="15.75" customHeight="1">
      <c r="A45" s="3">
        <f>Theory!A35</f>
        <v>30</v>
      </c>
      <c r="B45" s="3" t="str">
        <f>Theory!B35</f>
        <v>7376231EE131</v>
      </c>
      <c r="C45" s="3">
        <v>8</v>
      </c>
      <c r="H45" s="4">
        <v>7</v>
      </c>
      <c r="M45" s="11">
        <f>IF(C45="","",H45*100/C45)</f>
        <v>87.5</v>
      </c>
      <c r="N45" s="11" t="str">
        <f>IF(D45="","",I45*100/D45)</f>
        <v/>
      </c>
      <c r="O45" s="11" t="str">
        <f>IF(E45="","",J45*100/E45)</f>
        <v/>
      </c>
      <c r="P45" s="11" t="str">
        <f>IF(F45="","",K45*100/F45)</f>
        <v/>
      </c>
      <c r="Q45" s="11" t="str">
        <f>IF(G45="","",L45*100/G45)</f>
        <v/>
      </c>
      <c r="W45" s="3">
        <f>IP!D35</f>
        <v>7</v>
      </c>
    </row>
    <row r="46" ht="15.75" customHeight="1">
      <c r="A46" s="3">
        <f>Theory!A36</f>
        <v>31</v>
      </c>
      <c r="B46" s="3" t="str">
        <f>Theory!B36</f>
        <v>7376231EE132</v>
      </c>
      <c r="C46" s="3">
        <v>8</v>
      </c>
      <c r="H46" s="4">
        <v>8</v>
      </c>
      <c r="M46" s="11">
        <f>IF(C46="","",H46*100/C46)</f>
        <v>100</v>
      </c>
      <c r="N46" s="11" t="str">
        <f>IF(D46="","",I46*100/D46)</f>
        <v/>
      </c>
      <c r="O46" s="11" t="str">
        <f>IF(E46="","",J46*100/E46)</f>
        <v/>
      </c>
      <c r="P46" s="11" t="str">
        <f>IF(F46="","",K46*100/F46)</f>
        <v/>
      </c>
      <c r="Q46" s="11" t="str">
        <f>IF(G46="","",L46*100/G46)</f>
        <v/>
      </c>
      <c r="W46" s="3">
        <f>IP!D36</f>
        <v>8</v>
      </c>
    </row>
    <row r="47" ht="15.75" customHeight="1">
      <c r="A47" s="3">
        <f>Theory!A37</f>
        <v>32</v>
      </c>
      <c r="B47" s="3" t="str">
        <f>Theory!B37</f>
        <v>7376231EE133</v>
      </c>
      <c r="C47" s="3">
        <v>8</v>
      </c>
      <c r="H47" s="4">
        <v>6</v>
      </c>
      <c r="M47" s="11">
        <f>IF(C47="","",H47*100/C47)</f>
        <v>75</v>
      </c>
      <c r="N47" s="11" t="str">
        <f>IF(D47="","",I47*100/D47)</f>
        <v/>
      </c>
      <c r="O47" s="11" t="str">
        <f>IF(E47="","",J47*100/E47)</f>
        <v/>
      </c>
      <c r="P47" s="11" t="str">
        <f>IF(F47="","",K47*100/F47)</f>
        <v/>
      </c>
      <c r="Q47" s="11" t="str">
        <f>IF(G47="","",L47*100/G47)</f>
        <v/>
      </c>
      <c r="W47" s="3">
        <f>IP!D37</f>
        <v>6</v>
      </c>
    </row>
    <row r="48" ht="15.75" customHeight="1">
      <c r="A48" s="3">
        <f>Theory!A38</f>
        <v>33</v>
      </c>
      <c r="B48" s="3" t="str">
        <f>Theory!B38</f>
        <v>7376231EE134</v>
      </c>
      <c r="C48" s="3">
        <v>8</v>
      </c>
      <c r="H48" s="4">
        <v>8</v>
      </c>
      <c r="M48" s="11">
        <f>IF(C48="","",H48*100/C48)</f>
        <v>100</v>
      </c>
      <c r="N48" s="11" t="str">
        <f>IF(D48="","",I48*100/D48)</f>
        <v/>
      </c>
      <c r="O48" s="11" t="str">
        <f>IF(E48="","",J48*100/E48)</f>
        <v/>
      </c>
      <c r="P48" s="11" t="str">
        <f>IF(F48="","",K48*100/F48)</f>
        <v/>
      </c>
      <c r="Q48" s="11" t="str">
        <f>IF(G48="","",L48*100/G48)</f>
        <v/>
      </c>
      <c r="W48" s="3">
        <f>IP!D38</f>
        <v>8</v>
      </c>
    </row>
    <row r="49" ht="15.75" customHeight="1">
      <c r="A49" s="3">
        <f>Theory!A39</f>
        <v>34</v>
      </c>
      <c r="B49" s="3" t="str">
        <f>Theory!B39</f>
        <v>7376231EE135</v>
      </c>
      <c r="C49" s="3">
        <v>8</v>
      </c>
      <c r="H49" s="4">
        <v>8</v>
      </c>
      <c r="M49" s="11">
        <f>IF(C49="","",H49*100/C49)</f>
        <v>100</v>
      </c>
      <c r="N49" s="11" t="str">
        <f>IF(D49="","",I49*100/D49)</f>
        <v/>
      </c>
      <c r="O49" s="11" t="str">
        <f>IF(E49="","",J49*100/E49)</f>
        <v/>
      </c>
      <c r="P49" s="11" t="str">
        <f>IF(F49="","",K49*100/F49)</f>
        <v/>
      </c>
      <c r="Q49" s="11" t="str">
        <f>IF(G49="","",L49*100/G49)</f>
        <v/>
      </c>
      <c r="W49" s="3">
        <f>IP!D39</f>
        <v>8</v>
      </c>
    </row>
    <row r="50" ht="15.75" customHeight="1">
      <c r="A50" s="3">
        <f>Theory!A40</f>
        <v>35</v>
      </c>
      <c r="B50" s="3" t="str">
        <f>Theory!B40</f>
        <v>7376231EE136</v>
      </c>
      <c r="C50" s="3">
        <v>8</v>
      </c>
      <c r="H50" s="4">
        <v>8</v>
      </c>
      <c r="M50" s="11">
        <f>IF(C50="","",H50*100/C50)</f>
        <v>100</v>
      </c>
      <c r="N50" s="11" t="str">
        <f>IF(D50="","",I50*100/D50)</f>
        <v/>
      </c>
      <c r="O50" s="11" t="str">
        <f>IF(E50="","",J50*100/E50)</f>
        <v/>
      </c>
      <c r="P50" s="11" t="str">
        <f>IF(F50="","",K50*100/F50)</f>
        <v/>
      </c>
      <c r="Q50" s="11" t="str">
        <f>IF(G50="","",L50*100/G50)</f>
        <v/>
      </c>
      <c r="W50" s="3">
        <f>IP!D40</f>
        <v>8</v>
      </c>
    </row>
    <row r="51" ht="15.75" customHeight="1">
      <c r="A51" s="3">
        <f>Theory!A41</f>
        <v>36</v>
      </c>
      <c r="B51" s="3" t="str">
        <f>Theory!B41</f>
        <v>7376231EE137</v>
      </c>
      <c r="C51" s="3">
        <v>8</v>
      </c>
      <c r="H51" s="4">
        <v>8</v>
      </c>
      <c r="M51" s="11">
        <f>IF(C51="","",H51*100/C51)</f>
        <v>100</v>
      </c>
      <c r="N51" s="11" t="str">
        <f>IF(D51="","",I51*100/D51)</f>
        <v/>
      </c>
      <c r="O51" s="11" t="str">
        <f>IF(E51="","",J51*100/E51)</f>
        <v/>
      </c>
      <c r="P51" s="11" t="str">
        <f>IF(F51="","",K51*100/F51)</f>
        <v/>
      </c>
      <c r="Q51" s="11" t="str">
        <f>IF(G51="","",L51*100/G51)</f>
        <v/>
      </c>
      <c r="W51" s="3">
        <f>IP!D41</f>
        <v>8</v>
      </c>
    </row>
    <row r="52" ht="15.75" customHeight="1">
      <c r="A52" s="3">
        <f>Theory!A42</f>
        <v>37</v>
      </c>
      <c r="B52" s="3" t="str">
        <f>Theory!B42</f>
        <v>7376231EE138</v>
      </c>
      <c r="C52" s="3">
        <v>8</v>
      </c>
      <c r="H52" s="4">
        <v>8</v>
      </c>
      <c r="M52" s="11">
        <f>IF(C52="","",H52*100/C52)</f>
        <v>100</v>
      </c>
      <c r="N52" s="11" t="str">
        <f>IF(D52="","",I52*100/D52)</f>
        <v/>
      </c>
      <c r="O52" s="11" t="str">
        <f>IF(E52="","",J52*100/E52)</f>
        <v/>
      </c>
      <c r="P52" s="11" t="str">
        <f>IF(F52="","",K52*100/F52)</f>
        <v/>
      </c>
      <c r="Q52" s="11" t="str">
        <f>IF(G52="","",L52*100/G52)</f>
        <v/>
      </c>
      <c r="W52" s="3">
        <f>IP!D42</f>
        <v>8</v>
      </c>
    </row>
    <row r="53" ht="15.75" customHeight="1">
      <c r="A53" s="3">
        <f>Theory!A43</f>
        <v>38</v>
      </c>
      <c r="B53" s="3" t="str">
        <f>Theory!B43</f>
        <v>7376231EE139</v>
      </c>
      <c r="C53" s="3">
        <v>8</v>
      </c>
      <c r="H53" s="4">
        <v>8</v>
      </c>
      <c r="M53" s="11">
        <f>IF(C53="","",H53*100/C53)</f>
        <v>100</v>
      </c>
      <c r="N53" s="11" t="str">
        <f>IF(D53="","",I53*100/D53)</f>
        <v/>
      </c>
      <c r="O53" s="11" t="str">
        <f>IF(E53="","",J53*100/E53)</f>
        <v/>
      </c>
      <c r="P53" s="11" t="str">
        <f>IF(F53="","",K53*100/F53)</f>
        <v/>
      </c>
      <c r="Q53" s="11" t="str">
        <f>IF(G53="","",L53*100/G53)</f>
        <v/>
      </c>
      <c r="W53" s="3">
        <f>IP!D43</f>
        <v>8</v>
      </c>
    </row>
    <row r="54" ht="15.75" customHeight="1">
      <c r="A54" s="3">
        <f>Theory!A44</f>
        <v>39</v>
      </c>
      <c r="B54" s="3" t="str">
        <f>Theory!B44</f>
        <v>7376231EE140</v>
      </c>
      <c r="C54" s="3">
        <v>8</v>
      </c>
      <c r="H54" s="4">
        <v>7</v>
      </c>
      <c r="M54" s="11">
        <f>IF(C54="","",H54*100/C54)</f>
        <v>87.5</v>
      </c>
      <c r="N54" s="11" t="str">
        <f>IF(D54="","",I54*100/D54)</f>
        <v/>
      </c>
      <c r="O54" s="11" t="str">
        <f>IF(E54="","",J54*100/E54)</f>
        <v/>
      </c>
      <c r="P54" s="11" t="str">
        <f>IF(F54="","",K54*100/F54)</f>
        <v/>
      </c>
      <c r="Q54" s="11" t="str">
        <f>IF(G54="","",L54*100/G54)</f>
        <v/>
      </c>
      <c r="W54" s="3">
        <f>IP!D44</f>
        <v>7</v>
      </c>
    </row>
    <row r="55" ht="15.75" customHeight="1">
      <c r="A55" s="3">
        <f>Theory!A45</f>
        <v>40</v>
      </c>
      <c r="B55" s="3" t="str">
        <f>Theory!B45</f>
        <v>7376231EE141</v>
      </c>
      <c r="C55" s="3">
        <v>8</v>
      </c>
      <c r="H55" s="4">
        <v>8</v>
      </c>
      <c r="M55" s="11">
        <f>IF(C55="","",H55*100/C55)</f>
        <v>100</v>
      </c>
      <c r="N55" s="11" t="str">
        <f>IF(D55="","",I55*100/D55)</f>
        <v/>
      </c>
      <c r="O55" s="11" t="str">
        <f>IF(E55="","",J55*100/E55)</f>
        <v/>
      </c>
      <c r="P55" s="11" t="str">
        <f>IF(F55="","",K55*100/F55)</f>
        <v/>
      </c>
      <c r="Q55" s="11" t="str">
        <f>IF(G55="","",L55*100/G55)</f>
        <v/>
      </c>
      <c r="W55" s="3">
        <f>IP!D45</f>
        <v>8</v>
      </c>
    </row>
    <row r="56" ht="15.75" customHeight="1">
      <c r="A56" s="3">
        <f>Theory!A46</f>
        <v>41</v>
      </c>
      <c r="B56" s="3" t="str">
        <f>Theory!B46</f>
        <v>7376231EE142</v>
      </c>
      <c r="C56" s="3">
        <v>8</v>
      </c>
      <c r="H56" s="4">
        <v>8</v>
      </c>
      <c r="M56" s="11">
        <f>IF(C56="","",H56*100/C56)</f>
        <v>100</v>
      </c>
      <c r="N56" s="11" t="str">
        <f>IF(D56="","",I56*100/D56)</f>
        <v/>
      </c>
      <c r="O56" s="11" t="str">
        <f>IF(E56="","",J56*100/E56)</f>
        <v/>
      </c>
      <c r="P56" s="11" t="str">
        <f>IF(F56="","",K56*100/F56)</f>
        <v/>
      </c>
      <c r="Q56" s="11" t="str">
        <f>IF(G56="","",L56*100/G56)</f>
        <v/>
      </c>
      <c r="W56" s="3">
        <f>IP!D46</f>
        <v>8</v>
      </c>
    </row>
    <row r="57" ht="15.75" customHeight="1">
      <c r="A57" s="3">
        <f>Theory!A47</f>
        <v>42</v>
      </c>
      <c r="B57" s="3" t="str">
        <f>Theory!B47</f>
        <v>7376231EE143</v>
      </c>
      <c r="C57" s="3">
        <v>8</v>
      </c>
      <c r="H57" s="4">
        <v>7</v>
      </c>
      <c r="M57" s="11">
        <f>IF(C57="","",H57*100/C57)</f>
        <v>87.5</v>
      </c>
      <c r="N57" s="11" t="str">
        <f>IF(D57="","",I57*100/D57)</f>
        <v/>
      </c>
      <c r="O57" s="11" t="str">
        <f>IF(E57="","",J57*100/E57)</f>
        <v/>
      </c>
      <c r="P57" s="11" t="str">
        <f>IF(F57="","",K57*100/F57)</f>
        <v/>
      </c>
      <c r="Q57" s="11" t="str">
        <f>IF(G57="","",L57*100/G57)</f>
        <v/>
      </c>
      <c r="W57" s="3">
        <f>IP!D47</f>
        <v>7</v>
      </c>
    </row>
    <row r="58" ht="15.75" customHeight="1">
      <c r="A58" s="3">
        <f>Theory!A48</f>
        <v>43</v>
      </c>
      <c r="B58" s="3" t="str">
        <f>Theory!B48</f>
        <v>7376231EE144</v>
      </c>
      <c r="C58" s="3">
        <v>8</v>
      </c>
      <c r="H58" s="4">
        <v>7</v>
      </c>
      <c r="M58" s="11">
        <f>IF(C58="","",H58*100/C58)</f>
        <v>87.5</v>
      </c>
      <c r="N58" s="11" t="str">
        <f>IF(D58="","",I58*100/D58)</f>
        <v/>
      </c>
      <c r="O58" s="11" t="str">
        <f>IF(E58="","",J58*100/E58)</f>
        <v/>
      </c>
      <c r="P58" s="11" t="str">
        <f>IF(F58="","",K58*100/F58)</f>
        <v/>
      </c>
      <c r="Q58" s="11" t="str">
        <f>IF(G58="","",L58*100/G58)</f>
        <v/>
      </c>
      <c r="W58" s="3">
        <f>IP!D48</f>
        <v>7</v>
      </c>
    </row>
    <row r="59" ht="15.75" customHeight="1">
      <c r="A59" s="3">
        <f>Theory!A49</f>
        <v>44</v>
      </c>
      <c r="B59" s="3" t="str">
        <f>Theory!B49</f>
        <v>7376231EE145</v>
      </c>
      <c r="C59" s="3">
        <v>8</v>
      </c>
      <c r="H59" s="4">
        <v>8</v>
      </c>
      <c r="M59" s="11">
        <f>IF(C59="","",H59*100/C59)</f>
        <v>100</v>
      </c>
      <c r="N59" s="11" t="str">
        <f>IF(D59="","",I59*100/D59)</f>
        <v/>
      </c>
      <c r="O59" s="11" t="str">
        <f>IF(E59="","",J59*100/E59)</f>
        <v/>
      </c>
      <c r="P59" s="11" t="str">
        <f>IF(F59="","",K59*100/F59)</f>
        <v/>
      </c>
      <c r="Q59" s="11" t="str">
        <f>IF(G59="","",L59*100/G59)</f>
        <v/>
      </c>
      <c r="W59" s="3">
        <f>IP!D49</f>
        <v>8</v>
      </c>
    </row>
    <row r="60" ht="15.75" customHeight="1">
      <c r="A60" s="3">
        <f>Theory!A50</f>
        <v>45</v>
      </c>
      <c r="B60" s="3" t="str">
        <f>Theory!B50</f>
        <v>7376231EE146</v>
      </c>
      <c r="C60" s="3">
        <v>8</v>
      </c>
      <c r="H60" s="4">
        <v>8</v>
      </c>
      <c r="M60" s="11">
        <f>IF(C60="","",H60*100/C60)</f>
        <v>100</v>
      </c>
      <c r="N60" s="11" t="str">
        <f>IF(D60="","",I60*100/D60)</f>
        <v/>
      </c>
      <c r="O60" s="11" t="str">
        <f>IF(E60="","",J60*100/E60)</f>
        <v/>
      </c>
      <c r="P60" s="11" t="str">
        <f>IF(F60="","",K60*100/F60)</f>
        <v/>
      </c>
      <c r="Q60" s="11" t="str">
        <f>IF(G60="","",L60*100/G60)</f>
        <v/>
      </c>
      <c r="W60" s="3">
        <f>IP!D50</f>
        <v>8</v>
      </c>
    </row>
    <row r="61" ht="15.75" customHeight="1">
      <c r="A61" s="3">
        <f>Theory!A51</f>
        <v>46</v>
      </c>
      <c r="B61" s="3" t="str">
        <f>Theory!B51</f>
        <v>7376231EE147</v>
      </c>
      <c r="C61" s="3">
        <v>8</v>
      </c>
      <c r="H61" s="4">
        <v>7</v>
      </c>
      <c r="M61" s="11">
        <f>IF(C61="","",H61*100/C61)</f>
        <v>87.5</v>
      </c>
      <c r="N61" s="11" t="str">
        <f>IF(D61="","",I61*100/D61)</f>
        <v/>
      </c>
      <c r="O61" s="11" t="str">
        <f>IF(E61="","",J61*100/E61)</f>
        <v/>
      </c>
      <c r="P61" s="11" t="str">
        <f>IF(F61="","",K61*100/F61)</f>
        <v/>
      </c>
      <c r="Q61" s="11" t="str">
        <f>IF(G61="","",L61*100/G61)</f>
        <v/>
      </c>
      <c r="W61" s="3">
        <f>IP!D51</f>
        <v>7</v>
      </c>
    </row>
    <row r="62" ht="15.75" customHeight="1">
      <c r="A62" s="3">
        <f>Theory!A52</f>
        <v>47</v>
      </c>
      <c r="B62" s="3" t="str">
        <f>Theory!B52</f>
        <v>7376231EE148</v>
      </c>
      <c r="C62" s="3">
        <v>8</v>
      </c>
      <c r="H62" s="4">
        <v>8</v>
      </c>
      <c r="M62" s="11">
        <f>IF(C62="","",H62*100/C62)</f>
        <v>100</v>
      </c>
      <c r="N62" s="11" t="str">
        <f>IF(D62="","",I62*100/D62)</f>
        <v/>
      </c>
      <c r="O62" s="11" t="str">
        <f>IF(E62="","",J62*100/E62)</f>
        <v/>
      </c>
      <c r="P62" s="11" t="str">
        <f>IF(F62="","",K62*100/F62)</f>
        <v/>
      </c>
      <c r="Q62" s="11" t="str">
        <f>IF(G62="","",L62*100/G62)</f>
        <v/>
      </c>
      <c r="W62" s="3">
        <f>IP!D52</f>
        <v>8</v>
      </c>
    </row>
    <row r="63" ht="15.75" customHeight="1">
      <c r="A63" s="3">
        <f>Theory!A53</f>
        <v>48</v>
      </c>
      <c r="B63" s="3" t="str">
        <f>Theory!B53</f>
        <v>7376231EE149</v>
      </c>
      <c r="C63" s="3">
        <v>8</v>
      </c>
      <c r="H63" s="4">
        <v>5</v>
      </c>
      <c r="M63" s="11">
        <f>IF(C63="","",H63*100/C63)</f>
        <v>62.5</v>
      </c>
      <c r="N63" s="11" t="str">
        <f>IF(D63="","",I63*100/D63)</f>
        <v/>
      </c>
      <c r="O63" s="11" t="str">
        <f>IF(E63="","",J63*100/E63)</f>
        <v/>
      </c>
      <c r="P63" s="11" t="str">
        <f>IF(F63="","",K63*100/F63)</f>
        <v/>
      </c>
      <c r="Q63" s="11" t="str">
        <f>IF(G63="","",L63*100/G63)</f>
        <v/>
      </c>
      <c r="W63" s="3">
        <f>IP!D53</f>
        <v>5</v>
      </c>
    </row>
    <row r="64" ht="15.75" customHeight="1">
      <c r="A64" s="3">
        <f>Theory!A54</f>
        <v>49</v>
      </c>
      <c r="B64" s="3" t="str">
        <f>Theory!B54</f>
        <v>7376231EE150</v>
      </c>
      <c r="C64" s="3">
        <v>8</v>
      </c>
      <c r="H64" s="4">
        <v>5</v>
      </c>
      <c r="M64" s="11">
        <f>IF(C64="","",H64*100/C64)</f>
        <v>62.5</v>
      </c>
      <c r="N64" s="11" t="str">
        <f>IF(D64="","",I64*100/D64)</f>
        <v/>
      </c>
      <c r="O64" s="11" t="str">
        <f>IF(E64="","",J64*100/E64)</f>
        <v/>
      </c>
      <c r="P64" s="11" t="str">
        <f>IF(F64="","",K64*100/F64)</f>
        <v/>
      </c>
      <c r="Q64" s="11" t="str">
        <f>IF(G64="","",L64*100/G64)</f>
        <v/>
      </c>
      <c r="W64" s="3">
        <f>IP!D54</f>
        <v>5</v>
      </c>
    </row>
    <row r="65" ht="15.75" customHeight="1">
      <c r="A65" s="3">
        <f>Theory!A55</f>
        <v>50</v>
      </c>
      <c r="B65" s="3" t="str">
        <f>Theory!B55</f>
        <v>7376231EE151</v>
      </c>
      <c r="C65" s="3">
        <v>8</v>
      </c>
      <c r="H65" s="4">
        <v>4</v>
      </c>
      <c r="M65" s="11">
        <f>IF(C65="","",H65*100/C65)</f>
        <v>50</v>
      </c>
      <c r="N65" s="11" t="str">
        <f>IF(D65="","",I65*100/D65)</f>
        <v/>
      </c>
      <c r="O65" s="11" t="str">
        <f>IF(E65="","",J65*100/E65)</f>
        <v/>
      </c>
      <c r="P65" s="11" t="str">
        <f>IF(F65="","",K65*100/F65)</f>
        <v/>
      </c>
      <c r="Q65" s="11" t="str">
        <f>IF(G65="","",L65*100/G65)</f>
        <v/>
      </c>
      <c r="W65" s="3">
        <f>IP!D55</f>
        <v>4</v>
      </c>
    </row>
    <row r="66" ht="15.75" customHeight="1">
      <c r="A66" s="3">
        <f>Theory!A56</f>
        <v>51</v>
      </c>
      <c r="B66" s="3" t="str">
        <f>Theory!B56</f>
        <v>7376231EE152</v>
      </c>
      <c r="C66" s="3">
        <v>8</v>
      </c>
      <c r="H66" s="4">
        <v>8</v>
      </c>
      <c r="M66" s="11">
        <f>IF(C66="","",H66*100/C66)</f>
        <v>100</v>
      </c>
      <c r="N66" s="11" t="str">
        <f>IF(D66="","",I66*100/D66)</f>
        <v/>
      </c>
      <c r="O66" s="11" t="str">
        <f>IF(E66="","",J66*100/E66)</f>
        <v/>
      </c>
      <c r="P66" s="11" t="str">
        <f>IF(F66="","",K66*100/F66)</f>
        <v/>
      </c>
      <c r="Q66" s="11" t="str">
        <f>IF(G66="","",L66*100/G66)</f>
        <v/>
      </c>
      <c r="W66" s="3">
        <f>IP!D56</f>
        <v>8</v>
      </c>
    </row>
    <row r="67" ht="15.75" customHeight="1">
      <c r="A67" s="3">
        <f>Theory!A57</f>
        <v>52</v>
      </c>
      <c r="B67" s="3" t="str">
        <f>Theory!B57</f>
        <v>7376231EE153</v>
      </c>
      <c r="C67" s="3">
        <v>8</v>
      </c>
      <c r="H67" s="4">
        <v>7</v>
      </c>
      <c r="M67" s="11">
        <f>IF(C67="","",H67*100/C67)</f>
        <v>87.5</v>
      </c>
      <c r="N67" s="11" t="str">
        <f>IF(D67="","",I67*100/D67)</f>
        <v/>
      </c>
      <c r="O67" s="11" t="str">
        <f>IF(E67="","",J67*100/E67)</f>
        <v/>
      </c>
      <c r="P67" s="11" t="str">
        <f>IF(F67="","",K67*100/F67)</f>
        <v/>
      </c>
      <c r="Q67" s="11" t="str">
        <f>IF(G67="","",L67*100/G67)</f>
        <v/>
      </c>
      <c r="W67" s="3">
        <f>IP!D57</f>
        <v>7</v>
      </c>
    </row>
    <row r="68" ht="15.75" customHeight="1">
      <c r="A68" s="3">
        <f>Theory!A58</f>
        <v>53</v>
      </c>
      <c r="B68" s="3" t="str">
        <f>Theory!B58</f>
        <v>7376231EE154</v>
      </c>
      <c r="C68" s="3">
        <v>8</v>
      </c>
      <c r="H68" s="4">
        <v>8</v>
      </c>
      <c r="M68" s="11">
        <f>IF(C68="","",H68*100/C68)</f>
        <v>100</v>
      </c>
      <c r="N68" s="11" t="str">
        <f>IF(D68="","",I68*100/D68)</f>
        <v/>
      </c>
      <c r="O68" s="11" t="str">
        <f>IF(E68="","",J68*100/E68)</f>
        <v/>
      </c>
      <c r="P68" s="11" t="str">
        <f>IF(F68="","",K68*100/F68)</f>
        <v/>
      </c>
      <c r="Q68" s="11" t="str">
        <f>IF(G68="","",L68*100/G68)</f>
        <v/>
      </c>
      <c r="W68" s="3">
        <f>IP!D58</f>
        <v>8</v>
      </c>
    </row>
    <row r="69" ht="15.75" customHeight="1">
      <c r="A69" s="3">
        <f>Theory!A59</f>
        <v>54</v>
      </c>
      <c r="B69" s="3" t="str">
        <f>Theory!B59</f>
        <v>7376231EE155</v>
      </c>
      <c r="C69" s="3">
        <v>8</v>
      </c>
      <c r="H69" s="4">
        <v>7</v>
      </c>
      <c r="M69" s="11">
        <f>IF(C69="","",H69*100/C69)</f>
        <v>87.5</v>
      </c>
      <c r="N69" s="11" t="str">
        <f>IF(D69="","",I69*100/D69)</f>
        <v/>
      </c>
      <c r="O69" s="11" t="str">
        <f>IF(E69="","",J69*100/E69)</f>
        <v/>
      </c>
      <c r="P69" s="11" t="str">
        <f>IF(F69="","",K69*100/F69)</f>
        <v/>
      </c>
      <c r="Q69" s="11" t="str">
        <f>IF(G69="","",L69*100/G69)</f>
        <v/>
      </c>
      <c r="W69" s="3">
        <f>IP!D59</f>
        <v>7</v>
      </c>
    </row>
    <row r="70" ht="15.75" customHeight="1">
      <c r="A70" s="3">
        <f>Theory!A60</f>
        <v>55</v>
      </c>
      <c r="B70" s="3" t="str">
        <f>Theory!B60</f>
        <v>7376231EE156</v>
      </c>
      <c r="C70" s="3">
        <v>8</v>
      </c>
      <c r="H70" s="4">
        <v>8</v>
      </c>
      <c r="M70" s="11">
        <f>IF(C70="","",H70*100/C70)</f>
        <v>100</v>
      </c>
      <c r="N70" s="11" t="str">
        <f>IF(D70="","",I70*100/D70)</f>
        <v/>
      </c>
      <c r="O70" s="11" t="str">
        <f>IF(E70="","",J70*100/E70)</f>
        <v/>
      </c>
      <c r="P70" s="11" t="str">
        <f>IF(F70="","",K70*100/F70)</f>
        <v/>
      </c>
      <c r="Q70" s="11" t="str">
        <f>IF(G70="","",L70*100/G70)</f>
        <v/>
      </c>
      <c r="W70" s="3">
        <f>IP!D60</f>
        <v>8</v>
      </c>
    </row>
    <row r="71" ht="15.75" customHeight="1">
      <c r="A71" s="3">
        <f>Theory!A61</f>
        <v>56</v>
      </c>
      <c r="B71" s="3" t="str">
        <f>Theory!B61</f>
        <v>7376231EE157</v>
      </c>
      <c r="C71" s="3">
        <v>8</v>
      </c>
      <c r="H71" s="4">
        <v>8</v>
      </c>
      <c r="M71" s="11">
        <f>IF(C71="","",H71*100/C71)</f>
        <v>100</v>
      </c>
      <c r="N71" s="11" t="str">
        <f>IF(D71="","",I71*100/D71)</f>
        <v/>
      </c>
      <c r="O71" s="11" t="str">
        <f>IF(E71="","",J71*100/E71)</f>
        <v/>
      </c>
      <c r="P71" s="11" t="str">
        <f>IF(F71="","",K71*100/F71)</f>
        <v/>
      </c>
      <c r="Q71" s="11" t="str">
        <f>IF(G71="","",L71*100/G71)</f>
        <v/>
      </c>
      <c r="W71" s="3">
        <f>IP!D61</f>
        <v>8</v>
      </c>
    </row>
    <row r="72" ht="15.75" customHeight="1">
      <c r="A72" s="3">
        <f>Theory!A62</f>
        <v>57</v>
      </c>
      <c r="B72" s="3" t="str">
        <f>Theory!B62</f>
        <v>7376231EE158</v>
      </c>
      <c r="C72" s="3">
        <v>8</v>
      </c>
      <c r="H72" s="4">
        <v>6</v>
      </c>
      <c r="M72" s="11">
        <f>IF(C72="","",H72*100/C72)</f>
        <v>75</v>
      </c>
      <c r="N72" s="11" t="str">
        <f>IF(D72="","",I72*100/D72)</f>
        <v/>
      </c>
      <c r="O72" s="11" t="str">
        <f>IF(E72="","",J72*100/E72)</f>
        <v/>
      </c>
      <c r="P72" s="11" t="str">
        <f>IF(F72="","",K72*100/F72)</f>
        <v/>
      </c>
      <c r="Q72" s="11" t="str">
        <f>IF(G72="","",L72*100/G72)</f>
        <v/>
      </c>
      <c r="W72" s="3">
        <f>IP!D62</f>
        <v>6</v>
      </c>
    </row>
    <row r="73" ht="15.75" customHeight="1">
      <c r="A73" s="3">
        <f>Theory!A63</f>
        <v>58</v>
      </c>
      <c r="B73" s="3" t="str">
        <f>Theory!B63</f>
        <v>7376231EE159</v>
      </c>
      <c r="C73" s="3">
        <v>8</v>
      </c>
      <c r="H73" s="4">
        <v>6</v>
      </c>
      <c r="M73" s="11">
        <f>IF(C73="","",H73*100/C73)</f>
        <v>75</v>
      </c>
      <c r="N73" s="11" t="str">
        <f>IF(D73="","",I73*100/D73)</f>
        <v/>
      </c>
      <c r="O73" s="11" t="str">
        <f>IF(E73="","",J73*100/E73)</f>
        <v/>
      </c>
      <c r="P73" s="11" t="str">
        <f>IF(F73="","",K73*100/F73)</f>
        <v/>
      </c>
      <c r="Q73" s="11" t="str">
        <f>IF(G73="","",L73*100/G73)</f>
        <v/>
      </c>
      <c r="W73" s="3">
        <f>IP!D63</f>
        <v>6</v>
      </c>
    </row>
    <row r="74" ht="15.75" customHeight="1">
      <c r="A74" s="3">
        <f>Theory!A64</f>
        <v>59</v>
      </c>
      <c r="B74" s="3" t="str">
        <f>Theory!B64</f>
        <v>7376231EE160</v>
      </c>
      <c r="C74" s="3">
        <v>8</v>
      </c>
      <c r="H74" s="4">
        <v>6</v>
      </c>
      <c r="M74" s="11">
        <f>IF(C74="","",H74*100/C74)</f>
        <v>75</v>
      </c>
      <c r="N74" s="11" t="str">
        <f>IF(D74="","",I74*100/D74)</f>
        <v/>
      </c>
      <c r="O74" s="11" t="str">
        <f>IF(E74="","",J74*100/E74)</f>
        <v/>
      </c>
      <c r="P74" s="11" t="str">
        <f>IF(F74="","",K74*100/F74)</f>
        <v/>
      </c>
      <c r="Q74" s="11" t="str">
        <f>IF(G74="","",L74*100/G74)</f>
        <v/>
      </c>
      <c r="W74" s="3">
        <f>IP!D64</f>
        <v>6</v>
      </c>
    </row>
    <row r="75" ht="15.75" customHeight="1">
      <c r="A75" s="3">
        <f>Theory!A65</f>
        <v>60</v>
      </c>
      <c r="B75" s="3" t="str">
        <f>Theory!B65</f>
        <v>7376231EE161</v>
      </c>
      <c r="C75" s="3">
        <v>8</v>
      </c>
      <c r="H75" s="4">
        <v>7</v>
      </c>
      <c r="M75" s="11">
        <f>IF(C75="","",H75*100/C75)</f>
        <v>87.5</v>
      </c>
      <c r="N75" s="11" t="str">
        <f>IF(D75="","",I75*100/D75)</f>
        <v/>
      </c>
      <c r="O75" s="11" t="str">
        <f>IF(E75="","",J75*100/E75)</f>
        <v/>
      </c>
      <c r="P75" s="11" t="str">
        <f>IF(F75="","",K75*100/F75)</f>
        <v/>
      </c>
      <c r="Q75" s="11" t="str">
        <f>IF(G75="","",L75*100/G75)</f>
        <v/>
      </c>
      <c r="W75" s="3">
        <f>IP!D65</f>
        <v>7</v>
      </c>
    </row>
    <row r="76" ht="15.75" customHeight="1">
      <c r="A76" s="3">
        <f>Theory!A66</f>
        <v>61</v>
      </c>
      <c r="B76" s="3" t="str">
        <f>Theory!B66</f>
        <v>7376241EE501</v>
      </c>
      <c r="C76" s="3">
        <v>8</v>
      </c>
      <c r="H76" s="4">
        <v>6</v>
      </c>
      <c r="M76" s="11">
        <f>IF(C76="","",H76*100/C76)</f>
        <v>75</v>
      </c>
      <c r="N76" s="11" t="str">
        <f>IF(D76="","",I76*100/D76)</f>
        <v/>
      </c>
      <c r="O76" s="11" t="str">
        <f>IF(E76="","",J76*100/E76)</f>
        <v/>
      </c>
      <c r="P76" s="11" t="str">
        <f>IF(F76="","",K76*100/F76)</f>
        <v/>
      </c>
      <c r="Q76" s="11" t="str">
        <f>IF(G76="","",L76*100/G76)</f>
        <v/>
      </c>
      <c r="W76" s="3">
        <f>IP!D66</f>
        <v>6</v>
      </c>
    </row>
    <row r="77" ht="15.75" customHeight="1">
      <c r="A77" s="3">
        <f>Theory!A67</f>
        <v>62</v>
      </c>
      <c r="B77" s="3" t="str">
        <f>Theory!B67</f>
        <v>7376241EE502</v>
      </c>
      <c r="C77" s="3">
        <v>8</v>
      </c>
      <c r="H77" s="4">
        <v>4</v>
      </c>
      <c r="M77" s="11">
        <f>IF(C77="","",H77*100/C77)</f>
        <v>50</v>
      </c>
      <c r="N77" s="11" t="str">
        <f>IF(D77="","",I77*100/D77)</f>
        <v/>
      </c>
      <c r="O77" s="11" t="str">
        <f>IF(E77="","",J77*100/E77)</f>
        <v/>
      </c>
      <c r="P77" s="11" t="str">
        <f>IF(F77="","",K77*100/F77)</f>
        <v/>
      </c>
      <c r="Q77" s="11" t="str">
        <f>IF(G77="","",L77*100/G77)</f>
        <v/>
      </c>
      <c r="W77" s="3">
        <f>IP!D67</f>
        <v>4</v>
      </c>
    </row>
    <row r="78" ht="15.75" customHeight="1">
      <c r="A78" s="3">
        <f>Theory!A68</f>
        <v>63</v>
      </c>
      <c r="B78" s="3" t="str">
        <f>Theory!B68</f>
        <v>7376241EE503</v>
      </c>
      <c r="C78" s="3">
        <v>8</v>
      </c>
      <c r="H78" s="4">
        <v>5</v>
      </c>
      <c r="M78" s="11">
        <f>IF(C78="","",H78*100/C78)</f>
        <v>62.5</v>
      </c>
      <c r="N78" s="11" t="str">
        <f>IF(D78="","",I78*100/D78)</f>
        <v/>
      </c>
      <c r="O78" s="11" t="str">
        <f>IF(E78="","",J78*100/E78)</f>
        <v/>
      </c>
      <c r="P78" s="11" t="str">
        <f>IF(F78="","",K78*100/F78)</f>
        <v/>
      </c>
      <c r="Q78" s="11" t="str">
        <f>IF(G78="","",L78*100/G78)</f>
        <v/>
      </c>
      <c r="W78" s="3">
        <f>IP!D68</f>
        <v>5</v>
      </c>
    </row>
    <row r="79" ht="15.75" customHeight="1">
      <c r="A79" s="3">
        <f>Theory!A69</f>
        <v>64</v>
      </c>
      <c r="B79" s="3" t="str">
        <f>Theory!B69</f>
        <v>7376241EE504</v>
      </c>
      <c r="C79" s="3">
        <v>8</v>
      </c>
      <c r="H79" s="4">
        <v>7</v>
      </c>
      <c r="M79" s="11">
        <f>IF(C79="","",H79*100/C79)</f>
        <v>87.5</v>
      </c>
      <c r="N79" s="11" t="str">
        <f>IF(D79="","",I79*100/D79)</f>
        <v/>
      </c>
      <c r="O79" s="11" t="str">
        <f>IF(E79="","",J79*100/E79)</f>
        <v/>
      </c>
      <c r="P79" s="11" t="str">
        <f>IF(F79="","",K79*100/F79)</f>
        <v/>
      </c>
      <c r="Q79" s="11" t="str">
        <f>IF(G79="","",L79*100/G79)</f>
        <v/>
      </c>
      <c r="W79" s="3">
        <f>IP!D69</f>
        <v>7</v>
      </c>
    </row>
    <row r="80" ht="15.75" customHeight="1">
      <c r="A80" s="3">
        <f>Theory!A70</f>
        <v>65</v>
      </c>
      <c r="B80" s="3" t="str">
        <f>Theory!B70</f>
        <v>7376241EE505</v>
      </c>
      <c r="C80" s="3">
        <v>8</v>
      </c>
      <c r="H80" s="4">
        <v>6</v>
      </c>
      <c r="M80" s="11">
        <f>IF(C80="","",H80*100/C80)</f>
        <v>75</v>
      </c>
      <c r="N80" s="11" t="str">
        <f>IF(D80="","",I80*100/D80)</f>
        <v/>
      </c>
      <c r="O80" s="11" t="str">
        <f>IF(E80="","",J80*100/E80)</f>
        <v/>
      </c>
      <c r="P80" s="11" t="str">
        <f>IF(F80="","",K80*100/F80)</f>
        <v/>
      </c>
      <c r="Q80" s="11" t="str">
        <f>IF(G80="","",L80*100/G80)</f>
        <v/>
      </c>
      <c r="W80" s="3">
        <f>IP!D70</f>
        <v>6</v>
      </c>
    </row>
    <row r="81" ht="15.75" customHeight="1">
      <c r="A81" s="3">
        <f>Theory!A71</f>
        <v>66</v>
      </c>
      <c r="B81" s="3" t="str">
        <f>Theory!B71</f>
        <v>7376241EE506</v>
      </c>
      <c r="C81" s="3">
        <v>8</v>
      </c>
      <c r="H81" s="4">
        <v>7</v>
      </c>
      <c r="M81" s="11">
        <f>IF(C81="","",H81*100/C81)</f>
        <v>87.5</v>
      </c>
      <c r="N81" s="11" t="str">
        <f>IF(D81="","",I81*100/D81)</f>
        <v/>
      </c>
      <c r="O81" s="11" t="str">
        <f>IF(E81="","",J81*100/E81)</f>
        <v/>
      </c>
      <c r="P81" s="11" t="str">
        <f>IF(F81="","",K81*100/F81)</f>
        <v/>
      </c>
      <c r="Q81" s="11" t="str">
        <f>IF(G81="","",L81*100/G81)</f>
        <v/>
      </c>
      <c r="W81" s="3">
        <f>IP!D71</f>
        <v>7</v>
      </c>
    </row>
    <row r="82" hidden="1" ht="15.75" customHeight="1"/>
    <row r="83" hidden="1" ht="15.75" customHeight="1"/>
    <row r="84" hidden="1" ht="15.75" customHeight="1"/>
    <row r="85" hidden="1" ht="15.75" customHeight="1"/>
    <row r="86" hidden="1" ht="15.75" customHeight="1"/>
    <row r="87" hidden="1" ht="15.75" customHeight="1"/>
    <row r="88" hidden="1" ht="15.75" customHeight="1"/>
    <row r="89" hidden="1" ht="15.75" customHeight="1"/>
    <row r="90" hidden="1" ht="15.75" customHeight="1"/>
    <row r="91" hidden="1" ht="15.75" customHeight="1"/>
    <row r="92" hidden="1" ht="15.75" customHeight="1"/>
    <row r="93" hidden="1" ht="15.75" customHeight="1"/>
    <row r="94" hidden="1" ht="15.75" customHeight="1"/>
    <row r="95" hidden="1" ht="15.75" customHeight="1"/>
    <row r="96" hidden="1" ht="15.75" customHeight="1"/>
    <row r="97" hidden="1" ht="15.75" customHeight="1"/>
    <row r="98" hidden="1" ht="15.75" customHeight="1"/>
    <row r="99" hidden="1" ht="15.75" customHeight="1"/>
    <row r="100" hidden="1" ht="15.75" customHeight="1"/>
    <row r="101" hidden="1" ht="15.75" customHeight="1"/>
    <row r="102" hidden="1" ht="15.75" customHeight="1"/>
    <row r="103" hidden="1" ht="15.75" customHeight="1"/>
    <row r="104" hidden="1" ht="15.75" customHeight="1"/>
    <row r="105" hidden="1" ht="15.75" customHeight="1"/>
    <row r="106" hidden="1" ht="15.75" customHeight="1"/>
    <row r="107" hidden="1" ht="15.75" customHeight="1"/>
    <row r="108" hidden="1" ht="15.75" customHeight="1"/>
    <row r="109" hidden="1" ht="15.75" customHeight="1"/>
    <row r="110" hidden="1" ht="15.75" customHeight="1"/>
    <row r="111" hidden="1" ht="15.75" customHeight="1"/>
    <row r="112" hidden="1" ht="15.75" customHeight="1"/>
    <row r="113" hidden="1" ht="15.75" customHeight="1"/>
    <row r="114" hidden="1" ht="15.75" customHeight="1"/>
    <row r="115" hidden="1" ht="15.75" customHeight="1"/>
    <row r="116" hidden="1" ht="15.75" customHeight="1"/>
    <row r="117" hidden="1" ht="15.75" customHeight="1"/>
    <row r="118" hidden="1" ht="15.75" customHeight="1"/>
    <row r="119" hidden="1" ht="15.75" customHeight="1"/>
    <row r="120" hidden="1" ht="15.75" customHeight="1"/>
    <row r="121" hidden="1" ht="15.75" customHeight="1"/>
    <row r="122" hidden="1" ht="15.75" customHeight="1"/>
    <row r="123" hidden="1" ht="15.75" customHeight="1"/>
    <row r="124" hidden="1" ht="15.75" customHeight="1"/>
    <row r="125" hidden="1" ht="15.75" customHeight="1"/>
    <row r="126" hidden="1" ht="15.75" customHeight="1"/>
    <row r="127" hidden="1" ht="15.75" customHeight="1"/>
    <row r="128" hidden="1" ht="15.75" customHeight="1"/>
    <row r="129" hidden="1" ht="15.75" customHeight="1"/>
    <row r="130" hidden="1" ht="15.75" customHeight="1"/>
    <row r="131" hidden="1" ht="15.75" customHeight="1"/>
    <row r="132" hidden="1" ht="15.75" customHeight="1"/>
    <row r="133" hidden="1" ht="15.75" customHeight="1"/>
    <row r="134" hidden="1" ht="15.75" customHeight="1"/>
    <row r="135" hidden="1" ht="15.75" customHeight="1"/>
    <row r="136" hidden="1" ht="15.75" customHeight="1"/>
    <row r="137" hidden="1" ht="15.75" customHeight="1"/>
    <row r="138" hidden="1" ht="15.75" customHeight="1"/>
    <row r="139" hidden="1" ht="15.75" customHeight="1"/>
    <row r="140" hidden="1" ht="15.75" customHeight="1"/>
    <row r="141" hidden="1" ht="15.75" customHeight="1"/>
    <row r="142" hidden="1" ht="15.75" customHeight="1"/>
    <row r="143" hidden="1" ht="15.75" customHeight="1"/>
    <row r="144" hidden="1" ht="15.75" customHeight="1"/>
    <row r="145" hidden="1" ht="15.75" customHeight="1"/>
    <row r="146" hidden="1" ht="15.75" customHeight="1"/>
    <row r="147" hidden="1" ht="15.75" customHeight="1"/>
    <row r="148" hidden="1" ht="15.75" customHeight="1"/>
    <row r="149" hidden="1" ht="15.75" customHeight="1"/>
    <row r="150" hidden="1" ht="15.75" customHeight="1"/>
    <row r="151" hidden="1" ht="15.75" customHeight="1"/>
    <row r="152" hidden="1" ht="15.75" customHeight="1"/>
    <row r="153" hidden="1" ht="15.75" customHeight="1"/>
    <row r="154" hidden="1" ht="15.75" customHeight="1"/>
    <row r="155" hidden="1" ht="15.75" customHeight="1"/>
    <row r="156" hidden="1" ht="15.75" customHeight="1"/>
    <row r="157" hidden="1" ht="15.75" customHeight="1"/>
    <row r="158" hidden="1" ht="15.75" customHeight="1"/>
    <row r="159" hidden="1" ht="15.75" customHeight="1"/>
    <row r="160" hidden="1" ht="15.75" customHeight="1"/>
    <row r="161" hidden="1" ht="15.75" customHeight="1"/>
    <row r="162" hidden="1" ht="15.75" customHeight="1"/>
    <row r="163" hidden="1" ht="15.75" customHeight="1"/>
    <row r="164" hidden="1" ht="15.75" customHeight="1"/>
    <row r="165" hidden="1" ht="15.75" customHeight="1"/>
    <row r="166" hidden="1" ht="15.75" customHeight="1"/>
    <row r="167" hidden="1" ht="15.75" customHeight="1"/>
    <row r="168" hidden="1" ht="15.75" customHeight="1"/>
    <row r="169" hidden="1" ht="15.75" customHeight="1"/>
    <row r="170" hidden="1" ht="15.75" customHeight="1"/>
    <row r="171" hidden="1" ht="15.75" customHeight="1"/>
    <row r="172" hidden="1" ht="15.75" customHeight="1"/>
    <row r="173" hidden="1" ht="15.75" customHeight="1"/>
    <row r="174" hidden="1" ht="15.75" customHeight="1"/>
    <row r="175" hidden="1" ht="15.75" customHeight="1"/>
    <row r="176" hidden="1" ht="15.75" customHeight="1"/>
    <row r="177" hidden="1" ht="15.75" customHeight="1"/>
    <row r="178" hidden="1" ht="15.75" customHeight="1"/>
    <row r="179" hidden="1" ht="15.75" customHeight="1"/>
    <row r="180" hidden="1" ht="15.75" customHeight="1"/>
    <row r="181" hidden="1" ht="15.75" customHeight="1"/>
    <row r="182" hidden="1" ht="15.75" customHeight="1"/>
    <row r="183" hidden="1" ht="15.75" customHeight="1"/>
    <row r="184" hidden="1" ht="15.75" customHeight="1"/>
    <row r="185" hidden="1" ht="15.75" customHeight="1"/>
    <row r="186" hidden="1" ht="15.75" customHeight="1"/>
    <row r="187" hidden="1" ht="15.75" customHeight="1"/>
    <row r="188" hidden="1" ht="15.75" customHeight="1"/>
    <row r="189" hidden="1" ht="15.75" customHeight="1"/>
    <row r="190" hidden="1" ht="15.75" customHeight="1"/>
    <row r="191" hidden="1" ht="15.75" customHeight="1"/>
    <row r="192" hidden="1" ht="15.75" customHeight="1"/>
    <row r="193" hidden="1" ht="15.75" customHeight="1"/>
    <row r="194" hidden="1" ht="15.75" customHeight="1"/>
    <row r="195" hidden="1" ht="15.75" customHeight="1"/>
    <row r="196" hidden="1" ht="15.75" customHeight="1"/>
    <row r="197" hidden="1" ht="15.75" customHeight="1"/>
    <row r="198" hidden="1" ht="15.75" customHeight="1"/>
    <row r="199" hidden="1" ht="15.75" customHeight="1"/>
    <row r="200" hidden="1" ht="15.75" customHeight="1"/>
    <row r="201" hidden="1" ht="15.75" customHeight="1"/>
    <row r="202" hidden="1" ht="15.75" customHeight="1"/>
    <row r="203" hidden="1" ht="15.75" customHeight="1"/>
    <row r="204" hidden="1" ht="15.75" customHeight="1"/>
    <row r="205" hidden="1" ht="15.75" customHeight="1"/>
    <row r="206" hidden="1" ht="15.75" customHeight="1"/>
    <row r="207" hidden="1" ht="15.75" customHeight="1"/>
    <row r="208" hidden="1" ht="15.75" customHeight="1"/>
    <row r="209" hidden="1" ht="15.75" customHeight="1"/>
    <row r="210" hidden="1" ht="15.75" customHeight="1"/>
    <row r="211" hidden="1" ht="15.75" customHeight="1"/>
    <row r="212" hidden="1" ht="15.75" customHeight="1"/>
    <row r="213" hidden="1" ht="15.75" customHeight="1"/>
    <row r="214" hidden="1" ht="15.75" customHeight="1"/>
    <row r="215" hidden="1" ht="15.75" customHeight="1"/>
    <row r="216" hidden="1" ht="15.75" customHeight="1"/>
    <row r="217" hidden="1" ht="15.75" customHeight="1"/>
    <row r="218" hidden="1" ht="15.75" customHeight="1"/>
    <row r="219" hidden="1" ht="15.75" customHeight="1"/>
    <row r="220" hidden="1" ht="15.75" customHeight="1"/>
    <row r="221" hidden="1" ht="15.75" customHeight="1"/>
    <row r="222" hidden="1" ht="15.75" customHeight="1"/>
    <row r="223" hidden="1" ht="15.75" customHeight="1"/>
    <row r="224" hidden="1" ht="15.75" customHeight="1"/>
    <row r="225" hidden="1" ht="15.75" customHeight="1"/>
    <row r="226" hidden="1" ht="15.75" customHeight="1"/>
    <row r="227" hidden="1" ht="15.75" customHeight="1"/>
    <row r="228" hidden="1" ht="15.75" customHeight="1"/>
    <row r="229" hidden="1" ht="15.75" customHeight="1"/>
    <row r="230" hidden="1" ht="15.75" customHeight="1"/>
    <row r="231" hidden="1" ht="15.75" customHeight="1"/>
    <row r="232" hidden="1" ht="15.75" customHeight="1"/>
    <row r="233" hidden="1" ht="15.75" customHeight="1"/>
    <row r="234" hidden="1" ht="15.75" customHeight="1"/>
    <row r="235" hidden="1" ht="15.75" customHeight="1"/>
    <row r="236" hidden="1" ht="15.75" customHeight="1"/>
    <row r="237" hidden="1" ht="15.75" customHeight="1"/>
    <row r="238" hidden="1" ht="15.75" customHeight="1"/>
    <row r="239" hidden="1" ht="15.75" customHeight="1"/>
    <row r="240" hidden="1" ht="15.75" customHeight="1"/>
    <row r="241" hidden="1" ht="15.75" customHeight="1"/>
    <row r="242" hidden="1" ht="15.75" customHeight="1"/>
    <row r="243" hidden="1" ht="15.75" customHeight="1"/>
    <row r="244" hidden="1" ht="15.75" customHeight="1"/>
    <row r="245" hidden="1" ht="15.75" customHeight="1"/>
    <row r="246" hidden="1" ht="15.75" customHeight="1"/>
    <row r="247" hidden="1" ht="15.75" customHeight="1"/>
    <row r="248" hidden="1" ht="15.75" customHeight="1"/>
    <row r="249" hidden="1" ht="15.75" customHeight="1"/>
    <row r="250" hidden="1" ht="15.75" customHeight="1"/>
    <row r="251" hidden="1" ht="15.75" customHeight="1"/>
    <row r="252" hidden="1" ht="15.75" customHeight="1"/>
    <row r="253" hidden="1" ht="15.75" customHeight="1"/>
    <row r="254" hidden="1" ht="15.75" customHeight="1"/>
    <row r="255" hidden="1" ht="15.75" customHeight="1"/>
    <row r="256" hidden="1" ht="15.75" customHeight="1"/>
    <row r="257" hidden="1" ht="15.75" customHeight="1"/>
    <row r="258" hidden="1" ht="15.75" customHeight="1"/>
    <row r="259" hidden="1" ht="15.75" customHeight="1"/>
    <row r="260" hidden="1" ht="15.75" customHeight="1"/>
    <row r="261" hidden="1" ht="15.75" customHeight="1"/>
    <row r="262" hidden="1" ht="15.75" customHeight="1"/>
    <row r="263" hidden="1" ht="15.75" customHeight="1"/>
    <row r="264" hidden="1" ht="15.75" customHeight="1"/>
    <row r="265" hidden="1" ht="15.75" customHeight="1"/>
    <row r="266" hidden="1" ht="15.75" customHeight="1"/>
    <row r="267" hidden="1" ht="15.75" customHeight="1"/>
    <row r="268" hidden="1" ht="15.75" customHeight="1"/>
    <row r="269" hidden="1" ht="15.75" customHeight="1"/>
    <row r="270" hidden="1" ht="15.75" customHeight="1"/>
    <row r="271" hidden="1" ht="15.75" customHeight="1"/>
    <row r="272" hidden="1" ht="15.75" customHeight="1"/>
    <row r="273" hidden="1" ht="15.75" customHeight="1"/>
    <row r="274" hidden="1" ht="15.75" customHeight="1"/>
    <row r="275" hidden="1" ht="15.75" customHeight="1"/>
    <row r="276" hidden="1" ht="15.75" customHeight="1"/>
    <row r="277" hidden="1" ht="15.75" customHeight="1"/>
    <row r="278" hidden="1" ht="15.75" customHeight="1"/>
    <row r="279" hidden="1" ht="15.75" customHeight="1"/>
    <row r="280" hidden="1" ht="15.75" customHeight="1"/>
    <row r="281" hidden="1" ht="15.75" customHeight="1"/>
    <row r="282" hidden="1" ht="15.75" customHeight="1"/>
    <row r="283" hidden="1" ht="15.75" customHeight="1"/>
    <row r="284" hidden="1" ht="15.75" customHeight="1"/>
    <row r="285" hidden="1" ht="15.75" customHeight="1"/>
    <row r="286" hidden="1" ht="15.75" customHeight="1"/>
    <row r="287" hidden="1" ht="15.75" customHeight="1"/>
    <row r="288" hidden="1" ht="15.75" customHeight="1"/>
    <row r="289" hidden="1" ht="15.75" customHeight="1"/>
    <row r="290" hidden="1" ht="15.75" customHeight="1"/>
    <row r="291" hidden="1" ht="15.75" customHeight="1"/>
    <row r="292" hidden="1" ht="15.75" customHeight="1"/>
    <row r="293" hidden="1" ht="15.75" customHeight="1"/>
    <row r="294" hidden="1" ht="15.75" customHeight="1"/>
    <row r="295" hidden="1" ht="15.75" customHeight="1"/>
    <row r="296" hidden="1" ht="15.75" customHeight="1"/>
    <row r="297" hidden="1" ht="15.75" customHeight="1"/>
    <row r="298" hidden="1" ht="15.75" customHeight="1"/>
    <row r="299" hidden="1" ht="15.75" customHeight="1"/>
    <row r="300" hidden="1" ht="15.75" customHeight="1"/>
    <row r="301" hidden="1" ht="15.75" customHeight="1"/>
    <row r="302" hidden="1" ht="15.75" customHeight="1"/>
    <row r="303" hidden="1" ht="15.75" customHeight="1"/>
    <row r="304" hidden="1" ht="15.75" customHeight="1"/>
    <row r="305" hidden="1" ht="15.75" customHeight="1"/>
    <row r="306" hidden="1" ht="15.75" customHeight="1"/>
    <row r="307" hidden="1" ht="15.75" customHeight="1"/>
    <row r="308" hidden="1" ht="15.75" customHeight="1"/>
    <row r="309" hidden="1" ht="15.75" customHeight="1"/>
    <row r="310" hidden="1" ht="15.75" customHeight="1"/>
    <row r="311" hidden="1" ht="15.75" customHeight="1"/>
    <row r="312" hidden="1" ht="15.75" customHeight="1"/>
    <row r="313" hidden="1" ht="15.75" customHeight="1"/>
    <row r="314" hidden="1" ht="15.75" customHeight="1"/>
    <row r="315" hidden="1" ht="15.75" customHeight="1"/>
    <row r="316" hidden="1" ht="15.75" customHeight="1"/>
    <row r="317" hidden="1" ht="15.75" customHeight="1"/>
    <row r="318" hidden="1" ht="15.75" customHeight="1"/>
    <row r="319" hidden="1" ht="15.75" customHeight="1"/>
    <row r="320" hidden="1" ht="15.75" customHeight="1"/>
    <row r="321" hidden="1" ht="15.75" customHeight="1"/>
    <row r="322" hidden="1" ht="15.75" customHeight="1"/>
    <row r="323" hidden="1" ht="15.75" customHeight="1"/>
    <row r="324" hidden="1" ht="15.75" customHeight="1"/>
    <row r="325" hidden="1" ht="15.75" customHeight="1"/>
    <row r="326" hidden="1" ht="15.75" customHeight="1"/>
    <row r="327" hidden="1" ht="15.75" customHeight="1"/>
    <row r="328" hidden="1" ht="15.75" customHeight="1"/>
    <row r="329" hidden="1" ht="15.75" customHeight="1"/>
    <row r="330" hidden="1" ht="15.75" customHeight="1"/>
    <row r="331" hidden="1" ht="15.75" customHeight="1"/>
    <row r="332" hidden="1" ht="15.75" customHeight="1"/>
    <row r="333" hidden="1" ht="15.75" customHeight="1"/>
    <row r="334" hidden="1" ht="15.75" customHeight="1"/>
    <row r="335" hidden="1" ht="15.75" customHeight="1"/>
    <row r="336" hidden="1" ht="15.75" customHeight="1"/>
    <row r="337" hidden="1" ht="15.75" customHeight="1"/>
    <row r="338" hidden="1" ht="15.75" customHeight="1"/>
    <row r="339" hidden="1" ht="15.75" customHeight="1"/>
    <row r="340" hidden="1" ht="15.75" customHeight="1"/>
    <row r="341" hidden="1" ht="15.75" customHeight="1"/>
    <row r="342" hidden="1" ht="15.75" customHeight="1"/>
    <row r="343" hidden="1" ht="15.75" customHeight="1"/>
    <row r="344" hidden="1" ht="15.75" customHeight="1"/>
    <row r="345" hidden="1" ht="15.75" customHeight="1"/>
    <row r="346" hidden="1" ht="15.75" customHeight="1"/>
    <row r="347" hidden="1" ht="15.75" customHeight="1"/>
    <row r="348" hidden="1" ht="15.75" customHeight="1"/>
    <row r="349" hidden="1" ht="15.75" customHeight="1"/>
    <row r="350" hidden="1" ht="15.75" customHeight="1"/>
    <row r="351" hidden="1" ht="15.75" customHeight="1"/>
    <row r="352" hidden="1" ht="15.75" customHeight="1"/>
    <row r="353" hidden="1" ht="15.75" customHeight="1"/>
    <row r="354" hidden="1" ht="15.75" customHeight="1"/>
    <row r="355" hidden="1" ht="15.75" customHeight="1"/>
    <row r="356" hidden="1" ht="15.75" customHeight="1"/>
    <row r="357" hidden="1" ht="15.75" customHeight="1"/>
    <row r="358" hidden="1" ht="15.75" customHeight="1"/>
    <row r="359" hidden="1" ht="15.75" customHeight="1"/>
    <row r="360" hidden="1" ht="15.75" customHeight="1"/>
    <row r="361" hidden="1" ht="15.75" customHeight="1"/>
    <row r="362" hidden="1" ht="15.75" customHeight="1"/>
    <row r="363" hidden="1" ht="15.75" customHeight="1"/>
    <row r="364" hidden="1" ht="15.75" customHeight="1"/>
    <row r="365" hidden="1" ht="15.75" customHeight="1"/>
    <row r="366" hidden="1" ht="15.75" customHeight="1"/>
    <row r="367" hidden="1" ht="15.75" customHeight="1"/>
    <row r="368" hidden="1" ht="15.75" customHeight="1"/>
    <row r="369" hidden="1" ht="15.75" customHeight="1"/>
    <row r="370" hidden="1" ht="15.75" customHeight="1"/>
    <row r="371" hidden="1" ht="15.75" customHeight="1"/>
    <row r="372" hidden="1" ht="15.75" customHeight="1"/>
    <row r="373" hidden="1" ht="15.75" customHeight="1"/>
    <row r="374" hidden="1" ht="15.75" customHeight="1"/>
    <row r="375" hidden="1" ht="15.75" customHeight="1"/>
    <row r="376" hidden="1" ht="15.75" customHeight="1"/>
    <row r="377" hidden="1" ht="15.75" customHeight="1"/>
    <row r="378" hidden="1" ht="15.75" customHeight="1"/>
    <row r="379" hidden="1" ht="15.75" customHeight="1"/>
    <row r="380" hidden="1" ht="15.75" customHeight="1"/>
    <row r="381" hidden="1" ht="15.75" customHeight="1"/>
    <row r="382" hidden="1" ht="15.75" customHeight="1"/>
    <row r="383" hidden="1" ht="15.75" customHeight="1"/>
    <row r="384" hidden="1" ht="15.75" customHeight="1"/>
    <row r="385" hidden="1" ht="15.75" customHeight="1"/>
    <row r="386" hidden="1" ht="15.75" customHeight="1"/>
    <row r="387" hidden="1" ht="15.75" customHeight="1"/>
    <row r="388" hidden="1" ht="15.75" customHeight="1"/>
    <row r="389" hidden="1" ht="15.75" customHeight="1"/>
    <row r="390" hidden="1" ht="15.75" customHeight="1"/>
    <row r="391" hidden="1" ht="15.75" customHeight="1"/>
    <row r="392" hidden="1" ht="15.75" customHeight="1"/>
    <row r="393" hidden="1" ht="15.75" customHeight="1"/>
    <row r="394" hidden="1" ht="15.75" customHeight="1"/>
    <row r="395" hidden="1" ht="15.75" customHeight="1"/>
    <row r="396" hidden="1" ht="15.75" customHeight="1"/>
    <row r="397" hidden="1" ht="15.75" customHeight="1"/>
    <row r="398" hidden="1" ht="15.75" customHeight="1"/>
    <row r="399" hidden="1" ht="15.75" customHeight="1"/>
    <row r="400" hidden="1" ht="15.75" customHeight="1"/>
    <row r="401" hidden="1" ht="15.75" customHeight="1"/>
    <row r="402" hidden="1" ht="15.75" customHeight="1"/>
    <row r="403" hidden="1" ht="15.75" customHeight="1"/>
    <row r="404" hidden="1" ht="15.75" customHeight="1"/>
    <row r="405" hidden="1" ht="15.75" customHeight="1"/>
    <row r="406" hidden="1" ht="15.75" customHeight="1"/>
    <row r="407" hidden="1" ht="15.75" customHeight="1"/>
    <row r="408" hidden="1" ht="15.75" customHeight="1"/>
    <row r="409" hidden="1" ht="15.75" customHeight="1"/>
    <row r="410" hidden="1" ht="15.75" customHeight="1"/>
    <row r="411" hidden="1" ht="15.75" customHeight="1"/>
    <row r="412" hidden="1" ht="15.75" customHeight="1"/>
    <row r="413" hidden="1" ht="15.75" customHeight="1"/>
    <row r="414" hidden="1" ht="15.75" customHeight="1"/>
    <row r="415" hidden="1" ht="15.75" customHeight="1"/>
    <row r="416" hidden="1" ht="15.75" customHeight="1"/>
    <row r="417" hidden="1" ht="15.75" customHeight="1"/>
    <row r="418" hidden="1" ht="15.75" customHeight="1"/>
    <row r="419" hidden="1" ht="15.75" customHeight="1"/>
    <row r="420" hidden="1" ht="15.75" customHeight="1"/>
    <row r="421" hidden="1" ht="15.75" customHeight="1"/>
    <row r="422" hidden="1" ht="15.75" customHeight="1"/>
    <row r="423" hidden="1" ht="15.75" customHeight="1"/>
    <row r="424" hidden="1" ht="15.75" customHeight="1"/>
    <row r="425" hidden="1" ht="15.75" customHeight="1"/>
    <row r="426" hidden="1" ht="15.75" customHeight="1"/>
    <row r="427" hidden="1" ht="15.75" customHeight="1"/>
    <row r="428" hidden="1" ht="15.75" customHeight="1"/>
    <row r="429" hidden="1" ht="15.75" customHeight="1"/>
    <row r="430" hidden="1" ht="15.75" customHeight="1"/>
    <row r="431" hidden="1" ht="15.75" customHeight="1"/>
    <row r="432" hidden="1" ht="15.75" customHeight="1"/>
    <row r="433" hidden="1" ht="15.75" customHeight="1"/>
    <row r="434" hidden="1" ht="15.75" customHeight="1"/>
    <row r="435" hidden="1" ht="15.75" customHeight="1"/>
    <row r="436" hidden="1" ht="15.75" customHeight="1"/>
    <row r="437" hidden="1" ht="15.75" customHeight="1"/>
    <row r="438" hidden="1" ht="15.75" customHeight="1"/>
    <row r="439" hidden="1" ht="15.75" customHeight="1"/>
    <row r="440" hidden="1" ht="15.75" customHeight="1"/>
    <row r="441" hidden="1" ht="15.75" customHeight="1"/>
    <row r="442" hidden="1" ht="15.75" customHeight="1"/>
    <row r="443" hidden="1" ht="15.75" customHeight="1"/>
    <row r="444" hidden="1" ht="15.75" customHeight="1"/>
    <row r="445" hidden="1" ht="15.75" customHeight="1"/>
    <row r="446" hidden="1" ht="15.75" customHeight="1"/>
    <row r="447" hidden="1" ht="15.75" customHeight="1"/>
    <row r="448" hidden="1" ht="15.75" customHeight="1"/>
    <row r="449" hidden="1" ht="15.75" customHeight="1"/>
    <row r="450" hidden="1" ht="15.75" customHeight="1"/>
    <row r="451" hidden="1" ht="15.75" customHeight="1"/>
    <row r="452" hidden="1" ht="15.75" customHeight="1"/>
    <row r="453" hidden="1" ht="15.75" customHeight="1"/>
    <row r="454" hidden="1" ht="15.75" customHeight="1"/>
    <row r="455" hidden="1" ht="15.75" customHeight="1"/>
    <row r="456" hidden="1" ht="15.75" customHeight="1"/>
    <row r="457" hidden="1" ht="15.75" customHeight="1"/>
    <row r="458" hidden="1" ht="15.75" customHeight="1"/>
    <row r="459" hidden="1" ht="15.75" customHeight="1"/>
    <row r="460" hidden="1" ht="15.75" customHeight="1"/>
    <row r="461" hidden="1" ht="15.75" customHeight="1"/>
    <row r="462" hidden="1" ht="15.75" customHeight="1"/>
    <row r="463" hidden="1" ht="15.75" customHeight="1"/>
    <row r="464" hidden="1" ht="15.75" customHeight="1"/>
    <row r="465" hidden="1" ht="15.75" customHeight="1"/>
    <row r="466" hidden="1" ht="15.75" customHeight="1"/>
    <row r="467" hidden="1" ht="15.75" customHeight="1"/>
    <row r="468" hidden="1" ht="15.75" customHeight="1"/>
    <row r="469" hidden="1" ht="15.75" customHeight="1"/>
    <row r="470" hidden="1" ht="15.75" customHeight="1"/>
    <row r="471" hidden="1" ht="15.75" customHeight="1"/>
    <row r="472" hidden="1" ht="15.75" customHeight="1"/>
    <row r="473" hidden="1" ht="15.75" customHeight="1"/>
    <row r="474" hidden="1" ht="15.75" customHeight="1"/>
    <row r="475" hidden="1" ht="15.75" customHeight="1"/>
    <row r="476" hidden="1" ht="15.75" customHeight="1"/>
    <row r="477" hidden="1" ht="15.75" customHeight="1"/>
    <row r="478" hidden="1" ht="15.75" customHeight="1"/>
    <row r="479" hidden="1" ht="15.75" customHeight="1"/>
    <row r="480" hidden="1" ht="15.75" customHeight="1"/>
    <row r="481" hidden="1" ht="15.75" customHeight="1"/>
    <row r="482" hidden="1" ht="15.75" customHeight="1"/>
    <row r="483" hidden="1" ht="15.75" customHeight="1"/>
    <row r="484" hidden="1" ht="15.75" customHeight="1"/>
    <row r="485" hidden="1" ht="15.75" customHeight="1"/>
    <row r="486" hidden="1" ht="15.75" customHeight="1"/>
    <row r="487" hidden="1" ht="15.75" customHeight="1"/>
    <row r="488" hidden="1" ht="15.75" customHeight="1"/>
    <row r="489" hidden="1" ht="15.75" customHeight="1"/>
    <row r="490" hidden="1" ht="15.75" customHeight="1"/>
    <row r="491" hidden="1" ht="15.75" customHeight="1"/>
    <row r="492" hidden="1" ht="15.75" customHeight="1"/>
    <row r="493" hidden="1" ht="15.75" customHeight="1"/>
    <row r="494" hidden="1" ht="15.75" customHeight="1"/>
    <row r="495" hidden="1" ht="15.75" customHeight="1"/>
    <row r="496" hidden="1" ht="15.75" customHeight="1"/>
    <row r="497" hidden="1" ht="15.75" customHeight="1"/>
    <row r="498" hidden="1" ht="15.75" customHeight="1"/>
    <row r="499" hidden="1" ht="15.75" customHeight="1"/>
    <row r="500" hidden="1" ht="15.75" customHeight="1"/>
    <row r="501" hidden="1" ht="15.75" customHeight="1"/>
    <row r="502" hidden="1" ht="15.75" customHeight="1"/>
    <row r="503" hidden="1" ht="15.75" customHeight="1"/>
    <row r="504" hidden="1" ht="15.75" customHeight="1"/>
    <row r="505" hidden="1" ht="15.75" customHeight="1"/>
    <row r="506" hidden="1" ht="15.75" customHeight="1"/>
    <row r="507" hidden="1" ht="15.75" customHeight="1"/>
    <row r="508" hidden="1" ht="15.75" customHeight="1"/>
    <row r="509" hidden="1" ht="15.75" customHeight="1"/>
    <row r="510" hidden="1" ht="15.75" customHeight="1"/>
    <row r="511" hidden="1" ht="15.75" customHeight="1"/>
    <row r="512" hidden="1" ht="15.75" customHeight="1"/>
    <row r="513" hidden="1" ht="15.75" customHeight="1"/>
    <row r="514" hidden="1" ht="15.75" customHeight="1"/>
    <row r="515" hidden="1" ht="15.75" customHeight="1"/>
    <row r="516" hidden="1" ht="15.75" customHeight="1"/>
    <row r="517" hidden="1" ht="15.75" customHeight="1"/>
    <row r="518" hidden="1" ht="15.75" customHeight="1"/>
    <row r="519" hidden="1" ht="15.75" customHeight="1"/>
    <row r="520" hidden="1" ht="15.75" customHeight="1"/>
    <row r="521" hidden="1" ht="15.75" customHeight="1"/>
    <row r="522" hidden="1" ht="15.75" customHeight="1"/>
    <row r="523" hidden="1" ht="15.75" customHeight="1"/>
    <row r="524" hidden="1" ht="15.75" customHeight="1"/>
    <row r="525" hidden="1" ht="15.75" customHeight="1"/>
    <row r="526" hidden="1" ht="15.75" customHeight="1"/>
    <row r="527" hidden="1" ht="15.75" customHeight="1"/>
    <row r="528" hidden="1" ht="15.75" customHeight="1"/>
    <row r="529" hidden="1" ht="15.75" customHeight="1"/>
    <row r="530" hidden="1" ht="15.75" customHeight="1"/>
    <row r="531" hidden="1" ht="15.75" customHeight="1"/>
    <row r="532" hidden="1" ht="15.75" customHeight="1"/>
    <row r="533" hidden="1" ht="15.75" customHeight="1"/>
    <row r="534" hidden="1" ht="15.75" customHeight="1"/>
    <row r="535" hidden="1" ht="15.75" customHeight="1"/>
    <row r="536" hidden="1" ht="15.75" customHeight="1"/>
    <row r="537" hidden="1" ht="15.75" customHeight="1"/>
    <row r="538" hidden="1" ht="15.75" customHeight="1"/>
    <row r="539" hidden="1" ht="15.75" customHeight="1"/>
    <row r="540" hidden="1" ht="15.75" customHeight="1"/>
    <row r="541" hidden="1" ht="15.75" customHeight="1"/>
    <row r="542" hidden="1" ht="15.75" customHeight="1"/>
  </sheetData>
  <mergeCells count="27">
    <mergeCell ref="R14:V14"/>
    <mergeCell ref="A11:D11"/>
    <mergeCell ref="E11:F11"/>
    <mergeCell ref="L11:Q11"/>
    <mergeCell ref="A12:D12"/>
    <mergeCell ref="E12:F12"/>
    <mergeCell ref="L12:Q12"/>
    <mergeCell ref="A14:A15"/>
    <mergeCell ref="A10:D10"/>
    <mergeCell ref="E10:F10"/>
    <mergeCell ref="L10:Q10"/>
    <mergeCell ref="B14:B15"/>
    <mergeCell ref="C14:G14"/>
    <mergeCell ref="H14:L14"/>
    <mergeCell ref="M14:Q14"/>
    <mergeCell ref="A6:V6"/>
    <mergeCell ref="L7:V7"/>
    <mergeCell ref="A7:A9"/>
    <mergeCell ref="B7:K9"/>
    <mergeCell ref="L8:Q8"/>
    <mergeCell ref="L9:Q9"/>
    <mergeCell ref="A1:V1"/>
    <mergeCell ref="A2:V2"/>
    <mergeCell ref="A4:B4"/>
    <mergeCell ref="E4:F4"/>
    <mergeCell ref="H4:J4"/>
    <mergeCell ref="K4:Q4"/>
  </mergeCells>
  <pageMargins left="0.7" right="0.7" top="0.75" bottom="0.75" header="0" footer="0"/>
  <ignoredErrors>
    <ignoredError numberStoredAsText="1" sqref="A1:Z54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548"/>
  <sheetViews>
    <sheetView workbookViewId="0" rightToLeft="0"/>
  </sheetViews>
  <cols>
    <col min="1" max="1" customWidth="1" width="6.140625"/>
    <col min="2" max="2" customWidth="1" width="22.85546875"/>
    <col min="3" max="3" customWidth="1" width="8"/>
    <col min="4" max="4" customWidth="1" width="8"/>
    <col min="5" max="5" customWidth="1" width="8"/>
    <col min="6" max="6" customWidth="1" width="8"/>
    <col min="7" max="7" customWidth="1" width="8"/>
    <col min="8" max="8" customWidth="1" width="8"/>
    <col min="9" max="9" customWidth="1" width="8"/>
    <col min="10" max="10" customWidth="1" width="9.5703125"/>
    <col min="11" max="11" customWidth="1" width="8"/>
    <col min="12" max="12" customWidth="1" width="8"/>
    <col min="13" max="13" customWidth="1" width="8"/>
    <col min="14" max="14" customWidth="1" width="8"/>
    <col min="15" max="15" customWidth="1" width="8"/>
    <col min="16" max="16" customWidth="1" width="8"/>
    <col min="17" max="17" customWidth="1" width="8"/>
    <col min="18" max="18" customWidth="1" width="8"/>
    <col min="19" max="19" customWidth="1" width="8"/>
    <col min="20" max="20" customWidth="1" width="8"/>
    <col min="21" max="21" customWidth="1" width="8"/>
    <col min="22" max="22" customWidth="1" width="8"/>
    <col min="23" max="23" customWidth="1" width="14.42578125"/>
    <col min="24" max="24" customWidth="1" width="8"/>
    <col min="25" max="25" customWidth="1" width="8"/>
  </cols>
  <sheetData>
    <row r="1" ht="26.25" customHeight="1">
      <c r="A1" s="3">
        <f>'Final Attainment'!A1:V1</f>
        <v>0</v>
      </c>
    </row>
    <row r="2" ht="19.5" customHeight="1">
      <c r="A2" s="3">
        <f>'Final Attainment'!A2:V2</f>
        <v>0</v>
      </c>
    </row>
    <row r="3" ht="15.75" customHeight="1"/>
    <row r="4" ht="39" customHeight="1">
      <c r="A4" s="3" t="str">
        <v>Academic Year:</v>
      </c>
      <c r="C4" s="3" t="str">
        <f>'Final Attainment'!C4</f>
        <v>2024-2025 EVEN</v>
      </c>
      <c r="E4" s="3" t="str">
        <v>Sem &amp; Year:</v>
      </c>
      <c r="G4" s="3" t="str">
        <f>'Final Attainment'!G4</f>
        <v>IV &amp; II</v>
      </c>
      <c r="H4" s="3" t="str">
        <v>Course Code &amp; Title:</v>
      </c>
      <c r="K4" s="3" t="str">
        <f>'Final Attainment'!K4:Q4</f>
        <v>22EE401 &amp; POWER GENERATION, TRANSMISSION AND DISTRIBUTION</v>
      </c>
      <c r="R4" s="3" t="str">
        <v>Faculty:</v>
      </c>
      <c r="S4" s="3" t="str">
        <f>'Final Attainment'!S4</f>
        <v>Dr.SIVARAMAN P / EE1329</v>
      </c>
    </row>
    <row r="5" ht="16.5" customHeight="1"/>
    <row r="6" ht="28.5" customHeight="1">
      <c r="A6" s="4" t="str">
        <v>IP2</v>
      </c>
    </row>
    <row r="7" ht="28.5" customHeight="1" xml:space="preserve">
      <c r="A7" s="4" t="str">
        <v>Scale</v>
      </c>
      <c r="B7" s="4" t="str" xml:space="preserve">
        <f>'Final Attainment'!X1</f>
        <v xml:space="preserve">CO Attainment Level 0: &lt;50% of students scoring less than the target marks_x000d_
CO Attainment Level 1: 50% of students scoring more than the target marks_x000d_
CO Attainment Level 2: 60% of students scoring more than the target marks_x000d_
CO Attainment Level 3: 70% of students scoring more than the target marks</v>
      </c>
      <c r="L7" s="4" t="str">
        <v>CO Attainment Summary</v>
      </c>
    </row>
    <row r="8" ht="15.75" customHeight="1">
      <c r="R8" s="4" t="str">
        <v>CO1</v>
      </c>
      <c r="S8" s="4" t="str">
        <v>CO2</v>
      </c>
      <c r="T8" s="4" t="str">
        <v>CO3</v>
      </c>
      <c r="U8" s="4" t="str">
        <v>CO4</v>
      </c>
      <c r="V8" s="4" t="str">
        <v>CO5</v>
      </c>
    </row>
    <row r="9" ht="16.5" customHeight="1">
      <c r="L9" s="4" t="str">
        <v>Total No. of Students</v>
      </c>
      <c r="R9" s="4">
        <f>COUNTIF(H16:H548,"&gt;=0")</f>
        <v>0</v>
      </c>
      <c r="S9" s="4">
        <f>COUNTIF(I16:I548,"&gt;=0")</f>
        <v>0</v>
      </c>
      <c r="T9" s="4">
        <f>COUNTIF(J16:J548,"&gt;=0")</f>
        <v>0</v>
      </c>
      <c r="U9" s="4">
        <f>COUNTIF(K16:K548,"&gt;=0")</f>
        <v>66</v>
      </c>
      <c r="V9" s="4">
        <f>COUNTIF(L16:L548,"&gt;=0")</f>
        <v>0</v>
      </c>
    </row>
    <row r="10" ht="15.75" customHeight="1">
      <c r="A10" s="4" t="str">
        <v>Target CO%:</v>
      </c>
      <c r="E10" s="4">
        <f>'Final Attainment'!E7</f>
        <v>58</v>
      </c>
      <c r="L10" s="4" t="str">
        <v>Total No. of Students Achieved the Target CO%</v>
      </c>
      <c r="R10" s="4">
        <f>COUNTIF(M16:M548,"&gt;="&amp;$E$10)</f>
        <v>0</v>
      </c>
      <c r="S10" s="4">
        <f>COUNTIF(N16:N548,"&gt;="&amp;$E$10)</f>
        <v>0</v>
      </c>
      <c r="T10" s="4">
        <f>COUNTIF(O16:O548,"&gt;="&amp;$E$10)</f>
        <v>0</v>
      </c>
      <c r="U10" s="4">
        <f>COUNTIF(P16:P548,"&gt;="&amp;$E$10)</f>
        <v>58</v>
      </c>
      <c r="V10" s="4">
        <f>COUNTIF(Q16:Q548,"&gt;="&amp;$E$10)</f>
        <v>0</v>
      </c>
    </row>
    <row r="11" ht="15.75" customHeight="1">
      <c r="A11" s="4" t="str">
        <v>Total No. of Students:</v>
      </c>
      <c r="E11" s="4">
        <f>COUNTA(B16:B548)</f>
        <v>66</v>
      </c>
      <c r="L11" s="4" t="str">
        <v>Attainment Level</v>
      </c>
      <c r="R11" s="10" t="str">
        <f>IFERROR(__xludf.DUMMYFUNCTION("IF(R10=0,"""",if(CEILING(R10/R9*100)=100,query('Final Attainment'!$H$7:$J$12, ""select H where  I&lt;=""&amp;CEILING(R10/R9*100)&amp;"" and J&gt;=""&amp;CEILING(R10/R9*100)&amp;"""" ),query('Final Attainment'!$H$7:$J$12, ""select H where  I&lt;=""&amp;CEILING(R10/R9*100)&amp;"" and J&gt;""&amp;"&amp;"CEILING(R10/R9*100)&amp;"""" )))"),"")</f>
        <v/>
      </c>
      <c r="S11" s="10" t="str">
        <f>IFERROR(__xludf.DUMMYFUNCTION("IF(S10=0,"""",if(CEILING(S10/S9*100)=100,query('Final Attainment'!$H$7:$J$12, ""select H where  I&lt;=""&amp;CEILING(S10/S9*100)&amp;"" and J&gt;=""&amp;CEILING(S10/S9*100)&amp;"""" ),query('Final Attainment'!$H$7:$J$12, ""select H where  I&lt;=""&amp;CEILING(S10/S9*100)&amp;"" and J&gt;""&amp;"&amp;"CEILING(S10/S9*100)&amp;"""" )))"),"")</f>
        <v/>
      </c>
      <c r="T11" s="10" t="str">
        <f>IFERROR(__xludf.DUMMYFUNCTION("IF(T10=0,"""",if(CEILING(T10/T9*100)=100,query('Final Attainment'!$H$7:$J$12, ""select H where  I&lt;=""&amp;CEILING(T10/T9*100)&amp;"" and J&gt;=""&amp;CEILING(T10/T9*100)&amp;"""" ),query('Final Attainment'!$H$7:$J$12, ""select H where  I&lt;=""&amp;CEILING(T10/T9*100)&amp;"" and J&gt;""&amp;"&amp;"CEILING(T10/T9*100)&amp;"""" )))"),"")</f>
        <v/>
      </c>
      <c r="U11" s="10">
        <f>IFERROR(__xludf.DUMMYFUNCTION("IF(U10=0,"""",if(CEILING(U10/U9*100)=100,query('Final Attainment'!$H$7:$J$12, ""select H where  I&lt;=""&amp;CEILING(U10/U9*100)&amp;"" and J&gt;=""&amp;CEILING(U10/U9*100)&amp;"""" ),query('Final Attainment'!$H$7:$J$12, ""select H where  I&lt;=""&amp;CEILING(U10/U9*100)&amp;"" and J&gt;""&amp;"&amp;"CEILING(U10/U9*100)&amp;"""" )))"),3)</f>
        <v>3</v>
      </c>
      <c r="V11" s="10" t="str">
        <f>IFERROR(__xludf.DUMMYFUNCTION("IF(V10=0,"""",if(CEILING(V10/V9*100)=100,query('Final Attainment'!$H$7:$J$12, ""select H where  I&lt;=""&amp;CEILING(V10/V9*100)&amp;"" and J&gt;=""&amp;CEILING(V10/V9*100)&amp;"""" ),query('Final Attainment'!$H$7:$J$12, ""select H where  I&lt;=""&amp;CEILING(V10/V9*100)&amp;"" and J&gt;""&amp;"&amp;"CEILING(V10/V9*100)&amp;"""" )))"),"")</f>
        <v/>
      </c>
    </row>
    <row r="12" ht="16.5" customHeight="1">
      <c r="A12" s="4" t="str">
        <v>Total No. of Attended Students:</v>
      </c>
      <c r="E12" s="4">
        <f>U9</f>
        <v>66</v>
      </c>
      <c r="L12" s="4" t="str">
        <v>Total No. of Students who need Remedial Class</v>
      </c>
      <c r="R12" s="11">
        <f>R9-R10</f>
        <v>0</v>
      </c>
      <c r="S12" s="11">
        <f>S9-S10</f>
        <v>0</v>
      </c>
      <c r="T12" s="11">
        <f>T9-T10</f>
        <v>0</v>
      </c>
      <c r="U12" s="11">
        <f>U9-U10</f>
        <v>8</v>
      </c>
      <c r="V12" s="11">
        <f>V9-V10</f>
        <v>0</v>
      </c>
    </row>
    <row r="13" ht="15.75" customHeight="1"/>
    <row r="14" ht="15.75" customHeight="1">
      <c r="A14" s="12" t="str">
        <v>S.No</v>
      </c>
      <c r="B14" s="12" t="str">
        <v>Reg.No.</v>
      </c>
      <c r="C14" s="12" t="str">
        <v>MARKS ALLOCATED</v>
      </c>
      <c r="H14" s="12" t="str">
        <v>MARKS OBTAINED</v>
      </c>
      <c r="M14" s="12" t="str">
        <v>CO ATTAINMENT %</v>
      </c>
      <c r="R14" s="12" t="str">
        <v>ATTAINMENT of COs</v>
      </c>
      <c r="W14" s="12" t="str">
        <v>IP2</v>
      </c>
    </row>
    <row r="15" ht="15.75" customHeight="1">
      <c r="C15" s="12" t="str">
        <v>CO1</v>
      </c>
      <c r="D15" s="12" t="str">
        <v>CO2</v>
      </c>
      <c r="E15" s="12" t="str">
        <v>CO3</v>
      </c>
      <c r="F15" s="12" t="str">
        <v>CO4</v>
      </c>
      <c r="G15" s="12" t="str">
        <v>CO5</v>
      </c>
      <c r="H15" s="12" t="str">
        <v>CO1</v>
      </c>
      <c r="I15" s="12" t="str">
        <v>CO2</v>
      </c>
      <c r="J15" s="12" t="str">
        <v>CO3</v>
      </c>
      <c r="K15" s="12" t="str">
        <v>CO4</v>
      </c>
      <c r="L15" s="12" t="str">
        <v>CO5</v>
      </c>
      <c r="M15" s="12" t="str">
        <v>CO1</v>
      </c>
      <c r="N15" s="12" t="str">
        <v>CO2</v>
      </c>
      <c r="O15" s="12" t="str">
        <v>CO3</v>
      </c>
      <c r="P15" s="12" t="str">
        <v>CO4</v>
      </c>
      <c r="Q15" s="12" t="str">
        <v>CO5</v>
      </c>
      <c r="R15" s="12" t="str">
        <v>CO1</v>
      </c>
      <c r="S15" s="12" t="str">
        <v>CO2</v>
      </c>
      <c r="T15" s="12" t="str">
        <v>CO3</v>
      </c>
      <c r="U15" s="12" t="str">
        <v>CO4</v>
      </c>
      <c r="V15" s="12" t="str">
        <v>CO5</v>
      </c>
      <c r="W15" s="12" t="str">
        <v>Marks</v>
      </c>
    </row>
    <row r="16" ht="16.5" customHeight="1">
      <c r="A16" s="3">
        <f>Theory!A6</f>
        <v>1</v>
      </c>
      <c r="B16" s="3" t="str">
        <f>Theory!B6</f>
        <v>7376231EE102</v>
      </c>
      <c r="F16" s="3">
        <v>8</v>
      </c>
      <c r="K16" s="4">
        <v>7</v>
      </c>
      <c r="N16" s="11" t="str">
        <f>IF(D16="","",I16*100/D16)</f>
        <v/>
      </c>
      <c r="O16" s="11" t="str">
        <f>IF(E16="","",J16*100/E16)</f>
        <v/>
      </c>
      <c r="P16" s="11">
        <f>IF(F16="","",K16*100/F16)</f>
        <v>87.5</v>
      </c>
      <c r="Q16" s="11" t="str">
        <f>IF(G16="","",L16*100/G16)</f>
        <v/>
      </c>
      <c r="W16" s="3">
        <f>IP!E6</f>
        <v>7</v>
      </c>
    </row>
    <row r="17" ht="16.5" customHeight="1">
      <c r="A17" s="3">
        <f>Theory!A7</f>
        <v>2</v>
      </c>
      <c r="B17" s="3" t="str">
        <f>Theory!B7</f>
        <v>7376231EE103</v>
      </c>
      <c r="F17" s="3">
        <v>8</v>
      </c>
      <c r="K17" s="4">
        <v>7</v>
      </c>
      <c r="N17" s="11" t="str">
        <f>IF(D17="","",I17*100/D17)</f>
        <v/>
      </c>
      <c r="O17" s="11" t="str">
        <f>IF(E17="","",J17*100/E17)</f>
        <v/>
      </c>
      <c r="P17" s="11">
        <f>IF(F17="","",K17*100/F17)</f>
        <v>87.5</v>
      </c>
      <c r="Q17" s="11" t="str">
        <f>IF(G17="","",L17*100/G17)</f>
        <v/>
      </c>
      <c r="W17" s="3">
        <f>IP!E7</f>
        <v>7</v>
      </c>
    </row>
    <row r="18" ht="16.5" customHeight="1">
      <c r="A18" s="3">
        <f>Theory!A8</f>
        <v>3</v>
      </c>
      <c r="B18" s="3" t="str">
        <f>Theory!B8</f>
        <v>7376231EE104</v>
      </c>
      <c r="F18" s="3">
        <v>8</v>
      </c>
      <c r="K18" s="4">
        <v>4</v>
      </c>
      <c r="N18" s="11" t="str">
        <f>IF(D18="","",I18*100/D18)</f>
        <v/>
      </c>
      <c r="O18" s="11" t="str">
        <f>IF(E18="","",J18*100/E18)</f>
        <v/>
      </c>
      <c r="P18" s="11">
        <f>IF(F18="","",K18*100/F18)</f>
        <v>50</v>
      </c>
      <c r="Q18" s="11" t="str">
        <f>IF(G18="","",L18*100/G18)</f>
        <v/>
      </c>
      <c r="W18" s="3">
        <f>IP!E8</f>
        <v>4</v>
      </c>
    </row>
    <row r="19" ht="16.5" customHeight="1">
      <c r="A19" s="3">
        <f>Theory!A9</f>
        <v>4</v>
      </c>
      <c r="B19" s="3" t="str">
        <f>Theory!B9</f>
        <v>7376231EE105</v>
      </c>
      <c r="F19" s="3">
        <v>8</v>
      </c>
      <c r="K19" s="4">
        <v>7</v>
      </c>
      <c r="N19" s="11" t="str">
        <f>IF(D19="","",I19*100/D19)</f>
        <v/>
      </c>
      <c r="O19" s="11" t="str">
        <f>IF(E19="","",J19*100/E19)</f>
        <v/>
      </c>
      <c r="P19" s="11">
        <f>IF(F19="","",K19*100/F19)</f>
        <v>87.5</v>
      </c>
      <c r="Q19" s="11" t="str">
        <f>IF(G19="","",L19*100/G19)</f>
        <v/>
      </c>
      <c r="W19" s="3">
        <f>IP!E9</f>
        <v>7</v>
      </c>
    </row>
    <row r="20" ht="16.5" customHeight="1">
      <c r="A20" s="3">
        <f>Theory!A10</f>
        <v>5</v>
      </c>
      <c r="B20" s="3" t="str">
        <f>Theory!B10</f>
        <v>7376231EE106</v>
      </c>
      <c r="F20" s="3">
        <v>8</v>
      </c>
      <c r="K20" s="4">
        <v>7</v>
      </c>
      <c r="N20" s="11" t="str">
        <f>IF(D20="","",I20*100/D20)</f>
        <v/>
      </c>
      <c r="O20" s="11" t="str">
        <f>IF(E20="","",J20*100/E20)</f>
        <v/>
      </c>
      <c r="P20" s="11">
        <f>IF(F20="","",K20*100/F20)</f>
        <v>87.5</v>
      </c>
      <c r="Q20" s="11" t="str">
        <f>IF(G20="","",L20*100/G20)</f>
        <v/>
      </c>
      <c r="W20" s="3">
        <f>IP!E10</f>
        <v>7</v>
      </c>
    </row>
    <row r="21" ht="16.5" customHeight="1">
      <c r="A21" s="3">
        <f>Theory!A11</f>
        <v>6</v>
      </c>
      <c r="B21" s="3" t="str">
        <f>Theory!B11</f>
        <v>7376231EE107</v>
      </c>
      <c r="F21" s="3">
        <v>8</v>
      </c>
      <c r="K21" s="4">
        <v>8</v>
      </c>
      <c r="N21" s="11" t="str">
        <f>IF(D21="","",I21*100/D21)</f>
        <v/>
      </c>
      <c r="O21" s="11" t="str">
        <f>IF(E21="","",J21*100/E21)</f>
        <v/>
      </c>
      <c r="P21" s="11">
        <f>IF(F21="","",K21*100/F21)</f>
        <v>100</v>
      </c>
      <c r="Q21" s="11" t="str">
        <f>IF(G21="","",L21*100/G21)</f>
        <v/>
      </c>
      <c r="W21" s="3">
        <f>IP!E11</f>
        <v>8</v>
      </c>
    </row>
    <row r="22" ht="16.5" customHeight="1">
      <c r="A22" s="3">
        <f>Theory!A12</f>
        <v>7</v>
      </c>
      <c r="B22" s="3" t="str">
        <f>Theory!B12</f>
        <v>7376231EE108</v>
      </c>
      <c r="F22" s="3">
        <v>8</v>
      </c>
      <c r="K22" s="4">
        <v>8</v>
      </c>
      <c r="N22" s="11" t="str">
        <f>IF(D22="","",I22*100/D22)</f>
        <v/>
      </c>
      <c r="O22" s="11" t="str">
        <f>IF(E22="","",J22*100/E22)</f>
        <v/>
      </c>
      <c r="P22" s="11">
        <f>IF(F22="","",K22*100/F22)</f>
        <v>100</v>
      </c>
      <c r="Q22" s="11" t="str">
        <f>IF(G22="","",L22*100/G22)</f>
        <v/>
      </c>
      <c r="W22" s="3">
        <f>IP!E12</f>
        <v>8</v>
      </c>
    </row>
    <row r="23" ht="16.5" customHeight="1">
      <c r="A23" s="3">
        <f>Theory!A13</f>
        <v>8</v>
      </c>
      <c r="B23" s="3" t="str">
        <f>Theory!B13</f>
        <v>7376231EE109</v>
      </c>
      <c r="F23" s="3">
        <v>8</v>
      </c>
      <c r="K23" s="4">
        <v>7</v>
      </c>
      <c r="N23" s="11" t="str">
        <f>IF(D23="","",I23*100/D23)</f>
        <v/>
      </c>
      <c r="O23" s="11" t="str">
        <f>IF(E23="","",J23*100/E23)</f>
        <v/>
      </c>
      <c r="P23" s="11">
        <f>IF(F23="","",K23*100/F23)</f>
        <v>87.5</v>
      </c>
      <c r="Q23" s="11" t="str">
        <f>IF(G23="","",L23*100/G23)</f>
        <v/>
      </c>
      <c r="W23" s="3">
        <f>IP!E13</f>
        <v>7</v>
      </c>
    </row>
    <row r="24" ht="16.5" customHeight="1">
      <c r="A24" s="3">
        <f>Theory!A14</f>
        <v>9</v>
      </c>
      <c r="B24" s="3" t="str">
        <f>Theory!B14</f>
        <v>7376231EE110</v>
      </c>
      <c r="F24" s="3">
        <v>8</v>
      </c>
      <c r="K24" s="4">
        <v>8</v>
      </c>
      <c r="N24" s="11" t="str">
        <f>IF(D24="","",I24*100/D24)</f>
        <v/>
      </c>
      <c r="O24" s="11" t="str">
        <f>IF(E24="","",J24*100/E24)</f>
        <v/>
      </c>
      <c r="P24" s="11">
        <f>IF(F24="","",K24*100/F24)</f>
        <v>100</v>
      </c>
      <c r="Q24" s="11" t="str">
        <f>IF(G24="","",L24*100/G24)</f>
        <v/>
      </c>
      <c r="W24" s="3">
        <f>IP!E14</f>
        <v>8</v>
      </c>
    </row>
    <row r="25" ht="16.5" customHeight="1">
      <c r="A25" s="3">
        <f>Theory!A15</f>
        <v>10</v>
      </c>
      <c r="B25" s="3" t="str">
        <f>Theory!B15</f>
        <v>7376231EE111</v>
      </c>
      <c r="F25" s="3">
        <v>8</v>
      </c>
      <c r="K25" s="4">
        <v>1</v>
      </c>
      <c r="N25" s="11" t="str">
        <f>IF(D25="","",I25*100/D25)</f>
        <v/>
      </c>
      <c r="O25" s="11" t="str">
        <f>IF(E25="","",J25*100/E25)</f>
        <v/>
      </c>
      <c r="P25" s="11">
        <f>IF(F25="","",K25*100/F25)</f>
        <v>12.5</v>
      </c>
      <c r="Q25" s="11" t="str">
        <f>IF(G25="","",L25*100/G25)</f>
        <v/>
      </c>
      <c r="W25" s="3">
        <f>IP!E15</f>
        <v>1</v>
      </c>
    </row>
    <row r="26" ht="16.5" customHeight="1">
      <c r="A26" s="3">
        <f>Theory!A16</f>
        <v>11</v>
      </c>
      <c r="B26" s="3" t="str">
        <f>Theory!B16</f>
        <v>7376231EE112</v>
      </c>
      <c r="F26" s="3">
        <v>8</v>
      </c>
      <c r="K26" s="4">
        <v>6</v>
      </c>
      <c r="N26" s="11" t="str">
        <f>IF(D26="","",I26*100/D26)</f>
        <v/>
      </c>
      <c r="O26" s="11" t="str">
        <f>IF(E26="","",J26*100/E26)</f>
        <v/>
      </c>
      <c r="P26" s="11">
        <f>IF(F26="","",K26*100/F26)</f>
        <v>75</v>
      </c>
      <c r="Q26" s="11" t="str">
        <f>IF(G26="","",L26*100/G26)</f>
        <v/>
      </c>
      <c r="W26" s="3">
        <f>IP!E16</f>
        <v>6</v>
      </c>
    </row>
    <row r="27" ht="16.5" customHeight="1">
      <c r="A27" s="3">
        <f>Theory!A17</f>
        <v>12</v>
      </c>
      <c r="B27" s="3" t="str">
        <f>Theory!B17</f>
        <v>7376231EE113</v>
      </c>
      <c r="F27" s="3">
        <v>8</v>
      </c>
      <c r="K27" s="4">
        <v>7</v>
      </c>
      <c r="N27" s="11" t="str">
        <f>IF(D27="","",I27*100/D27)</f>
        <v/>
      </c>
      <c r="O27" s="11" t="str">
        <f>IF(E27="","",J27*100/E27)</f>
        <v/>
      </c>
      <c r="P27" s="11">
        <f>IF(F27="","",K27*100/F27)</f>
        <v>87.5</v>
      </c>
      <c r="Q27" s="11" t="str">
        <f>IF(G27="","",L27*100/G27)</f>
        <v/>
      </c>
      <c r="W27" s="3">
        <f>IP!E17</f>
        <v>7</v>
      </c>
    </row>
    <row r="28" ht="16.5" customHeight="1">
      <c r="A28" s="3">
        <f>Theory!A18</f>
        <v>13</v>
      </c>
      <c r="B28" s="3" t="str">
        <f>Theory!B18</f>
        <v>7376231EE114</v>
      </c>
      <c r="F28" s="3">
        <v>8</v>
      </c>
      <c r="K28" s="4">
        <v>5</v>
      </c>
      <c r="N28" s="11" t="str">
        <f>IF(D28="","",I28*100/D28)</f>
        <v/>
      </c>
      <c r="O28" s="11" t="str">
        <f>IF(E28="","",J28*100/E28)</f>
        <v/>
      </c>
      <c r="P28" s="11">
        <f>IF(F28="","",K28*100/F28)</f>
        <v>62.5</v>
      </c>
      <c r="Q28" s="11" t="str">
        <f>IF(G28="","",L28*100/G28)</f>
        <v/>
      </c>
      <c r="W28" s="3">
        <f>IP!E18</f>
        <v>5</v>
      </c>
    </row>
    <row r="29" ht="16.5" customHeight="1">
      <c r="A29" s="3">
        <f>Theory!A19</f>
        <v>14</v>
      </c>
      <c r="B29" s="3" t="str">
        <f>Theory!B19</f>
        <v>7376231EE115</v>
      </c>
      <c r="F29" s="3">
        <v>8</v>
      </c>
      <c r="K29" s="4">
        <v>4</v>
      </c>
      <c r="N29" s="11" t="str">
        <f>IF(D29="","",I29*100/D29)</f>
        <v/>
      </c>
      <c r="O29" s="11" t="str">
        <f>IF(E29="","",J29*100/E29)</f>
        <v/>
      </c>
      <c r="P29" s="11">
        <f>IF(F29="","",K29*100/F29)</f>
        <v>50</v>
      </c>
      <c r="Q29" s="11" t="str">
        <f>IF(G29="","",L29*100/G29)</f>
        <v/>
      </c>
      <c r="W29" s="3">
        <f>IP!E19</f>
        <v>4</v>
      </c>
    </row>
    <row r="30" ht="16.5" customHeight="1">
      <c r="A30" s="3">
        <f>Theory!A20</f>
        <v>15</v>
      </c>
      <c r="B30" s="3" t="str">
        <f>Theory!B20</f>
        <v>7376231EE116</v>
      </c>
      <c r="F30" s="3">
        <v>8</v>
      </c>
      <c r="K30" s="4">
        <v>6</v>
      </c>
      <c r="N30" s="11" t="str">
        <f>IF(D30="","",I30*100/D30)</f>
        <v/>
      </c>
      <c r="O30" s="11" t="str">
        <f>IF(E30="","",J30*100/E30)</f>
        <v/>
      </c>
      <c r="P30" s="11">
        <f>IF(F30="","",K30*100/F30)</f>
        <v>75</v>
      </c>
      <c r="Q30" s="11" t="str">
        <f>IF(G30="","",L30*100/G30)</f>
        <v/>
      </c>
      <c r="W30" s="3">
        <f>IP!E20</f>
        <v>6</v>
      </c>
    </row>
    <row r="31" ht="16.5" customHeight="1">
      <c r="A31" s="3">
        <f>Theory!A21</f>
        <v>16</v>
      </c>
      <c r="B31" s="3" t="str">
        <f>Theory!B21</f>
        <v>7376231EE117</v>
      </c>
      <c r="F31" s="3">
        <v>8</v>
      </c>
      <c r="K31" s="4">
        <v>7</v>
      </c>
      <c r="N31" s="11" t="str">
        <f>IF(D31="","",I31*100/D31)</f>
        <v/>
      </c>
      <c r="O31" s="11" t="str">
        <f>IF(E31="","",J31*100/E31)</f>
        <v/>
      </c>
      <c r="P31" s="11">
        <f>IF(F31="","",K31*100/F31)</f>
        <v>87.5</v>
      </c>
      <c r="Q31" s="11" t="str">
        <f>IF(G31="","",L31*100/G31)</f>
        <v/>
      </c>
      <c r="W31" s="3">
        <f>IP!E21</f>
        <v>7</v>
      </c>
    </row>
    <row r="32" ht="16.5" customHeight="1">
      <c r="A32" s="3">
        <f>Theory!A22</f>
        <v>17</v>
      </c>
      <c r="B32" s="3" t="str">
        <f>Theory!B22</f>
        <v>7376231EE118</v>
      </c>
      <c r="F32" s="3">
        <v>8</v>
      </c>
      <c r="K32" s="4">
        <v>7</v>
      </c>
      <c r="N32" s="11" t="str">
        <f>IF(D32="","",I32*100/D32)</f>
        <v/>
      </c>
      <c r="O32" s="11" t="str">
        <f>IF(E32="","",J32*100/E32)</f>
        <v/>
      </c>
      <c r="P32" s="11">
        <f>IF(F32="","",K32*100/F32)</f>
        <v>87.5</v>
      </c>
      <c r="Q32" s="11" t="str">
        <f>IF(G32="","",L32*100/G32)</f>
        <v/>
      </c>
      <c r="W32" s="3">
        <f>IP!E22</f>
        <v>7</v>
      </c>
    </row>
    <row r="33" ht="16.5" customHeight="1">
      <c r="A33" s="3">
        <f>Theory!A23</f>
        <v>18</v>
      </c>
      <c r="B33" s="3" t="str">
        <f>Theory!B23</f>
        <v>7376231EE119</v>
      </c>
      <c r="F33" s="3">
        <v>8</v>
      </c>
      <c r="K33" s="4">
        <v>7</v>
      </c>
      <c r="N33" s="11" t="str">
        <f>IF(D33="","",I33*100/D33)</f>
        <v/>
      </c>
      <c r="O33" s="11" t="str">
        <f>IF(E33="","",J33*100/E33)</f>
        <v/>
      </c>
      <c r="P33" s="11">
        <f>IF(F33="","",K33*100/F33)</f>
        <v>87.5</v>
      </c>
      <c r="Q33" s="11" t="str">
        <f>IF(G33="","",L33*100/G33)</f>
        <v/>
      </c>
      <c r="W33" s="3">
        <f>IP!E23</f>
        <v>7</v>
      </c>
    </row>
    <row r="34" ht="16.5" customHeight="1">
      <c r="A34" s="3">
        <f>Theory!A24</f>
        <v>19</v>
      </c>
      <c r="B34" s="3" t="str">
        <f>Theory!B24</f>
        <v>7376231EE120</v>
      </c>
      <c r="F34" s="3">
        <v>8</v>
      </c>
      <c r="K34" s="4">
        <v>7</v>
      </c>
      <c r="N34" s="11" t="str">
        <f>IF(D34="","",I34*100/D34)</f>
        <v/>
      </c>
      <c r="O34" s="11" t="str">
        <f>IF(E34="","",J34*100/E34)</f>
        <v/>
      </c>
      <c r="P34" s="11">
        <f>IF(F34="","",K34*100/F34)</f>
        <v>87.5</v>
      </c>
      <c r="Q34" s="11" t="str">
        <f>IF(G34="","",L34*100/G34)</f>
        <v/>
      </c>
      <c r="W34" s="3">
        <f>IP!E24</f>
        <v>7</v>
      </c>
    </row>
    <row r="35" ht="16.5" customHeight="1">
      <c r="A35" s="3">
        <f>Theory!A25</f>
        <v>20</v>
      </c>
      <c r="B35" s="3" t="str">
        <f>Theory!B25</f>
        <v>7376231EE121</v>
      </c>
      <c r="F35" s="3">
        <v>8</v>
      </c>
      <c r="K35" s="4">
        <v>8</v>
      </c>
      <c r="N35" s="11" t="str">
        <f>IF(D35="","",I35*100/D35)</f>
        <v/>
      </c>
      <c r="O35" s="11" t="str">
        <f>IF(E35="","",J35*100/E35)</f>
        <v/>
      </c>
      <c r="P35" s="11">
        <f>IF(F35="","",K35*100/F35)</f>
        <v>100</v>
      </c>
      <c r="Q35" s="11" t="str">
        <f>IF(G35="","",L35*100/G35)</f>
        <v/>
      </c>
      <c r="W35" s="3">
        <f>IP!E25</f>
        <v>8</v>
      </c>
    </row>
    <row r="36" ht="16.5" customHeight="1">
      <c r="A36" s="3">
        <f>Theory!A26</f>
        <v>21</v>
      </c>
      <c r="B36" s="3" t="str">
        <f>Theory!B26</f>
        <v>7376231EE122</v>
      </c>
      <c r="F36" s="3">
        <v>8</v>
      </c>
      <c r="K36" s="4">
        <v>8</v>
      </c>
      <c r="N36" s="11" t="str">
        <f>IF(D36="","",I36*100/D36)</f>
        <v/>
      </c>
      <c r="O36" s="11" t="str">
        <f>IF(E36="","",J36*100/E36)</f>
        <v/>
      </c>
      <c r="P36" s="11">
        <f>IF(F36="","",K36*100/F36)</f>
        <v>100</v>
      </c>
      <c r="Q36" s="11" t="str">
        <f>IF(G36="","",L36*100/G36)</f>
        <v/>
      </c>
      <c r="W36" s="3">
        <f>IP!E26</f>
        <v>8</v>
      </c>
    </row>
    <row r="37" ht="16.5" customHeight="1">
      <c r="A37" s="3">
        <f>Theory!A27</f>
        <v>22</v>
      </c>
      <c r="B37" s="3" t="str">
        <f>Theory!B27</f>
        <v>7376231EE123</v>
      </c>
      <c r="F37" s="3">
        <v>8</v>
      </c>
      <c r="K37" s="4">
        <v>8</v>
      </c>
      <c r="N37" s="11" t="str">
        <f>IF(D37="","",I37*100/D37)</f>
        <v/>
      </c>
      <c r="O37" s="11" t="str">
        <f>IF(E37="","",J37*100/E37)</f>
        <v/>
      </c>
      <c r="P37" s="11">
        <f>IF(F37="","",K37*100/F37)</f>
        <v>100</v>
      </c>
      <c r="Q37" s="11" t="str">
        <f>IF(G37="","",L37*100/G37)</f>
        <v/>
      </c>
      <c r="W37" s="3">
        <f>IP!E27</f>
        <v>8</v>
      </c>
    </row>
    <row r="38" ht="16.5" customHeight="1">
      <c r="A38" s="3">
        <f>Theory!A28</f>
        <v>23</v>
      </c>
      <c r="B38" s="3" t="str">
        <f>Theory!B28</f>
        <v>7376231EE124</v>
      </c>
      <c r="F38" s="3">
        <v>8</v>
      </c>
      <c r="K38" s="4">
        <v>7</v>
      </c>
      <c r="N38" s="11" t="str">
        <f>IF(D38="","",I38*100/D38)</f>
        <v/>
      </c>
      <c r="O38" s="11" t="str">
        <f>IF(E38="","",J38*100/E38)</f>
        <v/>
      </c>
      <c r="P38" s="11">
        <f>IF(F38="","",K38*100/F38)</f>
        <v>87.5</v>
      </c>
      <c r="Q38" s="11" t="str">
        <f>IF(G38="","",L38*100/G38)</f>
        <v/>
      </c>
      <c r="W38" s="3">
        <f>IP!E28</f>
        <v>7</v>
      </c>
    </row>
    <row r="39" ht="16.5" customHeight="1">
      <c r="A39" s="3">
        <f>Theory!A29</f>
        <v>24</v>
      </c>
      <c r="B39" s="3" t="str">
        <f>Theory!B29</f>
        <v>7376231EE125</v>
      </c>
      <c r="F39" s="3">
        <v>8</v>
      </c>
      <c r="K39" s="4">
        <v>7</v>
      </c>
      <c r="N39" s="11" t="str">
        <f>IF(D39="","",I39*100/D39)</f>
        <v/>
      </c>
      <c r="O39" s="11" t="str">
        <f>IF(E39="","",J39*100/E39)</f>
        <v/>
      </c>
      <c r="P39" s="11">
        <f>IF(F39="","",K39*100/F39)</f>
        <v>87.5</v>
      </c>
      <c r="Q39" s="11" t="str">
        <f>IF(G39="","",L39*100/G39)</f>
        <v/>
      </c>
      <c r="W39" s="3">
        <f>IP!E29</f>
        <v>7</v>
      </c>
    </row>
    <row r="40" ht="15.75" customHeight="1">
      <c r="A40" s="3">
        <f>Theory!A30</f>
        <v>25</v>
      </c>
      <c r="B40" s="3" t="str">
        <f>Theory!B30</f>
        <v>7376231EE126</v>
      </c>
      <c r="F40" s="3">
        <v>8</v>
      </c>
      <c r="K40" s="4">
        <v>7</v>
      </c>
      <c r="N40" s="11" t="str">
        <f>IF(D40="","",I40*100/D40)</f>
        <v/>
      </c>
      <c r="O40" s="11" t="str">
        <f>IF(E40="","",J40*100/E40)</f>
        <v/>
      </c>
      <c r="P40" s="11">
        <f>IF(F40="","",K40*100/F40)</f>
        <v>87.5</v>
      </c>
      <c r="Q40" s="11" t="str">
        <f>IF(G40="","",L40*100/G40)</f>
        <v/>
      </c>
      <c r="W40" s="3">
        <f>IP!E30</f>
        <v>7</v>
      </c>
    </row>
    <row r="41" ht="15.75" customHeight="1">
      <c r="A41" s="3">
        <f>Theory!A31</f>
        <v>26</v>
      </c>
      <c r="B41" s="3" t="str">
        <f>Theory!B31</f>
        <v>7376231EE127</v>
      </c>
      <c r="F41" s="3">
        <v>8</v>
      </c>
      <c r="K41" s="4">
        <v>7</v>
      </c>
      <c r="N41" s="11" t="str">
        <f>IF(D41="","",I41*100/D41)</f>
        <v/>
      </c>
      <c r="O41" s="11" t="str">
        <f>IF(E41="","",J41*100/E41)</f>
        <v/>
      </c>
      <c r="P41" s="11">
        <f>IF(F41="","",K41*100/F41)</f>
        <v>87.5</v>
      </c>
      <c r="Q41" s="11" t="str">
        <f>IF(G41="","",L41*100/G41)</f>
        <v/>
      </c>
      <c r="W41" s="3">
        <f>IP!E31</f>
        <v>7</v>
      </c>
    </row>
    <row r="42" ht="15.75" customHeight="1">
      <c r="A42" s="3">
        <f>Theory!A32</f>
        <v>27</v>
      </c>
      <c r="B42" s="3" t="str">
        <f>Theory!B32</f>
        <v>7376231EE128</v>
      </c>
      <c r="F42" s="3">
        <v>8</v>
      </c>
      <c r="K42" s="4">
        <v>5</v>
      </c>
      <c r="N42" s="11" t="str">
        <f>IF(D42="","",I42*100/D42)</f>
        <v/>
      </c>
      <c r="O42" s="11" t="str">
        <f>IF(E42="","",J42*100/E42)</f>
        <v/>
      </c>
      <c r="P42" s="11">
        <f>IF(F42="","",K42*100/F42)</f>
        <v>62.5</v>
      </c>
      <c r="Q42" s="11" t="str">
        <f>IF(G42="","",L42*100/G42)</f>
        <v/>
      </c>
      <c r="W42" s="3">
        <f>IP!E32</f>
        <v>5</v>
      </c>
    </row>
    <row r="43" ht="15.75" customHeight="1">
      <c r="A43" s="3">
        <f>Theory!A33</f>
        <v>28</v>
      </c>
      <c r="B43" s="3" t="str">
        <f>Theory!B33</f>
        <v>7376231EE129</v>
      </c>
      <c r="F43" s="3">
        <v>8</v>
      </c>
      <c r="K43" s="4">
        <v>7</v>
      </c>
      <c r="N43" s="11" t="str">
        <f>IF(D43="","",I43*100/D43)</f>
        <v/>
      </c>
      <c r="O43" s="11" t="str">
        <f>IF(E43="","",J43*100/E43)</f>
        <v/>
      </c>
      <c r="P43" s="11">
        <f>IF(F43="","",K43*100/F43)</f>
        <v>87.5</v>
      </c>
      <c r="Q43" s="11" t="str">
        <f>IF(G43="","",L43*100/G43)</f>
        <v/>
      </c>
      <c r="W43" s="3">
        <f>IP!E33</f>
        <v>7</v>
      </c>
    </row>
    <row r="44" ht="15.75" customHeight="1">
      <c r="A44" s="3">
        <f>Theory!A34</f>
        <v>29</v>
      </c>
      <c r="B44" s="3" t="str">
        <f>Theory!B34</f>
        <v>7376231EE130</v>
      </c>
      <c r="F44" s="3">
        <v>8</v>
      </c>
      <c r="K44" s="4">
        <v>7</v>
      </c>
      <c r="N44" s="11" t="str">
        <f>IF(D44="","",I44*100/D44)</f>
        <v/>
      </c>
      <c r="O44" s="11" t="str">
        <f>IF(E44="","",J44*100/E44)</f>
        <v/>
      </c>
      <c r="P44" s="11">
        <f>IF(F44="","",K44*100/F44)</f>
        <v>87.5</v>
      </c>
      <c r="Q44" s="11" t="str">
        <f>IF(G44="","",L44*100/G44)</f>
        <v/>
      </c>
      <c r="W44" s="3">
        <f>IP!E34</f>
        <v>7</v>
      </c>
    </row>
    <row r="45" ht="15.75" customHeight="1">
      <c r="A45" s="3">
        <f>Theory!A35</f>
        <v>30</v>
      </c>
      <c r="B45" s="3" t="str">
        <f>Theory!B35</f>
        <v>7376231EE131</v>
      </c>
      <c r="F45" s="3">
        <v>8</v>
      </c>
      <c r="K45" s="4">
        <v>7</v>
      </c>
      <c r="N45" s="11" t="str">
        <f>IF(D45="","",I45*100/D45)</f>
        <v/>
      </c>
      <c r="O45" s="11" t="str">
        <f>IF(E45="","",J45*100/E45)</f>
        <v/>
      </c>
      <c r="P45" s="11">
        <f>IF(F45="","",K45*100/F45)</f>
        <v>87.5</v>
      </c>
      <c r="Q45" s="11" t="str">
        <f>IF(G45="","",L45*100/G45)</f>
        <v/>
      </c>
      <c r="W45" s="3">
        <f>IP!E35</f>
        <v>7</v>
      </c>
    </row>
    <row r="46" ht="15.75" customHeight="1">
      <c r="A46" s="3">
        <f>Theory!A36</f>
        <v>31</v>
      </c>
      <c r="B46" s="3" t="str">
        <f>Theory!B36</f>
        <v>7376231EE132</v>
      </c>
      <c r="F46" s="3">
        <v>8</v>
      </c>
      <c r="K46" s="4">
        <v>8</v>
      </c>
      <c r="N46" s="11" t="str">
        <f>IF(D46="","",I46*100/D46)</f>
        <v/>
      </c>
      <c r="O46" s="11" t="str">
        <f>IF(E46="","",J46*100/E46)</f>
        <v/>
      </c>
      <c r="P46" s="11">
        <f>IF(F46="","",K46*100/F46)</f>
        <v>100</v>
      </c>
      <c r="Q46" s="11" t="str">
        <f>IF(G46="","",L46*100/G46)</f>
        <v/>
      </c>
      <c r="W46" s="3">
        <f>IP!E36</f>
        <v>8</v>
      </c>
    </row>
    <row r="47" ht="15.75" customHeight="1">
      <c r="A47" s="3">
        <f>Theory!A37</f>
        <v>32</v>
      </c>
      <c r="B47" s="3" t="str">
        <f>Theory!B37</f>
        <v>7376231EE133</v>
      </c>
      <c r="F47" s="3">
        <v>8</v>
      </c>
      <c r="K47" s="4">
        <v>6</v>
      </c>
      <c r="N47" s="11" t="str">
        <f>IF(D47="","",I47*100/D47)</f>
        <v/>
      </c>
      <c r="O47" s="11" t="str">
        <f>IF(E47="","",J47*100/E47)</f>
        <v/>
      </c>
      <c r="P47" s="11">
        <f>IF(F47="","",K47*100/F47)</f>
        <v>75</v>
      </c>
      <c r="Q47" s="11" t="str">
        <f>IF(G47="","",L47*100/G47)</f>
        <v/>
      </c>
      <c r="W47" s="3">
        <f>IP!E37</f>
        <v>6</v>
      </c>
    </row>
    <row r="48" ht="15.75" customHeight="1">
      <c r="A48" s="3">
        <f>Theory!A38</f>
        <v>33</v>
      </c>
      <c r="B48" s="3" t="str">
        <f>Theory!B38</f>
        <v>7376231EE134</v>
      </c>
      <c r="F48" s="3">
        <v>8</v>
      </c>
      <c r="K48" s="4">
        <v>7</v>
      </c>
      <c r="N48" s="11" t="str">
        <f>IF(D48="","",I48*100/D48)</f>
        <v/>
      </c>
      <c r="O48" s="11" t="str">
        <f>IF(E48="","",J48*100/E48)</f>
        <v/>
      </c>
      <c r="P48" s="11">
        <f>IF(F48="","",K48*100/F48)</f>
        <v>87.5</v>
      </c>
      <c r="Q48" s="11" t="str">
        <f>IF(G48="","",L48*100/G48)</f>
        <v/>
      </c>
      <c r="W48" s="3">
        <f>IP!E38</f>
        <v>7</v>
      </c>
    </row>
    <row r="49" ht="15.75" customHeight="1">
      <c r="A49" s="3">
        <f>Theory!A39</f>
        <v>34</v>
      </c>
      <c r="B49" s="3" t="str">
        <f>Theory!B39</f>
        <v>7376231EE135</v>
      </c>
      <c r="F49" s="3">
        <v>8</v>
      </c>
      <c r="K49" s="4">
        <v>8</v>
      </c>
      <c r="N49" s="11" t="str">
        <f>IF(D49="","",I49*100/D49)</f>
        <v/>
      </c>
      <c r="O49" s="11" t="str">
        <f>IF(E49="","",J49*100/E49)</f>
        <v/>
      </c>
      <c r="P49" s="11">
        <f>IF(F49="","",K49*100/F49)</f>
        <v>100</v>
      </c>
      <c r="Q49" s="11" t="str">
        <f>IF(G49="","",L49*100/G49)</f>
        <v/>
      </c>
      <c r="W49" s="3">
        <f>IP!E39</f>
        <v>8</v>
      </c>
    </row>
    <row r="50" ht="15.75" customHeight="1">
      <c r="A50" s="3">
        <f>Theory!A40</f>
        <v>35</v>
      </c>
      <c r="B50" s="3" t="str">
        <f>Theory!B40</f>
        <v>7376231EE136</v>
      </c>
      <c r="F50" s="3">
        <v>8</v>
      </c>
      <c r="K50" s="4">
        <v>7</v>
      </c>
      <c r="N50" s="11" t="str">
        <f>IF(D50="","",I50*100/D50)</f>
        <v/>
      </c>
      <c r="O50" s="11" t="str">
        <f>IF(E50="","",J50*100/E50)</f>
        <v/>
      </c>
      <c r="P50" s="11">
        <f>IF(F50="","",K50*100/F50)</f>
        <v>87.5</v>
      </c>
      <c r="Q50" s="11" t="str">
        <f>IF(G50="","",L50*100/G50)</f>
        <v/>
      </c>
      <c r="W50" s="3">
        <f>IP!E40</f>
        <v>7</v>
      </c>
    </row>
    <row r="51" ht="15.75" customHeight="1">
      <c r="A51" s="3">
        <f>Theory!A41</f>
        <v>36</v>
      </c>
      <c r="B51" s="3" t="str">
        <f>Theory!B41</f>
        <v>7376231EE137</v>
      </c>
      <c r="F51" s="3">
        <v>8</v>
      </c>
      <c r="K51" s="4">
        <v>8</v>
      </c>
      <c r="N51" s="11" t="str">
        <f>IF(D51="","",I51*100/D51)</f>
        <v/>
      </c>
      <c r="O51" s="11" t="str">
        <f>IF(E51="","",J51*100/E51)</f>
        <v/>
      </c>
      <c r="P51" s="11">
        <f>IF(F51="","",K51*100/F51)</f>
        <v>100</v>
      </c>
      <c r="Q51" s="11" t="str">
        <f>IF(G51="","",L51*100/G51)</f>
        <v/>
      </c>
      <c r="W51" s="3">
        <f>IP!E41</f>
        <v>8</v>
      </c>
    </row>
    <row r="52" ht="15.75" customHeight="1">
      <c r="A52" s="3">
        <f>Theory!A42</f>
        <v>37</v>
      </c>
      <c r="B52" s="3" t="str">
        <f>Theory!B42</f>
        <v>7376231EE138</v>
      </c>
      <c r="F52" s="3">
        <v>8</v>
      </c>
      <c r="K52" s="4">
        <v>7</v>
      </c>
      <c r="N52" s="11" t="str">
        <f>IF(D52="","",I52*100/D52)</f>
        <v/>
      </c>
      <c r="O52" s="11" t="str">
        <f>IF(E52="","",J52*100/E52)</f>
        <v/>
      </c>
      <c r="P52" s="11">
        <f>IF(F52="","",K52*100/F52)</f>
        <v>87.5</v>
      </c>
      <c r="Q52" s="11" t="str">
        <f>IF(G52="","",L52*100/G52)</f>
        <v/>
      </c>
      <c r="W52" s="3">
        <f>IP!E42</f>
        <v>7</v>
      </c>
    </row>
    <row r="53" ht="15.75" customHeight="1">
      <c r="A53" s="3">
        <f>Theory!A43</f>
        <v>38</v>
      </c>
      <c r="B53" s="3" t="str">
        <f>Theory!B43</f>
        <v>7376231EE139</v>
      </c>
      <c r="F53" s="3">
        <v>8</v>
      </c>
      <c r="K53" s="4">
        <v>8</v>
      </c>
      <c r="N53" s="11" t="str">
        <f>IF(D53="","",I53*100/D53)</f>
        <v/>
      </c>
      <c r="O53" s="11" t="str">
        <f>IF(E53="","",J53*100/E53)</f>
        <v/>
      </c>
      <c r="P53" s="11">
        <f>IF(F53="","",K53*100/F53)</f>
        <v>100</v>
      </c>
      <c r="Q53" s="11" t="str">
        <f>IF(G53="","",L53*100/G53)</f>
        <v/>
      </c>
      <c r="W53" s="3">
        <f>IP!E43</f>
        <v>8</v>
      </c>
    </row>
    <row r="54" ht="15.75" customHeight="1">
      <c r="A54" s="3">
        <f>Theory!A44</f>
        <v>39</v>
      </c>
      <c r="B54" s="3" t="str">
        <f>Theory!B44</f>
        <v>7376231EE140</v>
      </c>
      <c r="F54" s="3">
        <v>8</v>
      </c>
      <c r="K54" s="4">
        <v>7</v>
      </c>
      <c r="N54" s="11" t="str">
        <f>IF(D54="","",I54*100/D54)</f>
        <v/>
      </c>
      <c r="O54" s="11" t="str">
        <f>IF(E54="","",J54*100/E54)</f>
        <v/>
      </c>
      <c r="P54" s="11">
        <f>IF(F54="","",K54*100/F54)</f>
        <v>87.5</v>
      </c>
      <c r="Q54" s="11" t="str">
        <f>IF(G54="","",L54*100/G54)</f>
        <v/>
      </c>
      <c r="W54" s="3">
        <f>IP!E44</f>
        <v>7</v>
      </c>
    </row>
    <row r="55" ht="15.75" customHeight="1">
      <c r="A55" s="3">
        <f>Theory!A45</f>
        <v>40</v>
      </c>
      <c r="B55" s="3" t="str">
        <f>Theory!B45</f>
        <v>7376231EE141</v>
      </c>
      <c r="F55" s="3">
        <v>8</v>
      </c>
      <c r="K55" s="4">
        <v>7</v>
      </c>
      <c r="N55" s="11" t="str">
        <f>IF(D55="","",I55*100/D55)</f>
        <v/>
      </c>
      <c r="O55" s="11" t="str">
        <f>IF(E55="","",J55*100/E55)</f>
        <v/>
      </c>
      <c r="P55" s="11">
        <f>IF(F55="","",K55*100/F55)</f>
        <v>87.5</v>
      </c>
      <c r="Q55" s="11" t="str">
        <f>IF(G55="","",L55*100/G55)</f>
        <v/>
      </c>
      <c r="W55" s="3">
        <f>IP!E45</f>
        <v>7</v>
      </c>
    </row>
    <row r="56" ht="15.75" customHeight="1">
      <c r="A56" s="3">
        <f>Theory!A46</f>
        <v>41</v>
      </c>
      <c r="B56" s="3" t="str">
        <f>Theory!B46</f>
        <v>7376231EE142</v>
      </c>
      <c r="F56" s="3">
        <v>8</v>
      </c>
      <c r="K56" s="4">
        <v>8</v>
      </c>
      <c r="N56" s="11" t="str">
        <f>IF(D56="","",I56*100/D56)</f>
        <v/>
      </c>
      <c r="O56" s="11" t="str">
        <f>IF(E56="","",J56*100/E56)</f>
        <v/>
      </c>
      <c r="P56" s="11">
        <f>IF(F56="","",K56*100/F56)</f>
        <v>100</v>
      </c>
      <c r="Q56" s="11" t="str">
        <f>IF(G56="","",L56*100/G56)</f>
        <v/>
      </c>
      <c r="W56" s="3">
        <f>IP!E46</f>
        <v>8</v>
      </c>
    </row>
    <row r="57" ht="15.75" customHeight="1">
      <c r="A57" s="3">
        <f>Theory!A47</f>
        <v>42</v>
      </c>
      <c r="B57" s="3" t="str">
        <f>Theory!B47</f>
        <v>7376231EE143</v>
      </c>
      <c r="F57" s="3">
        <v>8</v>
      </c>
      <c r="K57" s="4">
        <v>6</v>
      </c>
      <c r="N57" s="11" t="str">
        <f>IF(D57="","",I57*100/D57)</f>
        <v/>
      </c>
      <c r="O57" s="11" t="str">
        <f>IF(E57="","",J57*100/E57)</f>
        <v/>
      </c>
      <c r="P57" s="11">
        <f>IF(F57="","",K57*100/F57)</f>
        <v>75</v>
      </c>
      <c r="Q57" s="11" t="str">
        <f>IF(G57="","",L57*100/G57)</f>
        <v/>
      </c>
      <c r="W57" s="3">
        <f>IP!E47</f>
        <v>6</v>
      </c>
    </row>
    <row r="58" ht="15.75" customHeight="1">
      <c r="A58" s="3">
        <f>Theory!A48</f>
        <v>43</v>
      </c>
      <c r="B58" s="3" t="str">
        <f>Theory!B48</f>
        <v>7376231EE144</v>
      </c>
      <c r="F58" s="3">
        <v>8</v>
      </c>
      <c r="K58" s="4">
        <v>7</v>
      </c>
      <c r="N58" s="11" t="str">
        <f>IF(D58="","",I58*100/D58)</f>
        <v/>
      </c>
      <c r="O58" s="11" t="str">
        <f>IF(E58="","",J58*100/E58)</f>
        <v/>
      </c>
      <c r="P58" s="11">
        <f>IF(F58="","",K58*100/F58)</f>
        <v>87.5</v>
      </c>
      <c r="Q58" s="11" t="str">
        <f>IF(G58="","",L58*100/G58)</f>
        <v/>
      </c>
      <c r="W58" s="3">
        <f>IP!E48</f>
        <v>7</v>
      </c>
    </row>
    <row r="59" ht="15.75" customHeight="1">
      <c r="A59" s="3">
        <f>Theory!A49</f>
        <v>44</v>
      </c>
      <c r="B59" s="3" t="str">
        <f>Theory!B49</f>
        <v>7376231EE145</v>
      </c>
      <c r="F59" s="3">
        <v>8</v>
      </c>
      <c r="K59" s="4">
        <v>7</v>
      </c>
      <c r="N59" s="11" t="str">
        <f>IF(D59="","",I59*100/D59)</f>
        <v/>
      </c>
      <c r="O59" s="11" t="str">
        <f>IF(E59="","",J59*100/E59)</f>
        <v/>
      </c>
      <c r="P59" s="11">
        <f>IF(F59="","",K59*100/F59)</f>
        <v>87.5</v>
      </c>
      <c r="Q59" s="11" t="str">
        <f>IF(G59="","",L59*100/G59)</f>
        <v/>
      </c>
      <c r="W59" s="3">
        <f>IP!E49</f>
        <v>7</v>
      </c>
    </row>
    <row r="60" ht="15.75" customHeight="1">
      <c r="A60" s="3">
        <f>Theory!A50</f>
        <v>45</v>
      </c>
      <c r="B60" s="3" t="str">
        <f>Theory!B50</f>
        <v>7376231EE146</v>
      </c>
      <c r="F60" s="3">
        <v>8</v>
      </c>
      <c r="K60" s="4">
        <v>8</v>
      </c>
      <c r="N60" s="11" t="str">
        <f>IF(D60="","",I60*100/D60)</f>
        <v/>
      </c>
      <c r="O60" s="11" t="str">
        <f>IF(E60="","",J60*100/E60)</f>
        <v/>
      </c>
      <c r="P60" s="11">
        <f>IF(F60="","",K60*100/F60)</f>
        <v>100</v>
      </c>
      <c r="Q60" s="11" t="str">
        <f>IF(G60="","",L60*100/G60)</f>
        <v/>
      </c>
      <c r="W60" s="3">
        <f>IP!E50</f>
        <v>8</v>
      </c>
    </row>
    <row r="61" ht="15.75" customHeight="1">
      <c r="A61" s="3">
        <f>Theory!A51</f>
        <v>46</v>
      </c>
      <c r="B61" s="3" t="str">
        <f>Theory!B51</f>
        <v>7376231EE147</v>
      </c>
      <c r="F61" s="3">
        <v>8</v>
      </c>
      <c r="K61" s="4">
        <v>7</v>
      </c>
      <c r="N61" s="11" t="str">
        <f>IF(D61="","",I61*100/D61)</f>
        <v/>
      </c>
      <c r="O61" s="11" t="str">
        <f>IF(E61="","",J61*100/E61)</f>
        <v/>
      </c>
      <c r="P61" s="11">
        <f>IF(F61="","",K61*100/F61)</f>
        <v>87.5</v>
      </c>
      <c r="Q61" s="11" t="str">
        <f>IF(G61="","",L61*100/G61)</f>
        <v/>
      </c>
      <c r="W61" s="3">
        <f>IP!E51</f>
        <v>7</v>
      </c>
    </row>
    <row r="62" ht="15.75" customHeight="1">
      <c r="A62" s="3">
        <f>Theory!A52</f>
        <v>47</v>
      </c>
      <c r="B62" s="3" t="str">
        <f>Theory!B52</f>
        <v>7376231EE148</v>
      </c>
      <c r="F62" s="3">
        <v>8</v>
      </c>
      <c r="K62" s="4">
        <v>7</v>
      </c>
      <c r="N62" s="11" t="str">
        <f>IF(D62="","",I62*100/D62)</f>
        <v/>
      </c>
      <c r="O62" s="11" t="str">
        <f>IF(E62="","",J62*100/E62)</f>
        <v/>
      </c>
      <c r="P62" s="11">
        <f>IF(F62="","",K62*100/F62)</f>
        <v>87.5</v>
      </c>
      <c r="Q62" s="11" t="str">
        <f>IF(G62="","",L62*100/G62)</f>
        <v/>
      </c>
      <c r="W62" s="3">
        <f>IP!E52</f>
        <v>7</v>
      </c>
    </row>
    <row r="63" ht="15.75" customHeight="1">
      <c r="A63" s="3">
        <f>Theory!A53</f>
        <v>48</v>
      </c>
      <c r="B63" s="3" t="str">
        <f>Theory!B53</f>
        <v>7376231EE149</v>
      </c>
      <c r="F63" s="3">
        <v>8</v>
      </c>
      <c r="K63" s="4">
        <v>4</v>
      </c>
      <c r="N63" s="11" t="str">
        <f>IF(D63="","",I63*100/D63)</f>
        <v/>
      </c>
      <c r="O63" s="11" t="str">
        <f>IF(E63="","",J63*100/E63)</f>
        <v/>
      </c>
      <c r="P63" s="11">
        <f>IF(F63="","",K63*100/F63)</f>
        <v>50</v>
      </c>
      <c r="Q63" s="11" t="str">
        <f>IF(G63="","",L63*100/G63)</f>
        <v/>
      </c>
      <c r="W63" s="3">
        <f>IP!E53</f>
        <v>4</v>
      </c>
    </row>
    <row r="64" ht="15.75" customHeight="1">
      <c r="A64" s="3">
        <f>Theory!A54</f>
        <v>49</v>
      </c>
      <c r="B64" s="3" t="str">
        <f>Theory!B54</f>
        <v>7376231EE150</v>
      </c>
      <c r="F64" s="3">
        <v>8</v>
      </c>
      <c r="K64" s="4">
        <v>4</v>
      </c>
      <c r="N64" s="11" t="str">
        <f>IF(D64="","",I64*100/D64)</f>
        <v/>
      </c>
      <c r="O64" s="11" t="str">
        <f>IF(E64="","",J64*100/E64)</f>
        <v/>
      </c>
      <c r="P64" s="11">
        <f>IF(F64="","",K64*100/F64)</f>
        <v>50</v>
      </c>
      <c r="Q64" s="11" t="str">
        <f>IF(G64="","",L64*100/G64)</f>
        <v/>
      </c>
      <c r="W64" s="3">
        <f>IP!E54</f>
        <v>4</v>
      </c>
    </row>
    <row r="65" ht="15.75" customHeight="1">
      <c r="A65" s="3">
        <f>Theory!A55</f>
        <v>50</v>
      </c>
      <c r="B65" s="3" t="str">
        <f>Theory!B55</f>
        <v>7376231EE151</v>
      </c>
      <c r="F65" s="3">
        <v>8</v>
      </c>
      <c r="K65" s="4">
        <v>4</v>
      </c>
      <c r="N65" s="11" t="str">
        <f>IF(D65="","",I65*100/D65)</f>
        <v/>
      </c>
      <c r="O65" s="11" t="str">
        <f>IF(E65="","",J65*100/E65)</f>
        <v/>
      </c>
      <c r="P65" s="11">
        <f>IF(F65="","",K65*100/F65)</f>
        <v>50</v>
      </c>
      <c r="Q65" s="11" t="str">
        <f>IF(G65="","",L65*100/G65)</f>
        <v/>
      </c>
      <c r="W65" s="3">
        <f>IP!E55</f>
        <v>4</v>
      </c>
    </row>
    <row r="66" ht="15.75" customHeight="1">
      <c r="A66" s="3">
        <f>Theory!A56</f>
        <v>51</v>
      </c>
      <c r="B66" s="3" t="str">
        <f>Theory!B56</f>
        <v>7376231EE152</v>
      </c>
      <c r="F66" s="3">
        <v>8</v>
      </c>
      <c r="K66" s="4">
        <v>7</v>
      </c>
      <c r="N66" s="11" t="str">
        <f>IF(D66="","",I66*100/D66)</f>
        <v/>
      </c>
      <c r="O66" s="11" t="str">
        <f>IF(E66="","",J66*100/E66)</f>
        <v/>
      </c>
      <c r="P66" s="11">
        <f>IF(F66="","",K66*100/F66)</f>
        <v>87.5</v>
      </c>
      <c r="Q66" s="11" t="str">
        <f>IF(G66="","",L66*100/G66)</f>
        <v/>
      </c>
      <c r="W66" s="3">
        <f>IP!E56</f>
        <v>7</v>
      </c>
    </row>
    <row r="67" ht="15.75" customHeight="1">
      <c r="A67" s="3">
        <f>Theory!A57</f>
        <v>52</v>
      </c>
      <c r="B67" s="3" t="str">
        <f>Theory!B57</f>
        <v>7376231EE153</v>
      </c>
      <c r="F67" s="3">
        <v>8</v>
      </c>
      <c r="K67" s="4">
        <v>7</v>
      </c>
      <c r="N67" s="11" t="str">
        <f>IF(D67="","",I67*100/D67)</f>
        <v/>
      </c>
      <c r="O67" s="11" t="str">
        <f>IF(E67="","",J67*100/E67)</f>
        <v/>
      </c>
      <c r="P67" s="11">
        <f>IF(F67="","",K67*100/F67)</f>
        <v>87.5</v>
      </c>
      <c r="Q67" s="11" t="str">
        <f>IF(G67="","",L67*100/G67)</f>
        <v/>
      </c>
      <c r="W67" s="3">
        <f>IP!E57</f>
        <v>7</v>
      </c>
    </row>
    <row r="68" ht="15.75" customHeight="1">
      <c r="A68" s="3">
        <f>Theory!A58</f>
        <v>53</v>
      </c>
      <c r="B68" s="3" t="str">
        <f>Theory!B58</f>
        <v>7376231EE154</v>
      </c>
      <c r="F68" s="3">
        <v>8</v>
      </c>
      <c r="K68" s="4">
        <v>7</v>
      </c>
      <c r="N68" s="11" t="str">
        <f>IF(D68="","",I68*100/D68)</f>
        <v/>
      </c>
      <c r="O68" s="11" t="str">
        <f>IF(E68="","",J68*100/E68)</f>
        <v/>
      </c>
      <c r="P68" s="11">
        <f>IF(F68="","",K68*100/F68)</f>
        <v>87.5</v>
      </c>
      <c r="Q68" s="11" t="str">
        <f>IF(G68="","",L68*100/G68)</f>
        <v/>
      </c>
      <c r="W68" s="3">
        <f>IP!E58</f>
        <v>7</v>
      </c>
    </row>
    <row r="69" ht="15.75" customHeight="1">
      <c r="A69" s="3">
        <f>Theory!A59</f>
        <v>54</v>
      </c>
      <c r="B69" s="3" t="str">
        <f>Theory!B59</f>
        <v>7376231EE155</v>
      </c>
      <c r="F69" s="3">
        <v>8</v>
      </c>
      <c r="K69" s="4">
        <v>6</v>
      </c>
      <c r="N69" s="11" t="str">
        <f>IF(D69="","",I69*100/D69)</f>
        <v/>
      </c>
      <c r="O69" s="11" t="str">
        <f>IF(E69="","",J69*100/E69)</f>
        <v/>
      </c>
      <c r="P69" s="11">
        <f>IF(F69="","",K69*100/F69)</f>
        <v>75</v>
      </c>
      <c r="Q69" s="11" t="str">
        <f>IF(G69="","",L69*100/G69)</f>
        <v/>
      </c>
      <c r="W69" s="3">
        <f>IP!E59</f>
        <v>6</v>
      </c>
    </row>
    <row r="70" ht="15.75" customHeight="1">
      <c r="A70" s="3">
        <f>Theory!A60</f>
        <v>55</v>
      </c>
      <c r="B70" s="3" t="str">
        <f>Theory!B60</f>
        <v>7376231EE156</v>
      </c>
      <c r="F70" s="3">
        <v>8</v>
      </c>
      <c r="K70" s="4">
        <v>8</v>
      </c>
      <c r="N70" s="11" t="str">
        <f>IF(D70="","",I70*100/D70)</f>
        <v/>
      </c>
      <c r="O70" s="11" t="str">
        <f>IF(E70="","",J70*100/E70)</f>
        <v/>
      </c>
      <c r="P70" s="11">
        <f>IF(F70="","",K70*100/F70)</f>
        <v>100</v>
      </c>
      <c r="Q70" s="11" t="str">
        <f>IF(G70="","",L70*100/G70)</f>
        <v/>
      </c>
      <c r="W70" s="3">
        <f>IP!E60</f>
        <v>8</v>
      </c>
    </row>
    <row r="71" ht="15.75" customHeight="1">
      <c r="A71" s="3">
        <f>Theory!A61</f>
        <v>56</v>
      </c>
      <c r="B71" s="3" t="str">
        <f>Theory!B61</f>
        <v>7376231EE157</v>
      </c>
      <c r="F71" s="3">
        <v>8</v>
      </c>
      <c r="K71" s="4">
        <v>8</v>
      </c>
      <c r="N71" s="11" t="str">
        <f>IF(D71="","",I71*100/D71)</f>
        <v/>
      </c>
      <c r="O71" s="11" t="str">
        <f>IF(E71="","",J71*100/E71)</f>
        <v/>
      </c>
      <c r="P71" s="11">
        <f>IF(F71="","",K71*100/F71)</f>
        <v>100</v>
      </c>
      <c r="Q71" s="11" t="str">
        <f>IF(G71="","",L71*100/G71)</f>
        <v/>
      </c>
      <c r="W71" s="3">
        <f>IP!E61</f>
        <v>8</v>
      </c>
    </row>
    <row r="72" ht="15.75" customHeight="1">
      <c r="A72" s="3">
        <f>Theory!A62</f>
        <v>57</v>
      </c>
      <c r="B72" s="3" t="str">
        <f>Theory!B62</f>
        <v>7376231EE158</v>
      </c>
      <c r="F72" s="3">
        <v>8</v>
      </c>
      <c r="K72" s="4">
        <v>6</v>
      </c>
      <c r="N72" s="11" t="str">
        <f>IF(D72="","",I72*100/D72)</f>
        <v/>
      </c>
      <c r="O72" s="11" t="str">
        <f>IF(E72="","",J72*100/E72)</f>
        <v/>
      </c>
      <c r="P72" s="11">
        <f>IF(F72="","",K72*100/F72)</f>
        <v>75</v>
      </c>
      <c r="Q72" s="11" t="str">
        <f>IF(G72="","",L72*100/G72)</f>
        <v/>
      </c>
      <c r="W72" s="3">
        <f>IP!E62</f>
        <v>6</v>
      </c>
    </row>
    <row r="73" ht="15.75" customHeight="1">
      <c r="A73" s="3">
        <f>Theory!A63</f>
        <v>58</v>
      </c>
      <c r="B73" s="3" t="str">
        <f>Theory!B63</f>
        <v>7376231EE159</v>
      </c>
      <c r="F73" s="3">
        <v>8</v>
      </c>
      <c r="K73" s="4">
        <v>5</v>
      </c>
      <c r="N73" s="11" t="str">
        <f>IF(D73="","",I73*100/D73)</f>
        <v/>
      </c>
      <c r="O73" s="11" t="str">
        <f>IF(E73="","",J73*100/E73)</f>
        <v/>
      </c>
      <c r="P73" s="11">
        <f>IF(F73="","",K73*100/F73)</f>
        <v>62.5</v>
      </c>
      <c r="Q73" s="11" t="str">
        <f>IF(G73="","",L73*100/G73)</f>
        <v/>
      </c>
      <c r="W73" s="3">
        <f>IP!E63</f>
        <v>5</v>
      </c>
    </row>
    <row r="74" ht="15.75" customHeight="1">
      <c r="A74" s="3">
        <f>Theory!A64</f>
        <v>59</v>
      </c>
      <c r="B74" s="3" t="str">
        <f>Theory!B64</f>
        <v>7376231EE160</v>
      </c>
      <c r="F74" s="3">
        <v>8</v>
      </c>
      <c r="K74" s="4">
        <v>5</v>
      </c>
      <c r="N74" s="11" t="str">
        <f>IF(D74="","",I74*100/D74)</f>
        <v/>
      </c>
      <c r="O74" s="11" t="str">
        <f>IF(E74="","",J74*100/E74)</f>
        <v/>
      </c>
      <c r="P74" s="11">
        <f>IF(F74="","",K74*100/F74)</f>
        <v>62.5</v>
      </c>
      <c r="Q74" s="11" t="str">
        <f>IF(G74="","",L74*100/G74)</f>
        <v/>
      </c>
      <c r="W74" s="3">
        <f>IP!E64</f>
        <v>5</v>
      </c>
    </row>
    <row r="75" ht="15.75" customHeight="1">
      <c r="A75" s="3">
        <f>Theory!A65</f>
        <v>60</v>
      </c>
      <c r="B75" s="3" t="str">
        <f>Theory!B65</f>
        <v>7376231EE161</v>
      </c>
      <c r="F75" s="3">
        <v>8</v>
      </c>
      <c r="K75" s="4">
        <v>7</v>
      </c>
      <c r="N75" s="11" t="str">
        <f>IF(D75="","",I75*100/D75)</f>
        <v/>
      </c>
      <c r="O75" s="11" t="str">
        <f>IF(E75="","",J75*100/E75)</f>
        <v/>
      </c>
      <c r="P75" s="11">
        <f>IF(F75="","",K75*100/F75)</f>
        <v>87.5</v>
      </c>
      <c r="Q75" s="11" t="str">
        <f>IF(G75="","",L75*100/G75)</f>
        <v/>
      </c>
      <c r="W75" s="3">
        <f>IP!E65</f>
        <v>7</v>
      </c>
    </row>
    <row r="76" ht="15.75" customHeight="1">
      <c r="A76" s="3">
        <f>Theory!A66</f>
        <v>61</v>
      </c>
      <c r="B76" s="3" t="str">
        <f>Theory!B66</f>
        <v>7376241EE501</v>
      </c>
      <c r="F76" s="3">
        <v>8</v>
      </c>
      <c r="K76" s="4">
        <v>6</v>
      </c>
      <c r="N76" s="11" t="str">
        <f>IF(D76="","",I76*100/D76)</f>
        <v/>
      </c>
      <c r="O76" s="11" t="str">
        <f>IF(E76="","",J76*100/E76)</f>
        <v/>
      </c>
      <c r="P76" s="11">
        <f>IF(F76="","",K76*100/F76)</f>
        <v>75</v>
      </c>
      <c r="Q76" s="11" t="str">
        <f>IF(G76="","",L76*100/G76)</f>
        <v/>
      </c>
      <c r="W76" s="3">
        <f>IP!E66</f>
        <v>6</v>
      </c>
    </row>
    <row r="77" ht="15.75" customHeight="1">
      <c r="A77" s="3">
        <f>Theory!A67</f>
        <v>62</v>
      </c>
      <c r="B77" s="3" t="str">
        <f>Theory!B67</f>
        <v>7376241EE502</v>
      </c>
      <c r="F77" s="3">
        <v>8</v>
      </c>
      <c r="K77" s="4">
        <v>3</v>
      </c>
      <c r="N77" s="11" t="str">
        <f>IF(D77="","",I77*100/D77)</f>
        <v/>
      </c>
      <c r="O77" s="11" t="str">
        <f>IF(E77="","",J77*100/E77)</f>
        <v/>
      </c>
      <c r="P77" s="11">
        <f>IF(F77="","",K77*100/F77)</f>
        <v>37.5</v>
      </c>
      <c r="Q77" s="11" t="str">
        <f>IF(G77="","",L77*100/G77)</f>
        <v/>
      </c>
      <c r="W77" s="3">
        <f>IP!E67</f>
        <v>3</v>
      </c>
    </row>
    <row r="78" ht="15.75" customHeight="1">
      <c r="A78" s="3">
        <f>Theory!A68</f>
        <v>63</v>
      </c>
      <c r="B78" s="3" t="str">
        <f>Theory!B68</f>
        <v>7376241EE503</v>
      </c>
      <c r="F78" s="3">
        <v>8</v>
      </c>
      <c r="K78" s="4">
        <v>4</v>
      </c>
      <c r="N78" s="11" t="str">
        <f>IF(D78="","",I78*100/D78)</f>
        <v/>
      </c>
      <c r="O78" s="11" t="str">
        <f>IF(E78="","",J78*100/E78)</f>
        <v/>
      </c>
      <c r="P78" s="11">
        <f>IF(F78="","",K78*100/F78)</f>
        <v>50</v>
      </c>
      <c r="Q78" s="11" t="str">
        <f>IF(G78="","",L78*100/G78)</f>
        <v/>
      </c>
      <c r="W78" s="3">
        <f>IP!E68</f>
        <v>4</v>
      </c>
    </row>
    <row r="79" ht="15.75" customHeight="1">
      <c r="A79" s="3">
        <f>Theory!A69</f>
        <v>64</v>
      </c>
      <c r="B79" s="3" t="str">
        <f>Theory!B69</f>
        <v>7376241EE504</v>
      </c>
      <c r="F79" s="3">
        <v>8</v>
      </c>
      <c r="K79" s="4">
        <v>6</v>
      </c>
      <c r="N79" s="11" t="str">
        <f>IF(D79="","",I79*100/D79)</f>
        <v/>
      </c>
      <c r="O79" s="11" t="str">
        <f>IF(E79="","",J79*100/E79)</f>
        <v/>
      </c>
      <c r="P79" s="11">
        <f>IF(F79="","",K79*100/F79)</f>
        <v>75</v>
      </c>
      <c r="Q79" s="11" t="str">
        <f>IF(G79="","",L79*100/G79)</f>
        <v/>
      </c>
      <c r="W79" s="3">
        <f>IP!E69</f>
        <v>6</v>
      </c>
    </row>
    <row r="80" ht="15.75" customHeight="1">
      <c r="A80" s="3">
        <f>Theory!A70</f>
        <v>65</v>
      </c>
      <c r="B80" s="3" t="str">
        <f>Theory!B70</f>
        <v>7376241EE505</v>
      </c>
      <c r="F80" s="3">
        <v>8</v>
      </c>
      <c r="K80" s="4">
        <v>5</v>
      </c>
      <c r="N80" s="11" t="str">
        <f>IF(D80="","",I80*100/D80)</f>
        <v/>
      </c>
      <c r="O80" s="11" t="str">
        <f>IF(E80="","",J80*100/E80)</f>
        <v/>
      </c>
      <c r="P80" s="11">
        <f>IF(F80="","",K80*100/F80)</f>
        <v>62.5</v>
      </c>
      <c r="Q80" s="11" t="str">
        <f>IF(G80="","",L80*100/G80)</f>
        <v/>
      </c>
      <c r="W80" s="3">
        <f>IP!E70</f>
        <v>5</v>
      </c>
    </row>
    <row r="81" ht="15.75" customHeight="1">
      <c r="A81" s="3">
        <f>Theory!A71</f>
        <v>66</v>
      </c>
      <c r="B81" s="3" t="str">
        <f>Theory!B71</f>
        <v>7376241EE506</v>
      </c>
      <c r="F81" s="3">
        <v>8</v>
      </c>
      <c r="K81" s="4">
        <v>7</v>
      </c>
      <c r="N81" s="11" t="str">
        <f>IF(D81="","",I81*100/D81)</f>
        <v/>
      </c>
      <c r="O81" s="11" t="str">
        <f>IF(E81="","",J81*100/E81)</f>
        <v/>
      </c>
      <c r="P81" s="11">
        <f>IF(F81="","",K81*100/F81)</f>
        <v>87.5</v>
      </c>
      <c r="Q81" s="11" t="str">
        <f>IF(G81="","",L81*100/G81)</f>
        <v/>
      </c>
      <c r="W81" s="3">
        <f>IP!E71</f>
        <v>7</v>
      </c>
    </row>
    <row r="82" hidden="1" ht="15.75" customHeight="1"/>
    <row r="83" hidden="1" ht="15.75" customHeight="1"/>
    <row r="84" hidden="1" ht="15.75" customHeight="1"/>
    <row r="85" hidden="1" ht="15.75" customHeight="1"/>
    <row r="86" hidden="1" ht="15.75" customHeight="1"/>
    <row r="87" hidden="1" ht="15.75" customHeight="1"/>
    <row r="88" hidden="1" ht="15.75" customHeight="1"/>
    <row r="89" hidden="1" ht="15.75" customHeight="1"/>
    <row r="90" hidden="1" ht="15.75" customHeight="1"/>
    <row r="91" hidden="1" ht="15.75" customHeight="1"/>
    <row r="92" hidden="1" ht="15.75" customHeight="1"/>
    <row r="93" hidden="1" ht="15.75" customHeight="1"/>
    <row r="94" hidden="1" ht="15.75" customHeight="1"/>
    <row r="95" hidden="1" ht="15.75" customHeight="1"/>
    <row r="96" hidden="1" ht="15.75" customHeight="1"/>
    <row r="97" hidden="1" ht="15.75" customHeight="1"/>
    <row r="98" hidden="1" ht="15.75" customHeight="1"/>
    <row r="99" hidden="1" ht="15.75" customHeight="1"/>
    <row r="100" hidden="1" ht="15.75" customHeight="1"/>
    <row r="101" hidden="1" ht="15.75" customHeight="1"/>
    <row r="102" hidden="1" ht="15.75" customHeight="1"/>
    <row r="103" hidden="1" ht="15.75" customHeight="1"/>
    <row r="104" hidden="1" ht="15.75" customHeight="1"/>
    <row r="105" hidden="1" ht="15.75" customHeight="1"/>
    <row r="106" hidden="1" ht="15.75" customHeight="1"/>
    <row r="107" hidden="1" ht="15.75" customHeight="1"/>
    <row r="108" hidden="1" ht="15.75" customHeight="1"/>
    <row r="109" hidden="1" ht="15.75" customHeight="1"/>
    <row r="110" hidden="1" ht="15.75" customHeight="1"/>
    <row r="111" hidden="1" ht="15.75" customHeight="1"/>
    <row r="112" hidden="1" ht="15.75" customHeight="1"/>
    <row r="113" hidden="1" ht="15.75" customHeight="1"/>
    <row r="114" hidden="1" ht="15.75" customHeight="1"/>
    <row r="115" hidden="1" ht="15.75" customHeight="1"/>
    <row r="116" hidden="1" ht="15.75" customHeight="1"/>
    <row r="117" hidden="1" ht="15.75" customHeight="1"/>
    <row r="118" hidden="1" ht="15.75" customHeight="1"/>
    <row r="119" hidden="1" ht="15.75" customHeight="1"/>
    <row r="120" hidden="1" ht="15.75" customHeight="1"/>
    <row r="121" hidden="1" ht="15.75" customHeight="1"/>
    <row r="122" hidden="1" ht="15.75" customHeight="1"/>
    <row r="123" hidden="1" ht="15.75" customHeight="1"/>
    <row r="124" hidden="1" ht="15.75" customHeight="1"/>
    <row r="125" hidden="1" ht="15.75" customHeight="1"/>
    <row r="126" hidden="1" ht="15.75" customHeight="1"/>
    <row r="127" hidden="1" ht="15.75" customHeight="1"/>
    <row r="128" hidden="1" ht="15.75" customHeight="1"/>
    <row r="129" hidden="1" ht="15.75" customHeight="1"/>
    <row r="130" hidden="1" ht="15.75" customHeight="1"/>
    <row r="131" hidden="1" ht="15.75" customHeight="1"/>
    <row r="132" hidden="1" ht="15.75" customHeight="1"/>
    <row r="133" hidden="1" ht="15.75" customHeight="1"/>
    <row r="134" hidden="1" ht="15.75" customHeight="1"/>
    <row r="135" hidden="1" ht="15.75" customHeight="1"/>
    <row r="136" hidden="1" ht="15.75" customHeight="1"/>
    <row r="137" hidden="1" ht="15.75" customHeight="1"/>
    <row r="138" hidden="1" ht="15.75" customHeight="1"/>
    <row r="139" hidden="1" ht="15.75" customHeight="1"/>
    <row r="140" hidden="1" ht="15.75" customHeight="1"/>
    <row r="141" hidden="1" ht="15.75" customHeight="1"/>
    <row r="142" hidden="1" ht="15.75" customHeight="1"/>
    <row r="143" hidden="1" ht="15.75" customHeight="1"/>
    <row r="144" hidden="1" ht="15.75" customHeight="1"/>
    <row r="145" hidden="1" ht="15.75" customHeight="1"/>
    <row r="146" hidden="1" ht="15.75" customHeight="1"/>
    <row r="147" hidden="1" ht="15.75" customHeight="1"/>
    <row r="148" hidden="1" ht="15.75" customHeight="1"/>
    <row r="149" hidden="1" ht="15.75" customHeight="1"/>
    <row r="150" hidden="1" ht="15.75" customHeight="1"/>
    <row r="151" hidden="1" ht="15.75" customHeight="1"/>
    <row r="152" hidden="1" ht="15.75" customHeight="1"/>
    <row r="153" hidden="1" ht="15.75" customHeight="1"/>
    <row r="154" hidden="1" ht="15.75" customHeight="1"/>
    <row r="155" hidden="1" ht="15.75" customHeight="1"/>
    <row r="156" hidden="1" ht="15.75" customHeight="1"/>
    <row r="157" hidden="1" ht="15.75" customHeight="1"/>
    <row r="158" hidden="1" ht="15.75" customHeight="1"/>
    <row r="159" hidden="1" ht="15.75" customHeight="1"/>
    <row r="160" hidden="1" ht="15.75" customHeight="1"/>
    <row r="161" hidden="1" ht="15.75" customHeight="1"/>
    <row r="162" hidden="1" ht="15.75" customHeight="1"/>
    <row r="163" hidden="1" ht="15.75" customHeight="1"/>
    <row r="164" hidden="1" ht="15.75" customHeight="1"/>
    <row r="165" hidden="1" ht="15.75" customHeight="1"/>
    <row r="166" hidden="1" ht="15.75" customHeight="1"/>
    <row r="167" hidden="1" ht="15.75" customHeight="1"/>
    <row r="168" hidden="1" ht="15.75" customHeight="1"/>
    <row r="169" hidden="1" ht="15.75" customHeight="1"/>
    <row r="170" hidden="1" ht="15.75" customHeight="1"/>
    <row r="171" hidden="1" ht="15.75" customHeight="1"/>
    <row r="172" hidden="1" ht="15.75" customHeight="1"/>
    <row r="173" hidden="1" ht="15.75" customHeight="1"/>
    <row r="174" hidden="1" ht="15.75" customHeight="1"/>
    <row r="175" hidden="1" ht="15.75" customHeight="1"/>
    <row r="176" hidden="1" ht="15.75" customHeight="1"/>
    <row r="177" hidden="1" ht="15.75" customHeight="1"/>
    <row r="178" hidden="1" ht="15.75" customHeight="1"/>
    <row r="179" hidden="1" ht="15.75" customHeight="1"/>
    <row r="180" hidden="1" ht="15.75" customHeight="1"/>
    <row r="181" hidden="1" ht="15.75" customHeight="1"/>
    <row r="182" hidden="1" ht="15.75" customHeight="1"/>
    <row r="183" hidden="1" ht="15.75" customHeight="1"/>
    <row r="184" hidden="1" ht="15.75" customHeight="1"/>
    <row r="185" hidden="1" ht="15.75" customHeight="1"/>
    <row r="186" hidden="1" ht="15.75" customHeight="1"/>
    <row r="187" hidden="1" ht="15.75" customHeight="1"/>
    <row r="188" hidden="1" ht="15.75" customHeight="1"/>
    <row r="189" hidden="1" ht="15.75" customHeight="1"/>
    <row r="190" hidden="1" ht="15.75" customHeight="1"/>
    <row r="191" hidden="1" ht="15.75" customHeight="1"/>
    <row r="192" hidden="1" ht="15.75" customHeight="1"/>
    <row r="193" hidden="1" ht="15.75" customHeight="1"/>
    <row r="194" hidden="1" ht="15.75" customHeight="1"/>
    <row r="195" hidden="1" ht="15.75" customHeight="1"/>
    <row r="196" hidden="1" ht="15.75" customHeight="1"/>
    <row r="197" hidden="1" ht="15.75" customHeight="1"/>
    <row r="198" hidden="1" ht="15.75" customHeight="1"/>
    <row r="199" hidden="1" ht="15.75" customHeight="1"/>
    <row r="200" hidden="1" ht="15.75" customHeight="1"/>
    <row r="201" hidden="1" ht="15.75" customHeight="1"/>
    <row r="202" hidden="1" ht="15.75" customHeight="1"/>
    <row r="203" hidden="1" ht="15.75" customHeight="1"/>
    <row r="204" hidden="1" ht="15.75" customHeight="1"/>
    <row r="205" hidden="1" ht="15.75" customHeight="1"/>
    <row r="206" hidden="1" ht="15.75" customHeight="1"/>
    <row r="207" hidden="1" ht="15.75" customHeight="1"/>
    <row r="208" hidden="1" ht="15.75" customHeight="1"/>
    <row r="209" hidden="1" ht="15.75" customHeight="1"/>
    <row r="210" hidden="1" ht="15.75" customHeight="1"/>
    <row r="211" hidden="1" ht="15.75" customHeight="1"/>
    <row r="212" hidden="1" ht="15.75" customHeight="1"/>
    <row r="213" hidden="1" ht="15.75" customHeight="1"/>
    <row r="214" hidden="1" ht="15.75" customHeight="1"/>
    <row r="215" hidden="1" ht="15.75" customHeight="1"/>
    <row r="216" hidden="1" ht="15.75" customHeight="1"/>
    <row r="217" hidden="1" ht="15.75" customHeight="1"/>
    <row r="218" hidden="1" ht="15.75" customHeight="1"/>
    <row r="219" hidden="1" ht="15.75" customHeight="1"/>
    <row r="220" hidden="1" ht="15.75" customHeight="1"/>
    <row r="221" hidden="1" ht="15.75" customHeight="1"/>
    <row r="222" hidden="1" ht="15.75" customHeight="1"/>
    <row r="223" hidden="1" ht="15.75" customHeight="1"/>
    <row r="224" hidden="1" ht="15.75" customHeight="1"/>
    <row r="225" hidden="1" ht="15.75" customHeight="1"/>
    <row r="226" hidden="1" ht="15.75" customHeight="1"/>
    <row r="227" hidden="1" ht="15.75" customHeight="1"/>
    <row r="228" hidden="1" ht="15.75" customHeight="1"/>
    <row r="229" hidden="1" ht="15.75" customHeight="1"/>
    <row r="230" hidden="1" ht="15.75" customHeight="1"/>
    <row r="231" hidden="1" ht="15.75" customHeight="1"/>
    <row r="232" hidden="1" ht="15.75" customHeight="1"/>
    <row r="233" hidden="1" ht="15.75" customHeight="1"/>
    <row r="234" hidden="1" ht="15.75" customHeight="1"/>
    <row r="235" hidden="1" ht="15.75" customHeight="1"/>
    <row r="236" hidden="1" ht="15.75" customHeight="1"/>
    <row r="237" hidden="1" ht="15.75" customHeight="1"/>
    <row r="238" hidden="1" ht="15.75" customHeight="1"/>
    <row r="239" hidden="1" ht="15.75" customHeight="1"/>
    <row r="240" hidden="1" ht="15.75" customHeight="1"/>
    <row r="241" hidden="1" ht="15.75" customHeight="1"/>
    <row r="242" hidden="1" ht="15.75" customHeight="1"/>
    <row r="243" hidden="1" ht="15.75" customHeight="1"/>
    <row r="244" hidden="1" ht="15.75" customHeight="1"/>
    <row r="245" hidden="1" ht="15.75" customHeight="1"/>
    <row r="246" hidden="1" ht="15.75" customHeight="1"/>
    <row r="247" hidden="1" ht="15.75" customHeight="1"/>
    <row r="248" hidden="1" ht="15.75" customHeight="1"/>
    <row r="249" hidden="1" ht="15.75" customHeight="1"/>
    <row r="250" hidden="1" ht="15.75" customHeight="1"/>
    <row r="251" hidden="1" ht="15.75" customHeight="1"/>
    <row r="252" hidden="1" ht="15.75" customHeight="1"/>
    <row r="253" hidden="1" ht="15.75" customHeight="1"/>
    <row r="254" hidden="1" ht="15.75" customHeight="1"/>
    <row r="255" hidden="1" ht="15.75" customHeight="1"/>
    <row r="256" hidden="1" ht="15.75" customHeight="1"/>
    <row r="257" hidden="1" ht="15.75" customHeight="1"/>
    <row r="258" hidden="1" ht="15.75" customHeight="1"/>
    <row r="259" hidden="1" ht="15.75" customHeight="1"/>
    <row r="260" hidden="1" ht="15.75" customHeight="1"/>
    <row r="261" hidden="1" ht="15.75" customHeight="1"/>
    <row r="262" hidden="1" ht="15.75" customHeight="1"/>
    <row r="263" hidden="1" ht="15.75" customHeight="1"/>
    <row r="264" hidden="1" ht="15.75" customHeight="1"/>
    <row r="265" hidden="1" ht="15.75" customHeight="1"/>
    <row r="266" hidden="1" ht="15.75" customHeight="1"/>
    <row r="267" hidden="1" ht="15.75" customHeight="1"/>
    <row r="268" hidden="1" ht="15.75" customHeight="1"/>
    <row r="269" hidden="1" ht="15.75" customHeight="1"/>
    <row r="270" hidden="1" ht="15.75" customHeight="1"/>
    <row r="271" hidden="1" ht="15.75" customHeight="1"/>
    <row r="272" hidden="1" ht="15.75" customHeight="1"/>
    <row r="273" hidden="1" ht="15.75" customHeight="1"/>
    <row r="274" hidden="1" ht="15.75" customHeight="1"/>
    <row r="275" hidden="1" ht="15.75" customHeight="1"/>
    <row r="276" hidden="1" ht="15.75" customHeight="1"/>
    <row r="277" hidden="1" ht="15.75" customHeight="1"/>
    <row r="278" hidden="1" ht="15.75" customHeight="1"/>
    <row r="279" hidden="1" ht="15.75" customHeight="1"/>
    <row r="280" hidden="1" ht="15.75" customHeight="1"/>
    <row r="281" hidden="1" ht="15.75" customHeight="1"/>
    <row r="282" hidden="1" ht="15.75" customHeight="1"/>
    <row r="283" hidden="1" ht="15.75" customHeight="1"/>
    <row r="284" hidden="1" ht="15.75" customHeight="1"/>
    <row r="285" hidden="1" ht="15.75" customHeight="1"/>
    <row r="286" hidden="1" ht="15.75" customHeight="1"/>
    <row r="287" hidden="1" ht="15.75" customHeight="1"/>
    <row r="288" hidden="1" ht="15.75" customHeight="1"/>
    <row r="289" hidden="1" ht="15.75" customHeight="1"/>
    <row r="290" hidden="1" ht="15.75" customHeight="1"/>
    <row r="291" hidden="1" ht="15.75" customHeight="1"/>
    <row r="292" hidden="1" ht="15.75" customHeight="1"/>
    <row r="293" hidden="1" ht="15.75" customHeight="1"/>
    <row r="294" hidden="1" ht="15.75" customHeight="1"/>
    <row r="295" hidden="1" ht="15.75" customHeight="1"/>
    <row r="296" hidden="1" ht="15.75" customHeight="1"/>
    <row r="297" hidden="1" ht="15.75" customHeight="1"/>
    <row r="298" hidden="1" ht="15.75" customHeight="1"/>
    <row r="299" hidden="1" ht="15.75" customHeight="1"/>
    <row r="300" hidden="1" ht="15.75" customHeight="1"/>
    <row r="301" hidden="1" ht="15.75" customHeight="1"/>
    <row r="302" hidden="1" ht="15.75" customHeight="1"/>
    <row r="303" hidden="1" ht="15.75" customHeight="1"/>
    <row r="304" hidden="1" ht="15.75" customHeight="1"/>
    <row r="305" hidden="1" ht="15.75" customHeight="1"/>
    <row r="306" hidden="1" ht="15.75" customHeight="1"/>
    <row r="307" hidden="1" ht="15.75" customHeight="1"/>
    <row r="308" hidden="1" ht="15.75" customHeight="1"/>
    <row r="309" hidden="1" ht="15.75" customHeight="1"/>
    <row r="310" hidden="1" ht="15.75" customHeight="1"/>
    <row r="311" hidden="1" ht="15.75" customHeight="1"/>
    <row r="312" hidden="1" ht="15.75" customHeight="1"/>
    <row r="313" hidden="1" ht="15.75" customHeight="1"/>
    <row r="314" hidden="1" ht="15.75" customHeight="1"/>
    <row r="315" hidden="1" ht="15.75" customHeight="1"/>
    <row r="316" hidden="1" ht="15.75" customHeight="1"/>
    <row r="317" hidden="1" ht="15.75" customHeight="1"/>
    <row r="318" hidden="1" ht="15.75" customHeight="1"/>
    <row r="319" hidden="1" ht="15.75" customHeight="1"/>
    <row r="320" hidden="1" ht="15.75" customHeight="1"/>
    <row r="321" hidden="1" ht="15.75" customHeight="1"/>
    <row r="322" hidden="1" ht="15.75" customHeight="1"/>
    <row r="323" hidden="1" ht="15.75" customHeight="1"/>
    <row r="324" hidden="1" ht="15.75" customHeight="1"/>
    <row r="325" hidden="1" ht="15.75" customHeight="1"/>
    <row r="326" hidden="1" ht="15.75" customHeight="1"/>
    <row r="327" hidden="1" ht="15.75" customHeight="1"/>
    <row r="328" hidden="1" ht="15.75" customHeight="1"/>
    <row r="329" hidden="1" ht="15.75" customHeight="1"/>
    <row r="330" hidden="1" ht="15.75" customHeight="1"/>
    <row r="331" hidden="1" ht="15.75" customHeight="1"/>
    <row r="332" hidden="1" ht="15.75" customHeight="1"/>
    <row r="333" hidden="1" ht="15.75" customHeight="1"/>
    <row r="334" hidden="1" ht="15.75" customHeight="1"/>
    <row r="335" hidden="1" ht="15.75" customHeight="1"/>
    <row r="336" hidden="1" ht="15.75" customHeight="1"/>
    <row r="337" hidden="1" ht="15.75" customHeight="1"/>
    <row r="338" hidden="1" ht="15.75" customHeight="1"/>
    <row r="339" hidden="1" ht="15.75" customHeight="1"/>
    <row r="340" hidden="1" ht="15.75" customHeight="1"/>
    <row r="341" hidden="1" ht="15.75" customHeight="1"/>
    <row r="342" hidden="1" ht="15.75" customHeight="1"/>
    <row r="343" hidden="1" ht="15.75" customHeight="1"/>
    <row r="344" hidden="1" ht="15.75" customHeight="1"/>
    <row r="345" hidden="1" ht="15.75" customHeight="1"/>
    <row r="346" hidden="1" ht="15.75" customHeight="1"/>
    <row r="347" hidden="1" ht="15.75" customHeight="1"/>
    <row r="348" hidden="1" ht="15.75" customHeight="1"/>
    <row r="349" hidden="1" ht="15.75" customHeight="1"/>
    <row r="350" hidden="1" ht="15.75" customHeight="1"/>
    <row r="351" hidden="1" ht="15.75" customHeight="1"/>
    <row r="352" hidden="1" ht="15.75" customHeight="1"/>
    <row r="353" hidden="1" ht="15.75" customHeight="1"/>
    <row r="354" hidden="1" ht="15.75" customHeight="1"/>
    <row r="355" hidden="1" ht="15.75" customHeight="1"/>
    <row r="356" hidden="1" ht="15.75" customHeight="1"/>
    <row r="357" hidden="1" ht="15.75" customHeight="1"/>
    <row r="358" hidden="1" ht="15.75" customHeight="1"/>
    <row r="359" hidden="1" ht="15.75" customHeight="1"/>
    <row r="360" hidden="1" ht="15.75" customHeight="1"/>
    <row r="361" hidden="1" ht="15.75" customHeight="1"/>
    <row r="362" hidden="1" ht="15.75" customHeight="1"/>
    <row r="363" hidden="1" ht="15.75" customHeight="1"/>
    <row r="364" hidden="1" ht="15.75" customHeight="1"/>
    <row r="365" hidden="1" ht="15.75" customHeight="1"/>
    <row r="366" hidden="1" ht="15.75" customHeight="1"/>
    <row r="367" hidden="1" ht="15.75" customHeight="1"/>
    <row r="368" hidden="1" ht="15.75" customHeight="1"/>
    <row r="369" hidden="1" ht="15.75" customHeight="1"/>
    <row r="370" hidden="1" ht="15.75" customHeight="1"/>
    <row r="371" hidden="1" ht="15.75" customHeight="1"/>
    <row r="372" hidden="1" ht="15.75" customHeight="1"/>
    <row r="373" hidden="1" ht="15.75" customHeight="1"/>
    <row r="374" hidden="1" ht="15.75" customHeight="1"/>
    <row r="375" hidden="1" ht="15.75" customHeight="1"/>
    <row r="376" hidden="1" ht="15.75" customHeight="1"/>
    <row r="377" hidden="1" ht="15.75" customHeight="1"/>
    <row r="378" hidden="1" ht="15.75" customHeight="1"/>
    <row r="379" hidden="1" ht="15.75" customHeight="1"/>
    <row r="380" hidden="1" ht="15.75" customHeight="1"/>
    <row r="381" hidden="1" ht="15.75" customHeight="1"/>
    <row r="382" hidden="1" ht="15.75" customHeight="1"/>
    <row r="383" hidden="1" ht="15.75" customHeight="1"/>
    <row r="384" hidden="1" ht="15.75" customHeight="1"/>
    <row r="385" hidden="1" ht="15.75" customHeight="1"/>
    <row r="386" hidden="1" ht="15.75" customHeight="1"/>
    <row r="387" hidden="1" ht="15.75" customHeight="1"/>
    <row r="388" hidden="1" ht="15.75" customHeight="1"/>
    <row r="389" hidden="1" ht="15.75" customHeight="1"/>
    <row r="390" hidden="1" ht="15.75" customHeight="1"/>
    <row r="391" hidden="1" ht="15.75" customHeight="1"/>
    <row r="392" hidden="1" ht="15.75" customHeight="1"/>
    <row r="393" hidden="1" ht="15.75" customHeight="1"/>
    <row r="394" hidden="1" ht="15.75" customHeight="1"/>
    <row r="395" hidden="1" ht="15.75" customHeight="1"/>
    <row r="396" hidden="1" ht="15.75" customHeight="1"/>
    <row r="397" hidden="1" ht="15.75" customHeight="1"/>
    <row r="398" hidden="1" ht="15.75" customHeight="1"/>
    <row r="399" hidden="1" ht="15.75" customHeight="1"/>
    <row r="400" hidden="1" ht="15.75" customHeight="1"/>
    <row r="401" hidden="1" ht="15.75" customHeight="1"/>
    <row r="402" hidden="1" ht="15.75" customHeight="1"/>
    <row r="403" hidden="1" ht="15.75" customHeight="1"/>
    <row r="404" hidden="1" ht="15.75" customHeight="1"/>
    <row r="405" hidden="1" ht="15.75" customHeight="1"/>
    <row r="406" hidden="1" ht="15.75" customHeight="1"/>
    <row r="407" hidden="1" ht="15.75" customHeight="1"/>
    <row r="408" hidden="1" ht="15.75" customHeight="1"/>
    <row r="409" hidden="1" ht="15.75" customHeight="1"/>
    <row r="410" hidden="1" ht="15.75" customHeight="1"/>
    <row r="411" hidden="1" ht="15.75" customHeight="1"/>
    <row r="412" hidden="1" ht="15.75" customHeight="1"/>
    <row r="413" hidden="1" ht="15.75" customHeight="1"/>
    <row r="414" hidden="1" ht="15.75" customHeight="1"/>
    <row r="415" hidden="1" ht="15.75" customHeight="1"/>
    <row r="416" hidden="1" ht="15.75" customHeight="1"/>
    <row r="417" hidden="1" ht="15.75" customHeight="1"/>
    <row r="418" hidden="1" ht="15.75" customHeight="1"/>
    <row r="419" hidden="1" ht="15.75" customHeight="1"/>
    <row r="420" hidden="1" ht="15.75" customHeight="1"/>
    <row r="421" hidden="1" ht="15.75" customHeight="1"/>
    <row r="422" hidden="1" ht="15.75" customHeight="1"/>
    <row r="423" hidden="1" ht="15.75" customHeight="1"/>
    <row r="424" hidden="1" ht="15.75" customHeight="1"/>
    <row r="425" hidden="1" ht="15.75" customHeight="1"/>
    <row r="426" hidden="1" ht="15.75" customHeight="1"/>
    <row r="427" hidden="1" ht="15.75" customHeight="1"/>
    <row r="428" hidden="1" ht="15.75" customHeight="1"/>
    <row r="429" hidden="1" ht="15.75" customHeight="1"/>
    <row r="430" hidden="1" ht="15.75" customHeight="1"/>
    <row r="431" hidden="1" ht="15.75" customHeight="1"/>
    <row r="432" hidden="1" ht="15.75" customHeight="1"/>
    <row r="433" hidden="1" ht="15.75" customHeight="1"/>
    <row r="434" hidden="1" ht="15.75" customHeight="1"/>
    <row r="435" hidden="1" ht="15.75" customHeight="1"/>
    <row r="436" hidden="1" ht="15.75" customHeight="1"/>
    <row r="437" hidden="1" ht="15.75" customHeight="1"/>
    <row r="438" hidden="1" ht="15.75" customHeight="1"/>
    <row r="439" hidden="1" ht="15.75" customHeight="1"/>
    <row r="440" hidden="1" ht="15.75" customHeight="1"/>
    <row r="441" hidden="1" ht="15.75" customHeight="1"/>
    <row r="442" hidden="1" ht="15.75" customHeight="1"/>
    <row r="443" hidden="1" ht="15.75" customHeight="1"/>
    <row r="444" hidden="1" ht="15.75" customHeight="1"/>
    <row r="445" hidden="1" ht="15.75" customHeight="1"/>
    <row r="446" hidden="1" ht="15.75" customHeight="1"/>
    <row r="447" hidden="1" ht="15.75" customHeight="1"/>
    <row r="448" hidden="1" ht="15.75" customHeight="1"/>
    <row r="449" hidden="1" ht="15.75" customHeight="1"/>
    <row r="450" hidden="1" ht="15.75" customHeight="1"/>
    <row r="451" hidden="1" ht="15.75" customHeight="1"/>
    <row r="452" hidden="1" ht="15.75" customHeight="1"/>
    <row r="453" hidden="1" ht="15.75" customHeight="1"/>
    <row r="454" hidden="1" ht="15.75" customHeight="1"/>
    <row r="455" hidden="1" ht="15.75" customHeight="1"/>
    <row r="456" hidden="1" ht="15.75" customHeight="1"/>
    <row r="457" hidden="1" ht="15.75" customHeight="1"/>
    <row r="458" hidden="1" ht="15.75" customHeight="1"/>
    <row r="459" hidden="1" ht="15.75" customHeight="1"/>
    <row r="460" hidden="1" ht="15.75" customHeight="1"/>
    <row r="461" hidden="1" ht="15.75" customHeight="1"/>
    <row r="462" hidden="1" ht="15.75" customHeight="1"/>
    <row r="463" hidden="1" ht="15.75" customHeight="1"/>
    <row r="464" hidden="1" ht="15.75" customHeight="1"/>
    <row r="465" hidden="1" ht="15.75" customHeight="1"/>
    <row r="466" hidden="1" ht="15.75" customHeight="1"/>
    <row r="467" hidden="1" ht="15.75" customHeight="1"/>
    <row r="468" hidden="1" ht="15.75" customHeight="1"/>
    <row r="469" hidden="1" ht="15.75" customHeight="1"/>
    <row r="470" hidden="1" ht="15.75" customHeight="1"/>
    <row r="471" hidden="1" ht="15.75" customHeight="1"/>
    <row r="472" hidden="1" ht="15.75" customHeight="1"/>
    <row r="473" hidden="1" ht="15.75" customHeight="1"/>
    <row r="474" hidden="1" ht="15.75" customHeight="1"/>
    <row r="475" hidden="1" ht="15.75" customHeight="1"/>
    <row r="476" hidden="1" ht="15.75" customHeight="1"/>
    <row r="477" hidden="1" ht="15.75" customHeight="1"/>
    <row r="478" hidden="1" ht="15.75" customHeight="1"/>
    <row r="479" hidden="1" ht="15.75" customHeight="1"/>
    <row r="480" hidden="1" ht="15.75" customHeight="1"/>
    <row r="481" hidden="1" ht="15.75" customHeight="1"/>
    <row r="482" hidden="1" ht="15.75" customHeight="1"/>
    <row r="483" hidden="1" ht="15.75" customHeight="1"/>
    <row r="484" hidden="1" ht="15.75" customHeight="1"/>
    <row r="485" hidden="1" ht="15.75" customHeight="1"/>
    <row r="486" hidden="1" ht="15.75" customHeight="1"/>
    <row r="487" hidden="1" ht="15.75" customHeight="1"/>
    <row r="488" hidden="1" ht="15.75" customHeight="1"/>
    <row r="489" hidden="1" ht="15.75" customHeight="1"/>
    <row r="490" hidden="1" ht="15.75" customHeight="1"/>
    <row r="491" hidden="1" ht="15.75" customHeight="1"/>
    <row r="492" hidden="1" ht="15.75" customHeight="1"/>
    <row r="493" hidden="1" ht="15.75" customHeight="1"/>
    <row r="494" hidden="1" ht="15.75" customHeight="1"/>
    <row r="495" hidden="1" ht="15.75" customHeight="1"/>
    <row r="496" hidden="1" ht="15.75" customHeight="1"/>
    <row r="497" hidden="1" ht="15.75" customHeight="1"/>
    <row r="498" hidden="1" ht="15.75" customHeight="1"/>
    <row r="499" hidden="1" ht="15.75" customHeight="1"/>
    <row r="500" hidden="1" ht="15.75" customHeight="1"/>
    <row r="501" hidden="1" ht="15.75" customHeight="1"/>
    <row r="502" hidden="1" ht="15.75" customHeight="1"/>
    <row r="503" hidden="1" ht="15.75" customHeight="1"/>
    <row r="504" hidden="1" ht="15.75" customHeight="1"/>
    <row r="505" hidden="1" ht="15.75" customHeight="1"/>
    <row r="506" hidden="1" ht="15.75" customHeight="1"/>
    <row r="507" hidden="1" ht="15.75" customHeight="1"/>
    <row r="508" hidden="1" ht="15.75" customHeight="1"/>
    <row r="509" hidden="1" ht="15.75" customHeight="1"/>
    <row r="510" hidden="1" ht="15.75" customHeight="1"/>
    <row r="511" hidden="1" ht="15.75" customHeight="1"/>
    <row r="512" hidden="1" ht="15.75" customHeight="1"/>
    <row r="513" hidden="1" ht="15.75" customHeight="1"/>
    <row r="514" hidden="1" ht="15.75" customHeight="1"/>
    <row r="515" hidden="1" ht="15.75" customHeight="1"/>
    <row r="516" hidden="1" ht="15.75" customHeight="1"/>
    <row r="517" hidden="1" ht="15.75" customHeight="1"/>
    <row r="518" hidden="1" ht="15.75" customHeight="1"/>
    <row r="519" hidden="1" ht="15.75" customHeight="1"/>
    <row r="520" hidden="1" ht="15.75" customHeight="1"/>
    <row r="521" hidden="1" ht="15.75" customHeight="1"/>
    <row r="522" hidden="1" ht="15.75" customHeight="1"/>
    <row r="523" hidden="1" ht="15.75" customHeight="1"/>
    <row r="524" hidden="1" ht="15.75" customHeight="1"/>
    <row r="525" hidden="1" ht="15.75" customHeight="1"/>
    <row r="526" hidden="1" ht="15.75" customHeight="1"/>
    <row r="527" hidden="1" ht="15.75" customHeight="1"/>
    <row r="528" hidden="1" ht="15.75" customHeight="1"/>
    <row r="529" hidden="1" ht="15.75" customHeight="1"/>
    <row r="530" hidden="1" ht="15.75" customHeight="1"/>
    <row r="531" hidden="1" ht="15.75" customHeight="1"/>
    <row r="532" hidden="1" ht="15.75" customHeight="1"/>
    <row r="533" hidden="1" ht="15.75" customHeight="1"/>
    <row r="534" hidden="1" ht="15.75" customHeight="1"/>
    <row r="535" hidden="1" ht="15.75" customHeight="1"/>
    <row r="536" hidden="1" ht="15.75" customHeight="1"/>
    <row r="537" hidden="1" ht="15.75" customHeight="1"/>
    <row r="538" hidden="1" ht="15.75" customHeight="1"/>
    <row r="539" hidden="1" ht="15.75" customHeight="1"/>
    <row r="540" hidden="1" ht="15.75" customHeight="1"/>
    <row r="541" hidden="1" ht="15.75" customHeight="1"/>
    <row r="542" hidden="1" ht="15.75" customHeight="1"/>
    <row r="543" hidden="1" ht="15.75" customHeight="1"/>
    <row r="544" hidden="1" ht="15.75" customHeight="1"/>
    <row r="545" hidden="1" ht="15.75" customHeight="1"/>
    <row r="546" hidden="1" ht="15.75" customHeight="1"/>
    <row r="547" hidden="1" ht="15.75" customHeight="1"/>
    <row r="548" hidden="1" ht="15.75" customHeight="1"/>
  </sheetData>
  <mergeCells count="27">
    <mergeCell ref="R14:V14"/>
    <mergeCell ref="A11:D11"/>
    <mergeCell ref="E11:F11"/>
    <mergeCell ref="L11:Q11"/>
    <mergeCell ref="A12:D12"/>
    <mergeCell ref="E12:F12"/>
    <mergeCell ref="L12:Q12"/>
    <mergeCell ref="A14:A15"/>
    <mergeCell ref="A10:D10"/>
    <mergeCell ref="E10:F10"/>
    <mergeCell ref="L10:Q10"/>
    <mergeCell ref="B14:B15"/>
    <mergeCell ref="C14:G14"/>
    <mergeCell ref="H14:L14"/>
    <mergeCell ref="M14:Q14"/>
    <mergeCell ref="A6:V6"/>
    <mergeCell ref="L7:V7"/>
    <mergeCell ref="A7:A9"/>
    <mergeCell ref="B7:K9"/>
    <mergeCell ref="L8:Q8"/>
    <mergeCell ref="L9:Q9"/>
    <mergeCell ref="A1:V1"/>
    <mergeCell ref="A2:V2"/>
    <mergeCell ref="A4:B4"/>
    <mergeCell ref="E4:F4"/>
    <mergeCell ref="H4:J4"/>
    <mergeCell ref="K4:Q4"/>
  </mergeCells>
  <pageMargins left="0.7" right="0.7" top="0.75" bottom="0.75" header="0" footer="0"/>
  <ignoredErrors>
    <ignoredError numberStoredAsText="1" sqref="A1:Y54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Z362"/>
  <sheetViews>
    <sheetView workbookViewId="0" rightToLeft="0"/>
  </sheetViews>
  <cols>
    <col min="1" max="1" customWidth="1" width="6.140625"/>
    <col min="2" max="2" customWidth="1" width="20.28515625"/>
    <col min="3" max="3" customWidth="1" width="8"/>
    <col min="4" max="4" customWidth="1" width="8"/>
    <col min="5" max="5" customWidth="1" width="8"/>
    <col min="6" max="6" customWidth="1" width="8"/>
    <col min="7" max="7" customWidth="1" width="8"/>
    <col min="8" max="8" customWidth="1" width="8"/>
    <col min="9" max="9" customWidth="1" width="8"/>
    <col min="10" max="10" customWidth="1" width="10.7109375"/>
    <col min="11" max="11" customWidth="1" width="8"/>
    <col min="12" max="12" customWidth="1" width="8"/>
    <col min="13" max="13" customWidth="1" width="8"/>
    <col min="14" max="14" customWidth="1" width="8"/>
    <col min="15" max="15" customWidth="1" width="8"/>
    <col min="16" max="16" customWidth="1" width="8"/>
    <col min="17" max="17" customWidth="1" width="8"/>
    <col min="18" max="18" customWidth="1" width="8"/>
    <col min="19" max="19" customWidth="1" width="8"/>
    <col min="20" max="20" customWidth="1" width="8"/>
    <col min="21" max="21" customWidth="1" width="8"/>
    <col min="22" max="22" customWidth="1" width="8"/>
    <col min="23" max="23" customWidth="1" width="14.42578125"/>
    <col min="24" max="24" customWidth="1" width="14.42578125"/>
    <col min="25" max="25" customWidth="1" width="8"/>
    <col min="26" max="26" customWidth="1" width="8"/>
  </cols>
  <sheetData>
    <row r="1" ht="26.25" customHeight="1">
      <c r="A1" s="3">
        <f>'Final Attainment'!A1:V1</f>
        <v>0</v>
      </c>
    </row>
    <row r="2" ht="19.5" customHeight="1">
      <c r="A2" s="3">
        <f>'Final Attainment'!A2:V2</f>
        <v>0</v>
      </c>
    </row>
    <row r="3" ht="15.75" customHeight="1"/>
    <row r="4" ht="39" customHeight="1">
      <c r="A4" s="3" t="str">
        <v>Academic Year:</v>
      </c>
      <c r="C4" s="3" t="str">
        <f>'Final Attainment'!C4</f>
        <v>2024-2025 EVEN</v>
      </c>
      <c r="E4" s="3" t="str">
        <v>Sem &amp; Year:</v>
      </c>
      <c r="G4" s="3" t="str">
        <f>'Final Attainment'!G4</f>
        <v>IV &amp; II</v>
      </c>
      <c r="H4" s="3" t="str">
        <v>Course Code &amp; Title:</v>
      </c>
      <c r="K4" s="3" t="str">
        <f>'Final Attainment'!K4:Q4</f>
        <v>22EE401 &amp; POWER GENERATION, TRANSMISSION AND DISTRIBUTION</v>
      </c>
      <c r="R4" s="3" t="str">
        <v>Faculty:</v>
      </c>
      <c r="S4" s="3" t="str">
        <f>'Final Attainment'!S4</f>
        <v>Dr.SIVARAMAN P / EE1329</v>
      </c>
    </row>
    <row r="5" ht="16.5" customHeight="1"/>
    <row r="6" ht="28.5" customHeight="1" xml:space="preserve">
      <c r="A6" s="4" t="str" xml:space="preserve">
        <v xml:space="preserve">End Semester Exam_x000d_
</v>
      </c>
    </row>
    <row r="7" ht="27" customHeight="1" xml:space="preserve">
      <c r="A7" s="4" t="str">
        <v>Scale</v>
      </c>
      <c r="B7" s="4" t="str" xml:space="preserve">
        <f>'Final Attainment'!X1</f>
        <v xml:space="preserve">CO Attainment Level 0: &lt;50% of students scoring less than the target marks_x000d_
CO Attainment Level 1: 50% of students scoring more than the target marks_x000d_
CO Attainment Level 2: 60% of students scoring more than the target marks_x000d_
CO Attainment Level 3: 70% of students scoring more than the target marks</v>
      </c>
      <c r="L7" s="4" t="str">
        <v>CO Attainment Summary</v>
      </c>
    </row>
    <row r="8" ht="15.75" customHeight="1">
      <c r="R8" s="4" t="str">
        <v>CO1</v>
      </c>
      <c r="S8" s="4" t="str">
        <v>CO2</v>
      </c>
      <c r="T8" s="4" t="str">
        <v>CO3</v>
      </c>
      <c r="U8" s="4" t="str">
        <v>CO4</v>
      </c>
      <c r="V8" s="4" t="str">
        <v>CO5</v>
      </c>
    </row>
    <row r="9" ht="16.5" customHeight="1">
      <c r="L9" s="4" t="str">
        <v>Total No. of Students</v>
      </c>
      <c r="R9" s="4">
        <f>COUNTIF(H16:H361,"&gt;=0")</f>
        <v>66</v>
      </c>
      <c r="S9" s="4">
        <f>COUNTIF(I16:I361,"&gt;=0")</f>
        <v>66</v>
      </c>
      <c r="T9" s="4">
        <f>COUNTIF(J16:J361,"&gt;=0")</f>
        <v>66</v>
      </c>
      <c r="U9" s="4">
        <f>COUNTIF(K16:K361,"&gt;=0")</f>
        <v>66</v>
      </c>
      <c r="V9" s="4">
        <f>COUNTIF(L16:L361,"&gt;=0")</f>
        <v>66</v>
      </c>
    </row>
    <row r="10" ht="15.75" customHeight="1">
      <c r="A10" s="4" t="str">
        <v>Target CO%:</v>
      </c>
      <c r="E10" s="4">
        <f>'Final Attainment'!E7</f>
        <v>58</v>
      </c>
      <c r="L10" s="4" t="str">
        <v>Total No. of Students Achieved the Target CO%</v>
      </c>
      <c r="R10" s="4">
        <f>COUNTIF(M16:M361,"&gt;="&amp;$E$10)</f>
        <v>53</v>
      </c>
      <c r="S10" s="4">
        <f>COUNTIF(N16:N361,"&gt;="&amp;$E$10)</f>
        <v>42</v>
      </c>
      <c r="T10" s="4">
        <f>COUNTIF(O16:O361,"&gt;="&amp;$E$10)</f>
        <v>50</v>
      </c>
      <c r="U10" s="4">
        <f>COUNTIF(P16:P361,"&gt;="&amp;$E$10)</f>
        <v>29</v>
      </c>
      <c r="V10" s="4">
        <f>COUNTIF(Q16:Q361,"&gt;="&amp;$E$10)</f>
        <v>47</v>
      </c>
    </row>
    <row r="11" ht="15.75" customHeight="1">
      <c r="A11" s="4" t="str">
        <v>Total No. of Students:</v>
      </c>
      <c r="E11" s="4">
        <f>COUNTA(B16:B361)</f>
        <v>66</v>
      </c>
      <c r="L11" s="4" t="str">
        <v>Attainment Level</v>
      </c>
      <c r="R11" s="4">
        <f>IFERROR(__xludf.DUMMYFUNCTION("IF(R10=0,"""",if(CEILING(R10/R9*100)=100,query('Final Attainment'!$H$7:$J$12, ""select H where  I&lt;=""&amp;CEILING(R10/R9*100)&amp;"" and J&gt;=""&amp;CEILING(R10/R9*100)&amp;"""" ),query('Final Attainment'!$H$7:$J$12, ""select H where  I&lt;=""&amp;CEILING(R10/R9*100)&amp;"" and J&gt;""&amp;"&amp;"CEILING(R10/R9*100)&amp;"""" )))"),3)</f>
        <v>3</v>
      </c>
      <c r="S11" s="4">
        <f>IFERROR(__xludf.DUMMYFUNCTION("IF(S10=0,"""",if(CEILING(S10/S9*100)=100,query('Final Attainment'!$H$7:$J$12, ""select H where  I&lt;=""&amp;CEILING(S10/S9*100)&amp;"" and J&gt;=""&amp;CEILING(S10/S9*100)&amp;"""" ),query('Final Attainment'!$H$7:$J$12, ""select H where  I&lt;=""&amp;CEILING(S10/S9*100)&amp;"" and J&gt;""&amp;"&amp;"CEILING(S10/S9*100)&amp;"""" )))"),2)</f>
        <v>2</v>
      </c>
      <c r="T11" s="4">
        <f>IFERROR(__xludf.DUMMYFUNCTION("IF(T10=0,"""",if(CEILING(T10/T9*100)=100,query('Final Attainment'!$H$7:$J$12, ""select H where  I&lt;=""&amp;CEILING(T10/T9*100)&amp;"" and J&gt;=""&amp;CEILING(T10/T9*100)&amp;"""" ),query('Final Attainment'!$H$7:$J$12, ""select H where  I&lt;=""&amp;CEILING(T10/T9*100)&amp;"" and J&gt;""&amp;"&amp;"CEILING(T10/T9*100)&amp;"""" )))"),3)</f>
        <v>3</v>
      </c>
      <c r="U11" s="4">
        <f>IFERROR(__xludf.DUMMYFUNCTION("IF(U10=0,"""",if(CEILING(U10/U9*100)=100,query('Final Attainment'!$H$7:$J$12, ""select H where  I&lt;=""&amp;CEILING(U10/U9*100)&amp;"" and J&gt;=""&amp;CEILING(U10/U9*100)&amp;"""" ),query('Final Attainment'!$H$7:$J$12, ""select H where  I&lt;=""&amp;CEILING(U10/U9*100)&amp;"" and J&gt;""&amp;"&amp;"CEILING(U10/U9*100)&amp;"""" )))"),0)</f>
        <v>0</v>
      </c>
      <c r="V11" s="4">
        <f>IFERROR(__xludf.DUMMYFUNCTION("IF(V10=0,"""",if(CEILING(V10/V9*100)=100,query('Final Attainment'!$H$7:$J$12, ""select H where  I&lt;=""&amp;CEILING(V10/V9*100)&amp;"" and J&gt;=""&amp;CEILING(V10/V9*100)&amp;"""" ),query('Final Attainment'!$H$7:$J$12, ""select H where  I&lt;=""&amp;CEILING(V10/V9*100)&amp;"" and J&gt;""&amp;"&amp;"CEILING(V10/V9*100)&amp;"""" )))"),3)</f>
        <v>3</v>
      </c>
    </row>
    <row r="12" ht="16.5" customHeight="1">
      <c r="A12" s="4" t="str">
        <v>Total No. of Attended Students:</v>
      </c>
      <c r="E12" s="4">
        <f>R9</f>
        <v>66</v>
      </c>
      <c r="L12" s="4" t="str">
        <v>Total No. of Students who need Remedial Class</v>
      </c>
      <c r="R12" s="11">
        <f>R9-R10</f>
        <v>13</v>
      </c>
      <c r="S12" s="11">
        <f>S9-S10</f>
        <v>24</v>
      </c>
      <c r="T12" s="11">
        <f>T9-T10</f>
        <v>16</v>
      </c>
      <c r="U12" s="11">
        <f>U9-U10</f>
        <v>37</v>
      </c>
      <c r="V12" s="11">
        <f>V9-V10</f>
        <v>19</v>
      </c>
    </row>
    <row r="13" ht="15.75" customHeight="1"/>
    <row r="14" ht="15.75" customHeight="1">
      <c r="A14" s="12" t="str">
        <v>S.No</v>
      </c>
      <c r="B14" s="12" t="str">
        <v>Reg.No.</v>
      </c>
      <c r="C14" s="12" t="str">
        <v>MARKS ALLOCATED</v>
      </c>
      <c r="H14" s="12" t="str">
        <v>MARKS OBTAINED</v>
      </c>
      <c r="M14" s="12" t="str">
        <v>CO ATTAINMENT %</v>
      </c>
      <c r="R14" s="12" t="str">
        <v>ATTAINMENT of COs</v>
      </c>
    </row>
    <row r="15" ht="15.75" customHeight="1">
      <c r="C15" s="12" t="str">
        <v>CO1</v>
      </c>
      <c r="D15" s="12" t="str">
        <v>CO2</v>
      </c>
      <c r="E15" s="12" t="str">
        <v>CO3</v>
      </c>
      <c r="F15" s="12" t="str">
        <v>CO4</v>
      </c>
      <c r="G15" s="12" t="str">
        <v>CO5</v>
      </c>
      <c r="H15" s="12" t="str">
        <v>CO1</v>
      </c>
      <c r="I15" s="12" t="str">
        <v>CO2</v>
      </c>
      <c r="J15" s="12" t="str">
        <v>CO3</v>
      </c>
      <c r="K15" s="12" t="str">
        <v>CO4</v>
      </c>
      <c r="L15" s="12" t="str">
        <v>CO5</v>
      </c>
      <c r="M15" s="12" t="str">
        <v>CO1</v>
      </c>
      <c r="N15" s="12" t="str">
        <v>CO2</v>
      </c>
      <c r="O15" s="12" t="str">
        <v>CO3</v>
      </c>
      <c r="P15" s="12" t="str">
        <v>CO4</v>
      </c>
      <c r="Q15" s="12" t="str">
        <v>CO5</v>
      </c>
      <c r="R15" s="12" t="str">
        <v>CO1</v>
      </c>
      <c r="S15" s="12" t="str">
        <v>CO2</v>
      </c>
      <c r="T15" s="12" t="str">
        <v>CO3</v>
      </c>
      <c r="U15" s="12" t="str">
        <v>CO4</v>
      </c>
      <c r="V15" s="12" t="str">
        <v>CO5</v>
      </c>
    </row>
    <row r="16" ht="16.5" customHeight="1">
      <c r="A16" s="3">
        <f>Theory!A6</f>
        <v>1</v>
      </c>
      <c r="B16" s="3" t="str">
        <f>Theory!B6</f>
        <v>7376231EE102</v>
      </c>
      <c r="C16" s="3">
        <v>20</v>
      </c>
      <c r="D16" s="3">
        <v>20</v>
      </c>
      <c r="E16" s="3">
        <v>20</v>
      </c>
      <c r="F16" s="3">
        <v>20</v>
      </c>
      <c r="G16" s="3">
        <v>20</v>
      </c>
      <c r="H16" s="3">
        <v>12</v>
      </c>
      <c r="I16" s="3">
        <v>14</v>
      </c>
      <c r="J16" s="3">
        <v>12</v>
      </c>
      <c r="K16" s="3">
        <v>15</v>
      </c>
      <c r="L16" s="3">
        <v>14</v>
      </c>
      <c r="M16" s="11">
        <f>IF(C16="","",H16*100/C16)</f>
        <v>60</v>
      </c>
      <c r="N16" s="11">
        <f>IF(D16="","",I16*100/D16)</f>
        <v>70</v>
      </c>
      <c r="O16" s="11">
        <f>IF(E16="","",J16*100/E16)</f>
        <v>60</v>
      </c>
      <c r="P16" s="11">
        <f>IF(F16="","",K16*100/F16)</f>
        <v>75</v>
      </c>
      <c r="Q16" s="11">
        <f>IF(G16="","",L16*100/G16)</f>
        <v>70</v>
      </c>
      <c r="R16" s="3" t="str">
        <f>IF(M16&gt;=$E$10,"1","0")</f>
        <v>1</v>
      </c>
      <c r="S16" s="3" t="str">
        <f>IF(N16&gt;=$E$10,"1","0")</f>
        <v>1</v>
      </c>
      <c r="T16" s="3" t="str">
        <f>IF(O16&gt;=$E$10,"1","0")</f>
        <v>1</v>
      </c>
      <c r="U16" s="3" t="str">
        <f>IF(P16&gt;=$E$10,"1","0")</f>
        <v>1</v>
      </c>
      <c r="V16" s="3" t="str">
        <f>IF(Q16&gt;=$E$10,"1","0")</f>
        <v>1</v>
      </c>
    </row>
    <row r="17" ht="16.5" customHeight="1">
      <c r="A17" s="3">
        <f>Theory!A7</f>
        <v>2</v>
      </c>
      <c r="B17" s="3" t="str">
        <f>Theory!B7</f>
        <v>7376231EE103</v>
      </c>
      <c r="C17" s="3">
        <v>20</v>
      </c>
      <c r="D17" s="3">
        <v>20</v>
      </c>
      <c r="E17" s="3">
        <v>20</v>
      </c>
      <c r="F17" s="3">
        <v>20</v>
      </c>
      <c r="G17" s="3">
        <v>20</v>
      </c>
      <c r="H17" s="3">
        <v>13</v>
      </c>
      <c r="I17" s="3">
        <v>12</v>
      </c>
      <c r="J17" s="3">
        <v>12</v>
      </c>
      <c r="K17" s="3">
        <v>13</v>
      </c>
      <c r="L17" s="3">
        <v>11</v>
      </c>
      <c r="M17" s="11">
        <f>IF(C17="","",H17*100/C17)</f>
        <v>65</v>
      </c>
      <c r="N17" s="11">
        <f>IF(D17="","",I17*100/D17)</f>
        <v>60</v>
      </c>
      <c r="O17" s="11">
        <f>IF(E17="","",J17*100/E17)</f>
        <v>60</v>
      </c>
      <c r="P17" s="11">
        <f>IF(F17="","",K17*100/F17)</f>
        <v>65</v>
      </c>
      <c r="Q17" s="11">
        <f>IF(G17="","",L17*100/G17)</f>
        <v>55</v>
      </c>
      <c r="R17" s="3" t="str">
        <f>IF(M17&gt;=$E$10,"1","0")</f>
        <v>1</v>
      </c>
      <c r="S17" s="3" t="str">
        <f>IF(N17&gt;=$E$10,"1","0")</f>
        <v>1</v>
      </c>
      <c r="T17" s="3" t="str">
        <f>IF(O17&gt;=$E$10,"1","0")</f>
        <v>1</v>
      </c>
      <c r="U17" s="3" t="str">
        <f>IF(P17&gt;=$E$10,"1","0")</f>
        <v>1</v>
      </c>
      <c r="V17" s="3" t="str">
        <f>IF(Q17&gt;=$E$10,"1","0")</f>
        <v>0</v>
      </c>
    </row>
    <row r="18" ht="16.5" customHeight="1">
      <c r="A18" s="3">
        <f>Theory!A8</f>
        <v>3</v>
      </c>
      <c r="B18" s="3" t="str">
        <f>Theory!B8</f>
        <v>7376231EE104</v>
      </c>
      <c r="C18" s="3">
        <v>20</v>
      </c>
      <c r="D18" s="3">
        <v>20</v>
      </c>
      <c r="E18" s="3">
        <v>20</v>
      </c>
      <c r="F18" s="3">
        <v>20</v>
      </c>
      <c r="G18" s="3">
        <v>20</v>
      </c>
      <c r="H18" s="3">
        <v>7</v>
      </c>
      <c r="I18" s="3">
        <v>1</v>
      </c>
      <c r="J18" s="3">
        <v>4</v>
      </c>
      <c r="K18" s="3">
        <v>8</v>
      </c>
      <c r="L18" s="3">
        <v>12</v>
      </c>
      <c r="M18" s="11">
        <f>IF(C18="","",H18*100/C18)</f>
        <v>35</v>
      </c>
      <c r="N18" s="11">
        <f>IF(D18="","",I18*100/D18)</f>
        <v>5</v>
      </c>
      <c r="O18" s="11">
        <f>IF(E18="","",J18*100/E18)</f>
        <v>20</v>
      </c>
      <c r="P18" s="11">
        <f>IF(F18="","",K18*100/F18)</f>
        <v>40</v>
      </c>
      <c r="Q18" s="11">
        <f>IF(G18="","",L18*100/G18)</f>
        <v>60</v>
      </c>
      <c r="R18" s="3" t="str">
        <f>IF(M18&gt;=$E$10,"1","0")</f>
        <v>0</v>
      </c>
      <c r="S18" s="3" t="str">
        <f>IF(N18&gt;=$E$10,"1","0")</f>
        <v>0</v>
      </c>
      <c r="T18" s="3" t="str">
        <f>IF(O18&gt;=$E$10,"1","0")</f>
        <v>0</v>
      </c>
      <c r="U18" s="3" t="str">
        <f>IF(P18&gt;=$E$10,"1","0")</f>
        <v>0</v>
      </c>
      <c r="V18" s="3" t="str">
        <f>IF(Q18&gt;=$E$10,"1","0")</f>
        <v>1</v>
      </c>
    </row>
    <row r="19" ht="16.5" customHeight="1">
      <c r="A19" s="3">
        <f>Theory!A9</f>
        <v>4</v>
      </c>
      <c r="B19" s="3" t="str">
        <f>Theory!B9</f>
        <v>7376231EE105</v>
      </c>
      <c r="C19" s="3">
        <v>20</v>
      </c>
      <c r="D19" s="3">
        <v>20</v>
      </c>
      <c r="E19" s="3">
        <v>20</v>
      </c>
      <c r="F19" s="3">
        <v>20</v>
      </c>
      <c r="G19" s="3">
        <v>20</v>
      </c>
      <c r="H19" s="3">
        <v>19</v>
      </c>
      <c r="I19" s="3">
        <v>15</v>
      </c>
      <c r="J19" s="3">
        <v>14</v>
      </c>
      <c r="K19" s="3">
        <v>13</v>
      </c>
      <c r="L19" s="3">
        <v>9</v>
      </c>
      <c r="M19" s="11">
        <f>IF(C19="","",H19*100/C19)</f>
        <v>95</v>
      </c>
      <c r="N19" s="11">
        <f>IF(D19="","",I19*100/D19)</f>
        <v>75</v>
      </c>
      <c r="O19" s="11">
        <f>IF(E19="","",J19*100/E19)</f>
        <v>70</v>
      </c>
      <c r="P19" s="11">
        <f>IF(F19="","",K19*100/F19)</f>
        <v>65</v>
      </c>
      <c r="Q19" s="11">
        <f>IF(G19="","",L19*100/G19)</f>
        <v>45</v>
      </c>
      <c r="R19" s="3" t="str">
        <f>IF(M19&gt;=$E$10,"1","0")</f>
        <v>1</v>
      </c>
      <c r="S19" s="3" t="str">
        <f>IF(N19&gt;=$E$10,"1","0")</f>
        <v>1</v>
      </c>
      <c r="T19" s="3" t="str">
        <f>IF(O19&gt;=$E$10,"1","0")</f>
        <v>1</v>
      </c>
      <c r="U19" s="3" t="str">
        <f>IF(P19&gt;=$E$10,"1","0")</f>
        <v>1</v>
      </c>
      <c r="V19" s="3" t="str">
        <f>IF(Q19&gt;=$E$10,"1","0")</f>
        <v>0</v>
      </c>
    </row>
    <row r="20" ht="16.5" customHeight="1">
      <c r="A20" s="3">
        <f>Theory!A10</f>
        <v>5</v>
      </c>
      <c r="B20" s="3" t="str">
        <f>Theory!B10</f>
        <v>7376231EE106</v>
      </c>
      <c r="C20" s="3">
        <v>20</v>
      </c>
      <c r="D20" s="3">
        <v>20</v>
      </c>
      <c r="E20" s="3">
        <v>20</v>
      </c>
      <c r="F20" s="3">
        <v>20</v>
      </c>
      <c r="G20" s="3">
        <v>20</v>
      </c>
      <c r="H20" s="3">
        <v>16</v>
      </c>
      <c r="I20" s="3">
        <v>12</v>
      </c>
      <c r="J20" s="3">
        <v>13</v>
      </c>
      <c r="K20" s="3">
        <v>10</v>
      </c>
      <c r="L20" s="3">
        <v>15</v>
      </c>
      <c r="M20" s="11">
        <f>IF(C20="","",H20*100/C20)</f>
        <v>80</v>
      </c>
      <c r="N20" s="11">
        <f>IF(D20="","",I20*100/D20)</f>
        <v>60</v>
      </c>
      <c r="O20" s="11">
        <f>IF(E20="","",J20*100/E20)</f>
        <v>65</v>
      </c>
      <c r="P20" s="11">
        <f>IF(F20="","",K20*100/F20)</f>
        <v>50</v>
      </c>
      <c r="Q20" s="11">
        <f>IF(G20="","",L20*100/G20)</f>
        <v>75</v>
      </c>
      <c r="R20" s="3" t="str">
        <f>IF(M20&gt;=$E$10,"1","0")</f>
        <v>1</v>
      </c>
      <c r="S20" s="3" t="str">
        <f>IF(N20&gt;=$E$10,"1","0")</f>
        <v>1</v>
      </c>
      <c r="T20" s="3" t="str">
        <f>IF(O20&gt;=$E$10,"1","0")</f>
        <v>1</v>
      </c>
      <c r="U20" s="3" t="str">
        <f>IF(P20&gt;=$E$10,"1","0")</f>
        <v>0</v>
      </c>
      <c r="V20" s="3" t="str">
        <f>IF(Q20&gt;=$E$10,"1","0")</f>
        <v>1</v>
      </c>
    </row>
    <row r="21" ht="16.5" customHeight="1">
      <c r="A21" s="3">
        <f>Theory!A11</f>
        <v>6</v>
      </c>
      <c r="B21" s="3" t="str">
        <f>Theory!B11</f>
        <v>7376231EE107</v>
      </c>
      <c r="C21" s="3">
        <v>20</v>
      </c>
      <c r="D21" s="3">
        <v>20</v>
      </c>
      <c r="E21" s="3">
        <v>20</v>
      </c>
      <c r="F21" s="3">
        <v>20</v>
      </c>
      <c r="G21" s="3">
        <v>20</v>
      </c>
      <c r="H21" s="3">
        <v>11</v>
      </c>
      <c r="I21" s="3">
        <v>11</v>
      </c>
      <c r="J21" s="3">
        <v>13</v>
      </c>
      <c r="K21" s="3">
        <v>14</v>
      </c>
      <c r="L21" s="3">
        <v>16</v>
      </c>
      <c r="M21" s="11">
        <f>IF(C21="","",H21*100/C21)</f>
        <v>55</v>
      </c>
      <c r="N21" s="11">
        <f>IF(D21="","",I21*100/D21)</f>
        <v>55</v>
      </c>
      <c r="O21" s="11">
        <f>IF(E21="","",J21*100/E21)</f>
        <v>65</v>
      </c>
      <c r="P21" s="11">
        <f>IF(F21="","",K21*100/F21)</f>
        <v>70</v>
      </c>
      <c r="Q21" s="11">
        <f>IF(G21="","",L21*100/G21)</f>
        <v>80</v>
      </c>
      <c r="R21" s="3" t="str">
        <f>IF(M21&gt;=$E$10,"1","0")</f>
        <v>0</v>
      </c>
      <c r="S21" s="3" t="str">
        <f>IF(N21&gt;=$E$10,"1","0")</f>
        <v>0</v>
      </c>
      <c r="T21" s="3" t="str">
        <f>IF(O21&gt;=$E$10,"1","0")</f>
        <v>1</v>
      </c>
      <c r="U21" s="3" t="str">
        <f>IF(P21&gt;=$E$10,"1","0")</f>
        <v>1</v>
      </c>
      <c r="V21" s="3" t="str">
        <f>IF(Q21&gt;=$E$10,"1","0")</f>
        <v>1</v>
      </c>
    </row>
    <row r="22" ht="16.5" customHeight="1">
      <c r="A22" s="3">
        <f>Theory!A12</f>
        <v>7</v>
      </c>
      <c r="B22" s="3" t="str">
        <f>Theory!B12</f>
        <v>7376231EE108</v>
      </c>
      <c r="C22" s="3">
        <v>20</v>
      </c>
      <c r="D22" s="3">
        <v>20</v>
      </c>
      <c r="E22" s="3">
        <v>20</v>
      </c>
      <c r="F22" s="3">
        <v>20</v>
      </c>
      <c r="G22" s="3">
        <v>20</v>
      </c>
      <c r="H22" s="3">
        <v>12</v>
      </c>
      <c r="I22" s="3">
        <v>12</v>
      </c>
      <c r="J22" s="3">
        <v>9</v>
      </c>
      <c r="K22" s="3">
        <v>9</v>
      </c>
      <c r="L22" s="3">
        <v>10</v>
      </c>
      <c r="M22" s="11">
        <f>IF(C22="","",H22*100/C22)</f>
        <v>60</v>
      </c>
      <c r="N22" s="11">
        <f>IF(D22="","",I22*100/D22)</f>
        <v>60</v>
      </c>
      <c r="O22" s="11">
        <f>IF(E22="","",J22*100/E22)</f>
        <v>45</v>
      </c>
      <c r="P22" s="11">
        <f>IF(F22="","",K22*100/F22)</f>
        <v>45</v>
      </c>
      <c r="Q22" s="11">
        <f>IF(G22="","",L22*100/G22)</f>
        <v>50</v>
      </c>
      <c r="R22" s="3" t="str">
        <f>IF(M22&gt;=$E$10,"1","0")</f>
        <v>1</v>
      </c>
      <c r="S22" s="3" t="str">
        <f>IF(N22&gt;=$E$10,"1","0")</f>
        <v>1</v>
      </c>
      <c r="T22" s="3" t="str">
        <f>IF(O22&gt;=$E$10,"1","0")</f>
        <v>0</v>
      </c>
      <c r="U22" s="3" t="str">
        <f>IF(P22&gt;=$E$10,"1","0")</f>
        <v>0</v>
      </c>
      <c r="V22" s="3" t="str">
        <f>IF(Q22&gt;=$E$10,"1","0")</f>
        <v>0</v>
      </c>
    </row>
    <row r="23" ht="16.5" customHeight="1">
      <c r="A23" s="3">
        <f>Theory!A13</f>
        <v>8</v>
      </c>
      <c r="B23" s="3" t="str">
        <f>Theory!B13</f>
        <v>7376231EE109</v>
      </c>
      <c r="C23" s="3">
        <v>20</v>
      </c>
      <c r="D23" s="3">
        <v>20</v>
      </c>
      <c r="E23" s="3">
        <v>20</v>
      </c>
      <c r="F23" s="3">
        <v>20</v>
      </c>
      <c r="G23" s="3">
        <v>20</v>
      </c>
      <c r="H23" s="3">
        <v>8</v>
      </c>
      <c r="I23" s="3">
        <v>10</v>
      </c>
      <c r="J23" s="3">
        <v>10</v>
      </c>
      <c r="K23" s="3">
        <v>9</v>
      </c>
      <c r="L23" s="3">
        <v>15</v>
      </c>
      <c r="M23" s="11">
        <f>IF(C23="","",H23*100/C23)</f>
        <v>40</v>
      </c>
      <c r="N23" s="11">
        <f>IF(D23="","",I23*100/D23)</f>
        <v>50</v>
      </c>
      <c r="O23" s="11">
        <f>IF(E23="","",J23*100/E23)</f>
        <v>50</v>
      </c>
      <c r="P23" s="11">
        <f>IF(F23="","",K23*100/F23)</f>
        <v>45</v>
      </c>
      <c r="Q23" s="11">
        <f>IF(G23="","",L23*100/G23)</f>
        <v>75</v>
      </c>
      <c r="R23" s="3" t="str">
        <f>IF(M23&gt;=$E$10,"1","0")</f>
        <v>0</v>
      </c>
      <c r="S23" s="3" t="str">
        <f>IF(N23&gt;=$E$10,"1","0")</f>
        <v>0</v>
      </c>
      <c r="T23" s="3" t="str">
        <f>IF(O23&gt;=$E$10,"1","0")</f>
        <v>0</v>
      </c>
      <c r="U23" s="3" t="str">
        <f>IF(P23&gt;=$E$10,"1","0")</f>
        <v>0</v>
      </c>
      <c r="V23" s="3" t="str">
        <f>IF(Q23&gt;=$E$10,"1","0")</f>
        <v>1</v>
      </c>
    </row>
    <row r="24" ht="16.5" customHeight="1">
      <c r="A24" s="3">
        <f>Theory!A14</f>
        <v>9</v>
      </c>
      <c r="B24" s="3" t="str">
        <f>Theory!B14</f>
        <v>7376231EE110</v>
      </c>
      <c r="C24" s="3">
        <v>20</v>
      </c>
      <c r="D24" s="3">
        <v>20</v>
      </c>
      <c r="E24" s="3">
        <v>20</v>
      </c>
      <c r="F24" s="3">
        <v>20</v>
      </c>
      <c r="G24" s="3">
        <v>20</v>
      </c>
      <c r="H24" s="3">
        <v>17</v>
      </c>
      <c r="I24" s="3">
        <v>14</v>
      </c>
      <c r="J24" s="3">
        <v>16</v>
      </c>
      <c r="K24" s="3">
        <v>10</v>
      </c>
      <c r="L24" s="3">
        <v>12</v>
      </c>
      <c r="M24" s="11">
        <f>IF(C24="","",H24*100/C24)</f>
        <v>85</v>
      </c>
      <c r="N24" s="11">
        <f>IF(D24="","",I24*100/D24)</f>
        <v>70</v>
      </c>
      <c r="O24" s="11">
        <f>IF(E24="","",J24*100/E24)</f>
        <v>80</v>
      </c>
      <c r="P24" s="11">
        <f>IF(F24="","",K24*100/F24)</f>
        <v>50</v>
      </c>
      <c r="Q24" s="11">
        <f>IF(G24="","",L24*100/G24)</f>
        <v>60</v>
      </c>
      <c r="R24" s="3" t="str">
        <f>IF(M24&gt;=$E$10,"1","0")</f>
        <v>1</v>
      </c>
      <c r="S24" s="3" t="str">
        <f>IF(N24&gt;=$E$10,"1","0")</f>
        <v>1</v>
      </c>
      <c r="T24" s="3" t="str">
        <f>IF(O24&gt;=$E$10,"1","0")</f>
        <v>1</v>
      </c>
      <c r="U24" s="3" t="str">
        <f>IF(P24&gt;=$E$10,"1","0")</f>
        <v>0</v>
      </c>
      <c r="V24" s="3" t="str">
        <f>IF(Q24&gt;=$E$10,"1","0")</f>
        <v>1</v>
      </c>
    </row>
    <row r="25" ht="16.5" customHeight="1">
      <c r="A25" s="3">
        <f>Theory!A15</f>
        <v>10</v>
      </c>
      <c r="B25" s="3" t="str">
        <f>Theory!B15</f>
        <v>7376231EE111</v>
      </c>
      <c r="C25" s="3">
        <v>20</v>
      </c>
      <c r="D25" s="3">
        <v>20</v>
      </c>
      <c r="E25" s="3">
        <v>20</v>
      </c>
      <c r="F25" s="3">
        <v>20</v>
      </c>
      <c r="G25" s="3">
        <v>20</v>
      </c>
      <c r="H25" s="3">
        <v>1</v>
      </c>
      <c r="I25" s="3">
        <v>0</v>
      </c>
      <c r="J25" s="3">
        <v>0</v>
      </c>
      <c r="K25" s="3">
        <v>1</v>
      </c>
      <c r="L25" s="3">
        <v>2</v>
      </c>
      <c r="M25" s="11">
        <f>IF(C25="","",H25*100/C25)</f>
        <v>5</v>
      </c>
      <c r="N25" s="11">
        <f>IF(D25="","",I25*100/D25)</f>
        <v>0</v>
      </c>
      <c r="O25" s="11">
        <f>IF(E25="","",J25*100/E25)</f>
        <v>0</v>
      </c>
      <c r="P25" s="11">
        <f>IF(F25="","",K25*100/F25)</f>
        <v>5</v>
      </c>
      <c r="Q25" s="11">
        <f>IF(G25="","",L25*100/G25)</f>
        <v>10</v>
      </c>
      <c r="R25" s="3" t="str">
        <f>IF(M25&gt;=$E$10,"1","0")</f>
        <v>0</v>
      </c>
      <c r="S25" s="3" t="str">
        <f>IF(N25&gt;=$E$10,"1","0")</f>
        <v>0</v>
      </c>
      <c r="T25" s="3" t="str">
        <f>IF(O25&gt;=$E$10,"1","0")</f>
        <v>0</v>
      </c>
      <c r="U25" s="3" t="str">
        <f>IF(P25&gt;=$E$10,"1","0")</f>
        <v>0</v>
      </c>
      <c r="V25" s="3" t="str">
        <f>IF(Q25&gt;=$E$10,"1","0")</f>
        <v>0</v>
      </c>
    </row>
    <row r="26" ht="16.5" customHeight="1">
      <c r="A26" s="3">
        <f>Theory!A16</f>
        <v>11</v>
      </c>
      <c r="B26" s="3" t="str">
        <f>Theory!B16</f>
        <v>7376231EE112</v>
      </c>
      <c r="C26" s="3">
        <v>20</v>
      </c>
      <c r="D26" s="3">
        <v>20</v>
      </c>
      <c r="E26" s="3">
        <v>20</v>
      </c>
      <c r="F26" s="3">
        <v>20</v>
      </c>
      <c r="G26" s="3">
        <v>20</v>
      </c>
      <c r="H26" s="3">
        <v>15</v>
      </c>
      <c r="I26" s="3">
        <v>13</v>
      </c>
      <c r="J26" s="3">
        <v>15</v>
      </c>
      <c r="K26" s="3">
        <v>11</v>
      </c>
      <c r="L26" s="3">
        <v>13</v>
      </c>
      <c r="M26" s="11">
        <f>IF(C26="","",H26*100/C26)</f>
        <v>75</v>
      </c>
      <c r="N26" s="11">
        <f>IF(D26="","",I26*100/D26)</f>
        <v>65</v>
      </c>
      <c r="O26" s="11">
        <f>IF(E26="","",J26*100/E26)</f>
        <v>75</v>
      </c>
      <c r="P26" s="11">
        <f>IF(F26="","",K26*100/F26)</f>
        <v>55</v>
      </c>
      <c r="Q26" s="11">
        <f>IF(G26="","",L26*100/G26)</f>
        <v>65</v>
      </c>
      <c r="R26" s="3" t="str">
        <f>IF(M26&gt;=$E$10,"1","0")</f>
        <v>1</v>
      </c>
      <c r="S26" s="3" t="str">
        <f>IF(N26&gt;=$E$10,"1","0")</f>
        <v>1</v>
      </c>
      <c r="T26" s="3" t="str">
        <f>IF(O26&gt;=$E$10,"1","0")</f>
        <v>1</v>
      </c>
      <c r="U26" s="3" t="str">
        <f>IF(P26&gt;=$E$10,"1","0")</f>
        <v>0</v>
      </c>
      <c r="V26" s="3" t="str">
        <f>IF(Q26&gt;=$E$10,"1","0")</f>
        <v>1</v>
      </c>
    </row>
    <row r="27" ht="16.5" customHeight="1">
      <c r="A27" s="3">
        <f>Theory!A17</f>
        <v>12</v>
      </c>
      <c r="B27" s="3" t="str">
        <f>Theory!B17</f>
        <v>7376231EE113</v>
      </c>
      <c r="C27" s="3">
        <v>20</v>
      </c>
      <c r="D27" s="3">
        <v>20</v>
      </c>
      <c r="E27" s="3">
        <v>20</v>
      </c>
      <c r="F27" s="3">
        <v>20</v>
      </c>
      <c r="G27" s="3">
        <v>20</v>
      </c>
      <c r="H27" s="3">
        <v>14</v>
      </c>
      <c r="I27" s="3">
        <v>14</v>
      </c>
      <c r="J27" s="3">
        <v>14</v>
      </c>
      <c r="K27" s="3">
        <v>12</v>
      </c>
      <c r="L27" s="3">
        <v>16</v>
      </c>
      <c r="M27" s="11">
        <f>IF(C27="","",H27*100/C27)</f>
        <v>70</v>
      </c>
      <c r="N27" s="11">
        <f>IF(D27="","",I27*100/D27)</f>
        <v>70</v>
      </c>
      <c r="O27" s="11">
        <f>IF(E27="","",J27*100/E27)</f>
        <v>70</v>
      </c>
      <c r="P27" s="11">
        <f>IF(F27="","",K27*100/F27)</f>
        <v>60</v>
      </c>
      <c r="Q27" s="11">
        <f>IF(G27="","",L27*100/G27)</f>
        <v>80</v>
      </c>
      <c r="R27" s="3" t="str">
        <f>IF(M27&gt;=$E$10,"1","0")</f>
        <v>1</v>
      </c>
      <c r="S27" s="3" t="str">
        <f>IF(N27&gt;=$E$10,"1","0")</f>
        <v>1</v>
      </c>
      <c r="T27" s="3" t="str">
        <f>IF(O27&gt;=$E$10,"1","0")</f>
        <v>1</v>
      </c>
      <c r="U27" s="3" t="str">
        <f>IF(P27&gt;=$E$10,"1","0")</f>
        <v>1</v>
      </c>
      <c r="V27" s="3" t="str">
        <f>IF(Q27&gt;=$E$10,"1","0")</f>
        <v>1</v>
      </c>
    </row>
    <row r="28" ht="16.5" customHeight="1">
      <c r="A28" s="3">
        <f>Theory!A18</f>
        <v>13</v>
      </c>
      <c r="B28" s="3" t="str">
        <f>Theory!B18</f>
        <v>7376231EE114</v>
      </c>
      <c r="C28" s="3">
        <v>20</v>
      </c>
      <c r="D28" s="3">
        <v>20</v>
      </c>
      <c r="E28" s="3">
        <v>20</v>
      </c>
      <c r="F28" s="3">
        <v>20</v>
      </c>
      <c r="G28" s="3">
        <v>20</v>
      </c>
      <c r="H28" s="3">
        <v>11</v>
      </c>
      <c r="I28" s="3">
        <v>11</v>
      </c>
      <c r="J28" s="3">
        <v>13</v>
      </c>
      <c r="K28" s="3">
        <v>10</v>
      </c>
      <c r="L28" s="3">
        <v>14</v>
      </c>
      <c r="M28" s="11">
        <f>IF(C28="","",H28*100/C28)</f>
        <v>55</v>
      </c>
      <c r="N28" s="11">
        <f>IF(D28="","",I28*100/D28)</f>
        <v>55</v>
      </c>
      <c r="O28" s="11">
        <f>IF(E28="","",J28*100/E28)</f>
        <v>65</v>
      </c>
      <c r="P28" s="11">
        <f>IF(F28="","",K28*100/F28)</f>
        <v>50</v>
      </c>
      <c r="Q28" s="11">
        <f>IF(G28="","",L28*100/G28)</f>
        <v>70</v>
      </c>
      <c r="R28" s="3" t="str">
        <f>IF(M28&gt;=$E$10,"1","0")</f>
        <v>0</v>
      </c>
      <c r="S28" s="3" t="str">
        <f>IF(N28&gt;=$E$10,"1","0")</f>
        <v>0</v>
      </c>
      <c r="T28" s="3" t="str">
        <f>IF(O28&gt;=$E$10,"1","0")</f>
        <v>1</v>
      </c>
      <c r="U28" s="3" t="str">
        <f>IF(P28&gt;=$E$10,"1","0")</f>
        <v>0</v>
      </c>
      <c r="V28" s="3" t="str">
        <f>IF(Q28&gt;=$E$10,"1","0")</f>
        <v>1</v>
      </c>
    </row>
    <row r="29" ht="16.5" customHeight="1">
      <c r="A29" s="3">
        <f>Theory!A19</f>
        <v>14</v>
      </c>
      <c r="B29" s="3" t="str">
        <f>Theory!B19</f>
        <v>7376231EE115</v>
      </c>
      <c r="C29" s="3">
        <v>20</v>
      </c>
      <c r="D29" s="3">
        <v>20</v>
      </c>
      <c r="E29" s="3">
        <v>20</v>
      </c>
      <c r="F29" s="3">
        <v>20</v>
      </c>
      <c r="G29" s="3">
        <v>20</v>
      </c>
      <c r="H29" s="3">
        <v>9</v>
      </c>
      <c r="I29" s="3">
        <v>6</v>
      </c>
      <c r="J29" s="3">
        <v>3</v>
      </c>
      <c r="K29" s="3">
        <v>6</v>
      </c>
      <c r="L29" s="3">
        <v>7</v>
      </c>
      <c r="M29" s="11">
        <f>IF(C29="","",H29*100/C29)</f>
        <v>45</v>
      </c>
      <c r="N29" s="11">
        <f>IF(D29="","",I29*100/D29)</f>
        <v>30</v>
      </c>
      <c r="O29" s="11">
        <f>IF(E29="","",J29*100/E29)</f>
        <v>15</v>
      </c>
      <c r="P29" s="11">
        <f>IF(F29="","",K29*100/F29)</f>
        <v>30</v>
      </c>
      <c r="Q29" s="11">
        <f>IF(G29="","",L29*100/G29)</f>
        <v>35</v>
      </c>
      <c r="R29" s="3" t="str">
        <f>IF(M29&gt;=$E$10,"1","0")</f>
        <v>0</v>
      </c>
      <c r="S29" s="3" t="str">
        <f>IF(N29&gt;=$E$10,"1","0")</f>
        <v>0</v>
      </c>
      <c r="T29" s="3" t="str">
        <f>IF(O29&gt;=$E$10,"1","0")</f>
        <v>0</v>
      </c>
      <c r="U29" s="3" t="str">
        <f>IF(P29&gt;=$E$10,"1","0")</f>
        <v>0</v>
      </c>
      <c r="V29" s="3" t="str">
        <f>IF(Q29&gt;=$E$10,"1","0")</f>
        <v>0</v>
      </c>
    </row>
    <row r="30" ht="16.5" customHeight="1">
      <c r="A30" s="3">
        <f>Theory!A20</f>
        <v>15</v>
      </c>
      <c r="B30" s="3" t="str">
        <f>Theory!B20</f>
        <v>7376231EE116</v>
      </c>
      <c r="C30" s="3">
        <v>20</v>
      </c>
      <c r="D30" s="3">
        <v>20</v>
      </c>
      <c r="E30" s="3">
        <v>20</v>
      </c>
      <c r="F30" s="3">
        <v>20</v>
      </c>
      <c r="G30" s="3">
        <v>20</v>
      </c>
      <c r="H30" s="3">
        <v>6</v>
      </c>
      <c r="I30" s="3">
        <v>9</v>
      </c>
      <c r="J30" s="3">
        <v>11</v>
      </c>
      <c r="K30" s="3">
        <v>7</v>
      </c>
      <c r="L30" s="3">
        <v>12</v>
      </c>
      <c r="M30" s="11">
        <f>IF(C30="","",H30*100/C30)</f>
        <v>30</v>
      </c>
      <c r="N30" s="11">
        <f>IF(D30="","",I30*100/D30)</f>
        <v>45</v>
      </c>
      <c r="O30" s="11">
        <f>IF(E30="","",J30*100/E30)</f>
        <v>55</v>
      </c>
      <c r="P30" s="11">
        <f>IF(F30="","",K30*100/F30)</f>
        <v>35</v>
      </c>
      <c r="Q30" s="11">
        <f>IF(G30="","",L30*100/G30)</f>
        <v>60</v>
      </c>
      <c r="R30" s="3" t="str">
        <f>IF(M30&gt;=$E$10,"1","0")</f>
        <v>0</v>
      </c>
      <c r="S30" s="3" t="str">
        <f>IF(N30&gt;=$E$10,"1","0")</f>
        <v>0</v>
      </c>
      <c r="T30" s="3" t="str">
        <f>IF(O30&gt;=$E$10,"1","0")</f>
        <v>0</v>
      </c>
      <c r="U30" s="3" t="str">
        <f>IF(P30&gt;=$E$10,"1","0")</f>
        <v>0</v>
      </c>
      <c r="V30" s="3" t="str">
        <f>IF(Q30&gt;=$E$10,"1","0")</f>
        <v>1</v>
      </c>
    </row>
    <row r="31" ht="16.5" customHeight="1">
      <c r="A31" s="3">
        <f>Theory!A21</f>
        <v>16</v>
      </c>
      <c r="B31" s="3" t="str">
        <f>Theory!B21</f>
        <v>7376231EE117</v>
      </c>
      <c r="C31" s="3">
        <v>20</v>
      </c>
      <c r="D31" s="3">
        <v>20</v>
      </c>
      <c r="E31" s="3">
        <v>20</v>
      </c>
      <c r="F31" s="3">
        <v>20</v>
      </c>
      <c r="G31" s="3">
        <v>20</v>
      </c>
      <c r="H31" s="3">
        <v>13</v>
      </c>
      <c r="I31" s="3">
        <v>9</v>
      </c>
      <c r="J31" s="3">
        <v>13</v>
      </c>
      <c r="K31" s="3">
        <v>10</v>
      </c>
      <c r="L31" s="3">
        <v>9</v>
      </c>
      <c r="M31" s="11">
        <f>IF(C31="","",H31*100/C31)</f>
        <v>65</v>
      </c>
      <c r="N31" s="11">
        <f>IF(D31="","",I31*100/D31)</f>
        <v>45</v>
      </c>
      <c r="O31" s="11">
        <f>IF(E31="","",J31*100/E31)</f>
        <v>65</v>
      </c>
      <c r="P31" s="11">
        <f>IF(F31="","",K31*100/F31)</f>
        <v>50</v>
      </c>
      <c r="Q31" s="11">
        <f>IF(G31="","",L31*100/G31)</f>
        <v>45</v>
      </c>
      <c r="R31" s="3" t="str">
        <f>IF(M31&gt;=$E$10,"1","0")</f>
        <v>1</v>
      </c>
      <c r="S31" s="3" t="str">
        <f>IF(N31&gt;=$E$10,"1","0")</f>
        <v>0</v>
      </c>
      <c r="T31" s="3" t="str">
        <f>IF(O31&gt;=$E$10,"1","0")</f>
        <v>1</v>
      </c>
      <c r="U31" s="3" t="str">
        <f>IF(P31&gt;=$E$10,"1","0")</f>
        <v>0</v>
      </c>
      <c r="V31" s="3" t="str">
        <f>IF(Q31&gt;=$E$10,"1","0")</f>
        <v>0</v>
      </c>
    </row>
    <row r="32" ht="16.5" customHeight="1">
      <c r="A32" s="3">
        <f>Theory!A22</f>
        <v>17</v>
      </c>
      <c r="B32" s="3" t="str">
        <f>Theory!B22</f>
        <v>7376231EE118</v>
      </c>
      <c r="C32" s="3">
        <v>20</v>
      </c>
      <c r="D32" s="3">
        <v>20</v>
      </c>
      <c r="E32" s="3">
        <v>20</v>
      </c>
      <c r="F32" s="3">
        <v>20</v>
      </c>
      <c r="G32" s="3">
        <v>20</v>
      </c>
      <c r="H32" s="3">
        <v>13</v>
      </c>
      <c r="I32" s="3">
        <v>14</v>
      </c>
      <c r="J32" s="3">
        <v>13</v>
      </c>
      <c r="K32" s="3">
        <v>8</v>
      </c>
      <c r="L32" s="3">
        <v>13</v>
      </c>
      <c r="M32" s="11">
        <f>IF(C32="","",H32*100/C32)</f>
        <v>65</v>
      </c>
      <c r="N32" s="11">
        <f>IF(D32="","",I32*100/D32)</f>
        <v>70</v>
      </c>
      <c r="O32" s="11">
        <f>IF(E32="","",J32*100/E32)</f>
        <v>65</v>
      </c>
      <c r="P32" s="11">
        <f>IF(F32="","",K32*100/F32)</f>
        <v>40</v>
      </c>
      <c r="Q32" s="11">
        <f>IF(G32="","",L32*100/G32)</f>
        <v>65</v>
      </c>
      <c r="R32" s="3" t="str">
        <f>IF(M32&gt;=$E$10,"1","0")</f>
        <v>1</v>
      </c>
      <c r="S32" s="3" t="str">
        <f>IF(N32&gt;=$E$10,"1","0")</f>
        <v>1</v>
      </c>
      <c r="T32" s="3" t="str">
        <f>IF(O32&gt;=$E$10,"1","0")</f>
        <v>1</v>
      </c>
      <c r="U32" s="3" t="str">
        <f>IF(P32&gt;=$E$10,"1","0")</f>
        <v>0</v>
      </c>
      <c r="V32" s="3" t="str">
        <f>IF(Q32&gt;=$E$10,"1","0")</f>
        <v>1</v>
      </c>
    </row>
    <row r="33" ht="16.5" customHeight="1">
      <c r="A33" s="3">
        <f>Theory!A23</f>
        <v>18</v>
      </c>
      <c r="B33" s="3" t="str">
        <f>Theory!B23</f>
        <v>7376231EE119</v>
      </c>
      <c r="C33" s="3">
        <v>20</v>
      </c>
      <c r="D33" s="3">
        <v>20</v>
      </c>
      <c r="E33" s="3">
        <v>20</v>
      </c>
      <c r="F33" s="3">
        <v>20</v>
      </c>
      <c r="G33" s="3">
        <v>20</v>
      </c>
      <c r="H33" s="3">
        <v>12</v>
      </c>
      <c r="I33" s="3">
        <v>14</v>
      </c>
      <c r="J33" s="3">
        <v>9</v>
      </c>
      <c r="K33" s="3">
        <v>12</v>
      </c>
      <c r="L33" s="3">
        <v>12</v>
      </c>
      <c r="M33" s="11">
        <f>IF(C33="","",H33*100/C33)</f>
        <v>60</v>
      </c>
      <c r="N33" s="11">
        <f>IF(D33="","",I33*100/D33)</f>
        <v>70</v>
      </c>
      <c r="O33" s="11">
        <f>IF(E33="","",J33*100/E33)</f>
        <v>45</v>
      </c>
      <c r="P33" s="11">
        <f>IF(F33="","",K33*100/F33)</f>
        <v>60</v>
      </c>
      <c r="Q33" s="11">
        <f>IF(G33="","",L33*100/G33)</f>
        <v>60</v>
      </c>
      <c r="R33" s="3" t="str">
        <f>IF(M33&gt;=$E$10,"1","0")</f>
        <v>1</v>
      </c>
      <c r="S33" s="3" t="str">
        <f>IF(N33&gt;=$E$10,"1","0")</f>
        <v>1</v>
      </c>
      <c r="T33" s="3" t="str">
        <f>IF(O33&gt;=$E$10,"1","0")</f>
        <v>0</v>
      </c>
      <c r="U33" s="3" t="str">
        <f>IF(P33&gt;=$E$10,"1","0")</f>
        <v>1</v>
      </c>
      <c r="V33" s="3" t="str">
        <f>IF(Q33&gt;=$E$10,"1","0")</f>
        <v>1</v>
      </c>
    </row>
    <row r="34" ht="16.5" customHeight="1">
      <c r="A34" s="3">
        <f>Theory!A24</f>
        <v>19</v>
      </c>
      <c r="B34" s="3" t="str">
        <f>Theory!B24</f>
        <v>7376231EE120</v>
      </c>
      <c r="C34" s="3">
        <v>20</v>
      </c>
      <c r="D34" s="3">
        <v>20</v>
      </c>
      <c r="E34" s="3">
        <v>20</v>
      </c>
      <c r="F34" s="3">
        <v>20</v>
      </c>
      <c r="G34" s="3">
        <v>20</v>
      </c>
      <c r="H34" s="3">
        <v>15</v>
      </c>
      <c r="I34" s="3">
        <v>14</v>
      </c>
      <c r="J34" s="3">
        <v>8</v>
      </c>
      <c r="K34" s="3">
        <v>9</v>
      </c>
      <c r="L34" s="3">
        <v>12</v>
      </c>
      <c r="M34" s="11">
        <f>IF(C34="","",H34*100/C34)</f>
        <v>75</v>
      </c>
      <c r="N34" s="11">
        <f>IF(D34="","",I34*100/D34)</f>
        <v>70</v>
      </c>
      <c r="O34" s="11">
        <f>IF(E34="","",J34*100/E34)</f>
        <v>40</v>
      </c>
      <c r="P34" s="11">
        <f>IF(F34="","",K34*100/F34)</f>
        <v>45</v>
      </c>
      <c r="Q34" s="11">
        <f>IF(G34="","",L34*100/G34)</f>
        <v>60</v>
      </c>
      <c r="R34" s="3" t="str">
        <f>IF(M34&gt;=$E$10,"1","0")</f>
        <v>1</v>
      </c>
      <c r="S34" s="3" t="str">
        <f>IF(N34&gt;=$E$10,"1","0")</f>
        <v>1</v>
      </c>
      <c r="T34" s="3" t="str">
        <f>IF(O34&gt;=$E$10,"1","0")</f>
        <v>0</v>
      </c>
      <c r="U34" s="3" t="str">
        <f>IF(P34&gt;=$E$10,"1","0")</f>
        <v>0</v>
      </c>
      <c r="V34" s="3" t="str">
        <f>IF(Q34&gt;=$E$10,"1","0")</f>
        <v>1</v>
      </c>
    </row>
    <row r="35" ht="16.5" customHeight="1">
      <c r="A35" s="3">
        <f>Theory!A25</f>
        <v>20</v>
      </c>
      <c r="B35" s="3" t="str">
        <f>Theory!B25</f>
        <v>7376231EE121</v>
      </c>
      <c r="C35" s="3">
        <v>20</v>
      </c>
      <c r="D35" s="3">
        <v>20</v>
      </c>
      <c r="E35" s="3">
        <v>20</v>
      </c>
      <c r="F35" s="3">
        <v>20</v>
      </c>
      <c r="G35" s="3">
        <v>20</v>
      </c>
      <c r="H35" s="3">
        <v>10</v>
      </c>
      <c r="I35" s="3">
        <v>11</v>
      </c>
      <c r="J35" s="3">
        <v>12</v>
      </c>
      <c r="K35" s="3">
        <v>11</v>
      </c>
      <c r="L35" s="3">
        <v>11</v>
      </c>
      <c r="M35" s="11">
        <f>IF(C35="","",H35*100/C35)</f>
        <v>50</v>
      </c>
      <c r="N35" s="11">
        <f>IF(D35="","",I35*100/D35)</f>
        <v>55</v>
      </c>
      <c r="O35" s="11">
        <f>IF(E35="","",J35*100/E35)</f>
        <v>60</v>
      </c>
      <c r="P35" s="11">
        <f>IF(F35="","",K35*100/F35)</f>
        <v>55</v>
      </c>
      <c r="Q35" s="11">
        <f>IF(G35="","",L35*100/G35)</f>
        <v>55</v>
      </c>
      <c r="R35" s="3" t="str">
        <f>IF(M35&gt;=$E$10,"1","0")</f>
        <v>0</v>
      </c>
      <c r="S35" s="3" t="str">
        <f>IF(N35&gt;=$E$10,"1","0")</f>
        <v>0</v>
      </c>
      <c r="T35" s="3" t="str">
        <f>IF(O35&gt;=$E$10,"1","0")</f>
        <v>1</v>
      </c>
      <c r="U35" s="3" t="str">
        <f>IF(P35&gt;=$E$10,"1","0")</f>
        <v>0</v>
      </c>
      <c r="V35" s="3" t="str">
        <f>IF(Q35&gt;=$E$10,"1","0")</f>
        <v>0</v>
      </c>
    </row>
    <row r="36" ht="16.5" customHeight="1">
      <c r="A36" s="3">
        <f>Theory!A26</f>
        <v>21</v>
      </c>
      <c r="B36" s="3" t="str">
        <f>Theory!B26</f>
        <v>7376231EE122</v>
      </c>
      <c r="C36" s="3">
        <v>20</v>
      </c>
      <c r="D36" s="3">
        <v>20</v>
      </c>
      <c r="E36" s="3">
        <v>20</v>
      </c>
      <c r="F36" s="3">
        <v>20</v>
      </c>
      <c r="G36" s="3">
        <v>20</v>
      </c>
      <c r="H36" s="3">
        <v>15</v>
      </c>
      <c r="I36" s="3">
        <v>15</v>
      </c>
      <c r="J36" s="3">
        <v>15</v>
      </c>
      <c r="K36" s="3">
        <v>16</v>
      </c>
      <c r="L36" s="3">
        <v>13</v>
      </c>
      <c r="M36" s="11">
        <f>IF(C36="","",H36*100/C36)</f>
        <v>75</v>
      </c>
      <c r="N36" s="11">
        <f>IF(D36="","",I36*100/D36)</f>
        <v>75</v>
      </c>
      <c r="O36" s="11">
        <f>IF(E36="","",J36*100/E36)</f>
        <v>75</v>
      </c>
      <c r="P36" s="11">
        <f>IF(F36="","",K36*100/F36)</f>
        <v>80</v>
      </c>
      <c r="Q36" s="11">
        <f>IF(G36="","",L36*100/G36)</f>
        <v>65</v>
      </c>
      <c r="R36" s="3" t="str">
        <f>IF(M36&gt;=$E$10,"1","0")</f>
        <v>1</v>
      </c>
      <c r="S36" s="3" t="str">
        <f>IF(N36&gt;=$E$10,"1","0")</f>
        <v>1</v>
      </c>
      <c r="T36" s="3" t="str">
        <f>IF(O36&gt;=$E$10,"1","0")</f>
        <v>1</v>
      </c>
      <c r="U36" s="3" t="str">
        <f>IF(P36&gt;=$E$10,"1","0")</f>
        <v>1</v>
      </c>
      <c r="V36" s="3" t="str">
        <f>IF(Q36&gt;=$E$10,"1","0")</f>
        <v>1</v>
      </c>
    </row>
    <row r="37" ht="16.5" customHeight="1">
      <c r="A37" s="3">
        <f>Theory!A27</f>
        <v>22</v>
      </c>
      <c r="B37" s="3" t="str">
        <f>Theory!B27</f>
        <v>7376231EE123</v>
      </c>
      <c r="C37" s="3">
        <v>20</v>
      </c>
      <c r="D37" s="3">
        <v>20</v>
      </c>
      <c r="E37" s="3">
        <v>20</v>
      </c>
      <c r="F37" s="3">
        <v>20</v>
      </c>
      <c r="G37" s="3">
        <v>20</v>
      </c>
      <c r="H37" s="3">
        <v>15</v>
      </c>
      <c r="I37" s="3">
        <v>12</v>
      </c>
      <c r="J37" s="3">
        <v>15</v>
      </c>
      <c r="K37" s="3">
        <v>9</v>
      </c>
      <c r="L37" s="3">
        <v>14</v>
      </c>
      <c r="M37" s="11">
        <f>IF(C37="","",H37*100/C37)</f>
        <v>75</v>
      </c>
      <c r="N37" s="11">
        <f>IF(D37="","",I37*100/D37)</f>
        <v>60</v>
      </c>
      <c r="O37" s="11">
        <f>IF(E37="","",J37*100/E37)</f>
        <v>75</v>
      </c>
      <c r="P37" s="11">
        <f>IF(F37="","",K37*100/F37)</f>
        <v>45</v>
      </c>
      <c r="Q37" s="11">
        <f>IF(G37="","",L37*100/G37)</f>
        <v>70</v>
      </c>
      <c r="R37" s="3" t="str">
        <f>IF(M37&gt;=$E$10,"1","0")</f>
        <v>1</v>
      </c>
      <c r="S37" s="3" t="str">
        <f>IF(N37&gt;=$E$10,"1","0")</f>
        <v>1</v>
      </c>
      <c r="T37" s="3" t="str">
        <f>IF(O37&gt;=$E$10,"1","0")</f>
        <v>1</v>
      </c>
      <c r="U37" s="3" t="str">
        <f>IF(P37&gt;=$E$10,"1","0")</f>
        <v>0</v>
      </c>
      <c r="V37" s="3" t="str">
        <f>IF(Q37&gt;=$E$10,"1","0")</f>
        <v>1</v>
      </c>
    </row>
    <row r="38" ht="16.5" customHeight="1">
      <c r="A38" s="3">
        <f>Theory!A28</f>
        <v>23</v>
      </c>
      <c r="B38" s="3" t="str">
        <f>Theory!B28</f>
        <v>7376231EE124</v>
      </c>
      <c r="C38" s="3">
        <v>20</v>
      </c>
      <c r="D38" s="3">
        <v>20</v>
      </c>
      <c r="E38" s="3">
        <v>20</v>
      </c>
      <c r="F38" s="3">
        <v>20</v>
      </c>
      <c r="G38" s="3">
        <v>20</v>
      </c>
      <c r="H38" s="3">
        <v>12</v>
      </c>
      <c r="I38" s="3">
        <v>13</v>
      </c>
      <c r="J38" s="3">
        <v>13</v>
      </c>
      <c r="K38" s="3">
        <v>12</v>
      </c>
      <c r="L38" s="3">
        <v>11</v>
      </c>
      <c r="M38" s="11">
        <f>IF(C38="","",H38*100/C38)</f>
        <v>60</v>
      </c>
      <c r="N38" s="11">
        <f>IF(D38="","",I38*100/D38)</f>
        <v>65</v>
      </c>
      <c r="O38" s="11">
        <f>IF(E38="","",J38*100/E38)</f>
        <v>65</v>
      </c>
      <c r="P38" s="11">
        <f>IF(F38="","",K38*100/F38)</f>
        <v>60</v>
      </c>
      <c r="Q38" s="11">
        <f>IF(G38="","",L38*100/G38)</f>
        <v>55</v>
      </c>
      <c r="R38" s="3" t="str">
        <f>IF(M38&gt;=$E$10,"1","0")</f>
        <v>1</v>
      </c>
      <c r="S38" s="3" t="str">
        <f>IF(N38&gt;=$E$10,"1","0")</f>
        <v>1</v>
      </c>
      <c r="T38" s="3" t="str">
        <f>IF(O38&gt;=$E$10,"1","0")</f>
        <v>1</v>
      </c>
      <c r="U38" s="3" t="str">
        <f>IF(P38&gt;=$E$10,"1","0")</f>
        <v>1</v>
      </c>
      <c r="V38" s="3" t="str">
        <f>IF(Q38&gt;=$E$10,"1","0")</f>
        <v>0</v>
      </c>
    </row>
    <row r="39" ht="16.5" customHeight="1">
      <c r="A39" s="3">
        <f>Theory!A29</f>
        <v>24</v>
      </c>
      <c r="B39" s="3" t="str">
        <f>Theory!B29</f>
        <v>7376231EE125</v>
      </c>
      <c r="C39" s="3">
        <v>20</v>
      </c>
      <c r="D39" s="3">
        <v>20</v>
      </c>
      <c r="E39" s="3">
        <v>20</v>
      </c>
      <c r="F39" s="3">
        <v>20</v>
      </c>
      <c r="G39" s="3">
        <v>20</v>
      </c>
      <c r="H39" s="3">
        <v>15</v>
      </c>
      <c r="I39" s="3">
        <v>11</v>
      </c>
      <c r="J39" s="3">
        <v>11</v>
      </c>
      <c r="K39" s="3">
        <v>10</v>
      </c>
      <c r="L39" s="3">
        <v>15</v>
      </c>
      <c r="M39" s="11">
        <f>IF(C39="","",H39*100/C39)</f>
        <v>75</v>
      </c>
      <c r="N39" s="11">
        <f>IF(D39="","",I39*100/D39)</f>
        <v>55</v>
      </c>
      <c r="O39" s="11">
        <f>IF(E39="","",J39*100/E39)</f>
        <v>55</v>
      </c>
      <c r="P39" s="11">
        <f>IF(F39="","",K39*100/F39)</f>
        <v>50</v>
      </c>
      <c r="Q39" s="11">
        <f>IF(G39="","",L39*100/G39)</f>
        <v>75</v>
      </c>
      <c r="R39" s="3" t="str">
        <f>IF(M39&gt;=$E$10,"1","0")</f>
        <v>1</v>
      </c>
      <c r="S39" s="3" t="str">
        <f>IF(N39&gt;=$E$10,"1","0")</f>
        <v>0</v>
      </c>
      <c r="T39" s="3" t="str">
        <f>IF(O39&gt;=$E$10,"1","0")</f>
        <v>0</v>
      </c>
      <c r="U39" s="3" t="str">
        <f>IF(P39&gt;=$E$10,"1","0")</f>
        <v>0</v>
      </c>
      <c r="V39" s="3" t="str">
        <f>IF(Q39&gt;=$E$10,"1","0")</f>
        <v>1</v>
      </c>
    </row>
    <row r="40" ht="15.75" customHeight="1">
      <c r="A40" s="3">
        <f>Theory!A30</f>
        <v>25</v>
      </c>
      <c r="B40" s="3" t="str">
        <f>Theory!B30</f>
        <v>7376231EE126</v>
      </c>
      <c r="C40" s="3">
        <v>20</v>
      </c>
      <c r="D40" s="3">
        <v>20</v>
      </c>
      <c r="E40" s="3">
        <v>20</v>
      </c>
      <c r="F40" s="3">
        <v>20</v>
      </c>
      <c r="G40" s="3">
        <v>20</v>
      </c>
      <c r="H40" s="3">
        <v>17</v>
      </c>
      <c r="I40" s="3">
        <v>11</v>
      </c>
      <c r="J40" s="3">
        <v>11</v>
      </c>
      <c r="K40" s="3">
        <v>11</v>
      </c>
      <c r="L40" s="3">
        <v>15</v>
      </c>
      <c r="M40" s="11">
        <f>IF(C40="","",H40*100/C40)</f>
        <v>85</v>
      </c>
      <c r="N40" s="11">
        <f>IF(D40="","",I40*100/D40)</f>
        <v>55</v>
      </c>
      <c r="O40" s="11">
        <f>IF(E40="","",J40*100/E40)</f>
        <v>55</v>
      </c>
      <c r="P40" s="11">
        <f>IF(F40="","",K40*100/F40)</f>
        <v>55</v>
      </c>
      <c r="Q40" s="11">
        <f>IF(G40="","",L40*100/G40)</f>
        <v>75</v>
      </c>
      <c r="R40" s="3" t="str">
        <f>IF(M40&gt;=$E$10,"1","0")</f>
        <v>1</v>
      </c>
      <c r="S40" s="3" t="str">
        <f>IF(N40&gt;=$E$10,"1","0")</f>
        <v>0</v>
      </c>
      <c r="T40" s="3" t="str">
        <f>IF(O40&gt;=$E$10,"1","0")</f>
        <v>0</v>
      </c>
      <c r="U40" s="3" t="str">
        <f>IF(P40&gt;=$E$10,"1","0")</f>
        <v>0</v>
      </c>
      <c r="V40" s="3" t="str">
        <f>IF(Q40&gt;=$E$10,"1","0")</f>
        <v>1</v>
      </c>
    </row>
    <row r="41" ht="15.75" customHeight="1">
      <c r="A41" s="3">
        <f>Theory!A31</f>
        <v>26</v>
      </c>
      <c r="B41" s="3" t="str">
        <f>Theory!B31</f>
        <v>7376231EE127</v>
      </c>
      <c r="C41" s="3">
        <v>20</v>
      </c>
      <c r="D41" s="3">
        <v>20</v>
      </c>
      <c r="E41" s="3">
        <v>20</v>
      </c>
      <c r="F41" s="3">
        <v>20</v>
      </c>
      <c r="G41" s="3">
        <v>20</v>
      </c>
      <c r="H41" s="3">
        <v>11</v>
      </c>
      <c r="I41" s="3">
        <v>9</v>
      </c>
      <c r="J41" s="3">
        <v>11</v>
      </c>
      <c r="K41" s="3">
        <v>8</v>
      </c>
      <c r="L41" s="3">
        <v>11</v>
      </c>
      <c r="M41" s="11">
        <f>IF(C41="","",H41*100/C41)</f>
        <v>55</v>
      </c>
      <c r="N41" s="11">
        <f>IF(D41="","",I41*100/D41)</f>
        <v>45</v>
      </c>
      <c r="O41" s="11">
        <f>IF(E41="","",J41*100/E41)</f>
        <v>55</v>
      </c>
      <c r="P41" s="11">
        <f>IF(F41="","",K41*100/F41)</f>
        <v>40</v>
      </c>
      <c r="Q41" s="11">
        <f>IF(G41="","",L41*100/G41)</f>
        <v>55</v>
      </c>
      <c r="R41" s="3" t="str">
        <f>IF(M41&gt;=$E$10,"1","0")</f>
        <v>0</v>
      </c>
      <c r="S41" s="3" t="str">
        <f>IF(N41&gt;=$E$10,"1","0")</f>
        <v>0</v>
      </c>
      <c r="T41" s="3" t="str">
        <f>IF(O41&gt;=$E$10,"1","0")</f>
        <v>0</v>
      </c>
      <c r="U41" s="3" t="str">
        <f>IF(P41&gt;=$E$10,"1","0")</f>
        <v>0</v>
      </c>
      <c r="V41" s="3" t="str">
        <f>IF(Q41&gt;=$E$10,"1","0")</f>
        <v>0</v>
      </c>
    </row>
    <row r="42" ht="15.75" customHeight="1">
      <c r="A42" s="3">
        <f>Theory!A32</f>
        <v>27</v>
      </c>
      <c r="B42" s="3" t="str">
        <f>Theory!B32</f>
        <v>7376231EE128</v>
      </c>
      <c r="C42" s="3">
        <v>20</v>
      </c>
      <c r="D42" s="3">
        <v>20</v>
      </c>
      <c r="E42" s="3">
        <v>20</v>
      </c>
      <c r="F42" s="3">
        <v>20</v>
      </c>
      <c r="G42" s="3">
        <v>20</v>
      </c>
      <c r="H42" s="3">
        <v>18</v>
      </c>
      <c r="I42" s="3">
        <v>8</v>
      </c>
      <c r="J42" s="3">
        <v>13</v>
      </c>
      <c r="K42" s="3">
        <v>11</v>
      </c>
      <c r="L42" s="3">
        <v>10</v>
      </c>
      <c r="M42" s="11">
        <f>IF(C42="","",H42*100/C42)</f>
        <v>90</v>
      </c>
      <c r="N42" s="11">
        <f>IF(D42="","",I42*100/D42)</f>
        <v>40</v>
      </c>
      <c r="O42" s="11">
        <f>IF(E42="","",J42*100/E42)</f>
        <v>65</v>
      </c>
      <c r="P42" s="11">
        <f>IF(F42="","",K42*100/F42)</f>
        <v>55</v>
      </c>
      <c r="Q42" s="11">
        <f>IF(G42="","",L42*100/G42)</f>
        <v>50</v>
      </c>
      <c r="R42" s="3" t="str">
        <f>IF(M42&gt;=$E$10,"1","0")</f>
        <v>1</v>
      </c>
      <c r="S42" s="3" t="str">
        <f>IF(N42&gt;=$E$10,"1","0")</f>
        <v>0</v>
      </c>
      <c r="T42" s="3" t="str">
        <f>IF(O42&gt;=$E$10,"1","0")</f>
        <v>1</v>
      </c>
      <c r="U42" s="3" t="str">
        <f>IF(P42&gt;=$E$10,"1","0")</f>
        <v>0</v>
      </c>
      <c r="V42" s="3" t="str">
        <f>IF(Q42&gt;=$E$10,"1","0")</f>
        <v>0</v>
      </c>
    </row>
    <row r="43" ht="15.75" customHeight="1">
      <c r="A43" s="3">
        <f>Theory!A33</f>
        <v>28</v>
      </c>
      <c r="B43" s="3" t="str">
        <f>Theory!B33</f>
        <v>7376231EE129</v>
      </c>
      <c r="C43" s="3">
        <v>20</v>
      </c>
      <c r="D43" s="3">
        <v>20</v>
      </c>
      <c r="E43" s="3">
        <v>20</v>
      </c>
      <c r="F43" s="3">
        <v>20</v>
      </c>
      <c r="G43" s="3">
        <v>20</v>
      </c>
      <c r="H43" s="3">
        <v>17</v>
      </c>
      <c r="I43" s="3">
        <v>14</v>
      </c>
      <c r="J43" s="3">
        <v>17</v>
      </c>
      <c r="K43" s="3">
        <v>10</v>
      </c>
      <c r="L43" s="3">
        <v>12</v>
      </c>
      <c r="M43" s="11">
        <f>IF(C43="","",H43*100/C43)</f>
        <v>85</v>
      </c>
      <c r="N43" s="11">
        <f>IF(D43="","",I43*100/D43)</f>
        <v>70</v>
      </c>
      <c r="O43" s="11">
        <f>IF(E43="","",J43*100/E43)</f>
        <v>85</v>
      </c>
      <c r="P43" s="11">
        <f>IF(F43="","",K43*100/F43)</f>
        <v>50</v>
      </c>
      <c r="Q43" s="11">
        <f>IF(G43="","",L43*100/G43)</f>
        <v>60</v>
      </c>
      <c r="R43" s="3" t="str">
        <f>IF(M43&gt;=$E$10,"1","0")</f>
        <v>1</v>
      </c>
      <c r="S43" s="3" t="str">
        <f>IF(N43&gt;=$E$10,"1","0")</f>
        <v>1</v>
      </c>
      <c r="T43" s="3" t="str">
        <f>IF(O43&gt;=$E$10,"1","0")</f>
        <v>1</v>
      </c>
      <c r="U43" s="3" t="str">
        <f>IF(P43&gt;=$E$10,"1","0")</f>
        <v>0</v>
      </c>
      <c r="V43" s="3" t="str">
        <f>IF(Q43&gt;=$E$10,"1","0")</f>
        <v>1</v>
      </c>
    </row>
    <row r="44" ht="15.75" customHeight="1">
      <c r="A44" s="3">
        <f>Theory!A34</f>
        <v>29</v>
      </c>
      <c r="B44" s="3" t="str">
        <f>Theory!B34</f>
        <v>7376231EE130</v>
      </c>
      <c r="C44" s="3">
        <v>20</v>
      </c>
      <c r="D44" s="3">
        <v>20</v>
      </c>
      <c r="E44" s="3">
        <v>20</v>
      </c>
      <c r="F44" s="3">
        <v>20</v>
      </c>
      <c r="G44" s="3">
        <v>20</v>
      </c>
      <c r="H44" s="3">
        <v>14</v>
      </c>
      <c r="I44" s="3">
        <v>12</v>
      </c>
      <c r="J44" s="3">
        <v>13</v>
      </c>
      <c r="K44" s="3">
        <v>11</v>
      </c>
      <c r="L44" s="3">
        <v>16</v>
      </c>
      <c r="M44" s="11">
        <f>IF(C44="","",H44*100/C44)</f>
        <v>70</v>
      </c>
      <c r="N44" s="11">
        <f>IF(D44="","",I44*100/D44)</f>
        <v>60</v>
      </c>
      <c r="O44" s="11">
        <f>IF(E44="","",J44*100/E44)</f>
        <v>65</v>
      </c>
      <c r="P44" s="11">
        <f>IF(F44="","",K44*100/F44)</f>
        <v>55</v>
      </c>
      <c r="Q44" s="11">
        <f>IF(G44="","",L44*100/G44)</f>
        <v>80</v>
      </c>
      <c r="R44" s="3" t="str">
        <f>IF(M44&gt;=$E$10,"1","0")</f>
        <v>1</v>
      </c>
      <c r="S44" s="3" t="str">
        <f>IF(N44&gt;=$E$10,"1","0")</f>
        <v>1</v>
      </c>
      <c r="T44" s="3" t="str">
        <f>IF(O44&gt;=$E$10,"1","0")</f>
        <v>1</v>
      </c>
      <c r="U44" s="3" t="str">
        <f>IF(P44&gt;=$E$10,"1","0")</f>
        <v>0</v>
      </c>
      <c r="V44" s="3" t="str">
        <f>IF(Q44&gt;=$E$10,"1","0")</f>
        <v>1</v>
      </c>
    </row>
    <row r="45" ht="15.75" customHeight="1">
      <c r="A45" s="3">
        <f>Theory!A35</f>
        <v>30</v>
      </c>
      <c r="B45" s="3" t="str">
        <f>Theory!B35</f>
        <v>7376231EE131</v>
      </c>
      <c r="C45" s="3">
        <v>20</v>
      </c>
      <c r="D45" s="3">
        <v>20</v>
      </c>
      <c r="E45" s="3">
        <v>20</v>
      </c>
      <c r="F45" s="3">
        <v>20</v>
      </c>
      <c r="G45" s="3">
        <v>20</v>
      </c>
      <c r="H45" s="3">
        <v>14</v>
      </c>
      <c r="I45" s="3">
        <v>13</v>
      </c>
      <c r="J45" s="3">
        <v>15</v>
      </c>
      <c r="K45" s="3">
        <v>9</v>
      </c>
      <c r="L45" s="3">
        <v>13</v>
      </c>
      <c r="M45" s="11">
        <f>IF(C45="","",H45*100/C45)</f>
        <v>70</v>
      </c>
      <c r="N45" s="11">
        <f>IF(D45="","",I45*100/D45)</f>
        <v>65</v>
      </c>
      <c r="O45" s="11">
        <f>IF(E45="","",J45*100/E45)</f>
        <v>75</v>
      </c>
      <c r="P45" s="11">
        <f>IF(F45="","",K45*100/F45)</f>
        <v>45</v>
      </c>
      <c r="Q45" s="11">
        <f>IF(G45="","",L45*100/G45)</f>
        <v>65</v>
      </c>
      <c r="R45" s="3" t="str">
        <f>IF(M45&gt;=$E$10,"1","0")</f>
        <v>1</v>
      </c>
      <c r="S45" s="3" t="str">
        <f>IF(N45&gt;=$E$10,"1","0")</f>
        <v>1</v>
      </c>
      <c r="T45" s="3" t="str">
        <f>IF(O45&gt;=$E$10,"1","0")</f>
        <v>1</v>
      </c>
      <c r="U45" s="3" t="str">
        <f>IF(P45&gt;=$E$10,"1","0")</f>
        <v>0</v>
      </c>
      <c r="V45" s="3" t="str">
        <f>IF(Q45&gt;=$E$10,"1","0")</f>
        <v>1</v>
      </c>
    </row>
    <row r="46" ht="15.75" customHeight="1">
      <c r="A46" s="3">
        <f>Theory!A36</f>
        <v>31</v>
      </c>
      <c r="B46" s="3" t="str">
        <f>Theory!B36</f>
        <v>7376231EE132</v>
      </c>
      <c r="C46" s="3">
        <v>20</v>
      </c>
      <c r="D46" s="3">
        <v>20</v>
      </c>
      <c r="E46" s="3">
        <v>20</v>
      </c>
      <c r="F46" s="3">
        <v>20</v>
      </c>
      <c r="G46" s="3">
        <v>20</v>
      </c>
      <c r="H46" s="3">
        <v>16</v>
      </c>
      <c r="I46" s="3">
        <v>15</v>
      </c>
      <c r="J46" s="3">
        <v>16</v>
      </c>
      <c r="K46" s="3">
        <v>13</v>
      </c>
      <c r="L46" s="3">
        <v>16</v>
      </c>
      <c r="M46" s="11">
        <f>IF(C46="","",H46*100/C46)</f>
        <v>80</v>
      </c>
      <c r="N46" s="11">
        <f>IF(D46="","",I46*100/D46)</f>
        <v>75</v>
      </c>
      <c r="O46" s="11">
        <f>IF(E46="","",J46*100/E46)</f>
        <v>80</v>
      </c>
      <c r="P46" s="11">
        <f>IF(F46="","",K46*100/F46)</f>
        <v>65</v>
      </c>
      <c r="Q46" s="11">
        <f>IF(G46="","",L46*100/G46)</f>
        <v>80</v>
      </c>
      <c r="R46" s="3" t="str">
        <f>IF(M46&gt;=$E$10,"1","0")</f>
        <v>1</v>
      </c>
      <c r="S46" s="3" t="str">
        <f>IF(N46&gt;=$E$10,"1","0")</f>
        <v>1</v>
      </c>
      <c r="T46" s="3" t="str">
        <f>IF(O46&gt;=$E$10,"1","0")</f>
        <v>1</v>
      </c>
      <c r="U46" s="3" t="str">
        <f>IF(P46&gt;=$E$10,"1","0")</f>
        <v>1</v>
      </c>
      <c r="V46" s="3" t="str">
        <f>IF(Q46&gt;=$E$10,"1","0")</f>
        <v>1</v>
      </c>
    </row>
    <row r="47" ht="15.75" customHeight="1">
      <c r="A47" s="3">
        <f>Theory!A37</f>
        <v>32</v>
      </c>
      <c r="B47" s="3" t="str">
        <f>Theory!B37</f>
        <v>7376231EE133</v>
      </c>
      <c r="C47" s="3">
        <v>20</v>
      </c>
      <c r="D47" s="3">
        <v>20</v>
      </c>
      <c r="E47" s="3">
        <v>20</v>
      </c>
      <c r="F47" s="3">
        <v>20</v>
      </c>
      <c r="G47" s="3">
        <v>20</v>
      </c>
      <c r="H47" s="3">
        <v>15</v>
      </c>
      <c r="I47" s="3">
        <v>15</v>
      </c>
      <c r="J47" s="3">
        <v>18</v>
      </c>
      <c r="K47" s="3">
        <v>14</v>
      </c>
      <c r="L47" s="3">
        <v>14</v>
      </c>
      <c r="M47" s="11">
        <f>IF(C47="","",H47*100/C47)</f>
        <v>75</v>
      </c>
      <c r="N47" s="11">
        <f>IF(D47="","",I47*100/D47)</f>
        <v>75</v>
      </c>
      <c r="O47" s="11">
        <f>IF(E47="","",J47*100/E47)</f>
        <v>90</v>
      </c>
      <c r="P47" s="11">
        <f>IF(F47="","",K47*100/F47)</f>
        <v>70</v>
      </c>
      <c r="Q47" s="11">
        <f>IF(G47="","",L47*100/G47)</f>
        <v>70</v>
      </c>
      <c r="R47" s="3" t="str">
        <f>IF(M47&gt;=$E$10,"1","0")</f>
        <v>1</v>
      </c>
      <c r="S47" s="3" t="str">
        <f>IF(N47&gt;=$E$10,"1","0")</f>
        <v>1</v>
      </c>
      <c r="T47" s="3" t="str">
        <f>IF(O47&gt;=$E$10,"1","0")</f>
        <v>1</v>
      </c>
      <c r="U47" s="3" t="str">
        <f>IF(P47&gt;=$E$10,"1","0")</f>
        <v>1</v>
      </c>
      <c r="V47" s="3" t="str">
        <f>IF(Q47&gt;=$E$10,"1","0")</f>
        <v>1</v>
      </c>
    </row>
    <row r="48" ht="15.75" customHeight="1">
      <c r="A48" s="3">
        <f>Theory!A38</f>
        <v>33</v>
      </c>
      <c r="B48" s="3" t="str">
        <f>Theory!B38</f>
        <v>7376231EE134</v>
      </c>
      <c r="C48" s="3">
        <v>20</v>
      </c>
      <c r="D48" s="3">
        <v>20</v>
      </c>
      <c r="E48" s="3">
        <v>20</v>
      </c>
      <c r="F48" s="3">
        <v>20</v>
      </c>
      <c r="G48" s="3">
        <v>20</v>
      </c>
      <c r="H48" s="3">
        <v>11</v>
      </c>
      <c r="I48" s="3">
        <v>12</v>
      </c>
      <c r="J48" s="3">
        <v>13</v>
      </c>
      <c r="K48" s="3">
        <v>11</v>
      </c>
      <c r="L48" s="3">
        <v>13</v>
      </c>
      <c r="M48" s="11">
        <f>IF(C48="","",H48*100/C48)</f>
        <v>55</v>
      </c>
      <c r="N48" s="11">
        <f>IF(D48="","",I48*100/D48)</f>
        <v>60</v>
      </c>
      <c r="O48" s="11">
        <f>IF(E48="","",J48*100/E48)</f>
        <v>65</v>
      </c>
      <c r="P48" s="11">
        <f>IF(F48="","",K48*100/F48)</f>
        <v>55</v>
      </c>
      <c r="Q48" s="11">
        <f>IF(G48="","",L48*100/G48)</f>
        <v>65</v>
      </c>
      <c r="R48" s="3" t="str">
        <f>IF(M48&gt;=$E$10,"1","0")</f>
        <v>0</v>
      </c>
      <c r="S48" s="3" t="str">
        <f>IF(N48&gt;=$E$10,"1","0")</f>
        <v>1</v>
      </c>
      <c r="T48" s="3" t="str">
        <f>IF(O48&gt;=$E$10,"1","0")</f>
        <v>1</v>
      </c>
      <c r="U48" s="3" t="str">
        <f>IF(P48&gt;=$E$10,"1","0")</f>
        <v>0</v>
      </c>
      <c r="V48" s="3" t="str">
        <f>IF(Q48&gt;=$E$10,"1","0")</f>
        <v>1</v>
      </c>
    </row>
    <row r="49" ht="15.75" customHeight="1">
      <c r="A49" s="3">
        <f>Theory!A39</f>
        <v>34</v>
      </c>
      <c r="B49" s="3" t="str">
        <f>Theory!B39</f>
        <v>7376231EE135</v>
      </c>
      <c r="C49" s="3">
        <v>20</v>
      </c>
      <c r="D49" s="3">
        <v>20</v>
      </c>
      <c r="E49" s="3">
        <v>20</v>
      </c>
      <c r="F49" s="3">
        <v>20</v>
      </c>
      <c r="G49" s="3">
        <v>20</v>
      </c>
      <c r="H49" s="3">
        <v>13</v>
      </c>
      <c r="I49" s="3">
        <v>13</v>
      </c>
      <c r="J49" s="3">
        <v>14</v>
      </c>
      <c r="K49" s="3">
        <v>8</v>
      </c>
      <c r="L49" s="3">
        <v>13</v>
      </c>
      <c r="M49" s="11">
        <f>IF(C49="","",H49*100/C49)</f>
        <v>65</v>
      </c>
      <c r="N49" s="11">
        <f>IF(D49="","",I49*100/D49)</f>
        <v>65</v>
      </c>
      <c r="O49" s="11">
        <f>IF(E49="","",J49*100/E49)</f>
        <v>70</v>
      </c>
      <c r="P49" s="11">
        <f>IF(F49="","",K49*100/F49)</f>
        <v>40</v>
      </c>
      <c r="Q49" s="11">
        <f>IF(G49="","",L49*100/G49)</f>
        <v>65</v>
      </c>
      <c r="R49" s="3" t="str">
        <f>IF(M49&gt;=$E$10,"1","0")</f>
        <v>1</v>
      </c>
      <c r="S49" s="3" t="str">
        <f>IF(N49&gt;=$E$10,"1","0")</f>
        <v>1</v>
      </c>
      <c r="T49" s="3" t="str">
        <f>IF(O49&gt;=$E$10,"1","0")</f>
        <v>1</v>
      </c>
      <c r="U49" s="3" t="str">
        <f>IF(P49&gt;=$E$10,"1","0")</f>
        <v>0</v>
      </c>
      <c r="V49" s="3" t="str">
        <f>IF(Q49&gt;=$E$10,"1","0")</f>
        <v>1</v>
      </c>
    </row>
    <row r="50" ht="15.75" customHeight="1">
      <c r="A50" s="3">
        <f>Theory!A40</f>
        <v>35</v>
      </c>
      <c r="B50" s="3" t="str">
        <f>Theory!B40</f>
        <v>7376231EE136</v>
      </c>
      <c r="C50" s="3">
        <v>20</v>
      </c>
      <c r="D50" s="3">
        <v>20</v>
      </c>
      <c r="E50" s="3">
        <v>20</v>
      </c>
      <c r="F50" s="3">
        <v>20</v>
      </c>
      <c r="G50" s="3">
        <v>20</v>
      </c>
      <c r="H50" s="3">
        <v>13</v>
      </c>
      <c r="I50" s="3">
        <v>13</v>
      </c>
      <c r="J50" s="3">
        <v>14</v>
      </c>
      <c r="K50" s="3">
        <v>10</v>
      </c>
      <c r="L50" s="3">
        <v>17</v>
      </c>
      <c r="M50" s="11">
        <f>IF(C50="","",H50*100/C50)</f>
        <v>65</v>
      </c>
      <c r="N50" s="11">
        <f>IF(D50="","",I50*100/D50)</f>
        <v>65</v>
      </c>
      <c r="O50" s="11">
        <f>IF(E50="","",J50*100/E50)</f>
        <v>70</v>
      </c>
      <c r="P50" s="11">
        <f>IF(F50="","",K50*100/F50)</f>
        <v>50</v>
      </c>
      <c r="Q50" s="11">
        <f>IF(G50="","",L50*100/G50)</f>
        <v>85</v>
      </c>
      <c r="R50" s="3" t="str">
        <f>IF(M50&gt;=$E$10,"1","0")</f>
        <v>1</v>
      </c>
      <c r="S50" s="3" t="str">
        <f>IF(N50&gt;=$E$10,"1","0")</f>
        <v>1</v>
      </c>
      <c r="T50" s="3" t="str">
        <f>IF(O50&gt;=$E$10,"1","0")</f>
        <v>1</v>
      </c>
      <c r="U50" s="3" t="str">
        <f>IF(P50&gt;=$E$10,"1","0")</f>
        <v>0</v>
      </c>
      <c r="V50" s="3" t="str">
        <f>IF(Q50&gt;=$E$10,"1","0")</f>
        <v>1</v>
      </c>
    </row>
    <row r="51" ht="15.75" customHeight="1">
      <c r="A51" s="3">
        <f>Theory!A41</f>
        <v>36</v>
      </c>
      <c r="B51" s="3" t="str">
        <f>Theory!B41</f>
        <v>7376231EE137</v>
      </c>
      <c r="C51" s="3">
        <v>20</v>
      </c>
      <c r="D51" s="3">
        <v>20</v>
      </c>
      <c r="E51" s="3">
        <v>20</v>
      </c>
      <c r="F51" s="3">
        <v>20</v>
      </c>
      <c r="G51" s="3">
        <v>20</v>
      </c>
      <c r="H51" s="3">
        <v>17</v>
      </c>
      <c r="I51" s="3">
        <v>9</v>
      </c>
      <c r="J51" s="3">
        <v>10</v>
      </c>
      <c r="K51" s="3">
        <v>13</v>
      </c>
      <c r="L51" s="3">
        <v>12</v>
      </c>
      <c r="M51" s="11">
        <f>IF(C51="","",H51*100/C51)</f>
        <v>85</v>
      </c>
      <c r="N51" s="11">
        <f>IF(D51="","",I51*100/D51)</f>
        <v>45</v>
      </c>
      <c r="O51" s="11">
        <f>IF(E51="","",J51*100/E51)</f>
        <v>50</v>
      </c>
      <c r="P51" s="11">
        <f>IF(F51="","",K51*100/F51)</f>
        <v>65</v>
      </c>
      <c r="Q51" s="11">
        <f>IF(G51="","",L51*100/G51)</f>
        <v>60</v>
      </c>
      <c r="R51" s="3" t="str">
        <f>IF(M51&gt;=$E$10,"1","0")</f>
        <v>1</v>
      </c>
      <c r="S51" s="3" t="str">
        <f>IF(N51&gt;=$E$10,"1","0")</f>
        <v>0</v>
      </c>
      <c r="T51" s="3" t="str">
        <f>IF(O51&gt;=$E$10,"1","0")</f>
        <v>0</v>
      </c>
      <c r="U51" s="3" t="str">
        <f>IF(P51&gt;=$E$10,"1","0")</f>
        <v>1</v>
      </c>
      <c r="V51" s="3" t="str">
        <f>IF(Q51&gt;=$E$10,"1","0")</f>
        <v>1</v>
      </c>
    </row>
    <row r="52" ht="15.75" customHeight="1">
      <c r="A52" s="3">
        <f>Theory!A42</f>
        <v>37</v>
      </c>
      <c r="B52" s="3" t="str">
        <f>Theory!B42</f>
        <v>7376231EE138</v>
      </c>
      <c r="C52" s="3">
        <v>20</v>
      </c>
      <c r="D52" s="3">
        <v>20</v>
      </c>
      <c r="E52" s="3">
        <v>20</v>
      </c>
      <c r="F52" s="3">
        <v>20</v>
      </c>
      <c r="G52" s="3">
        <v>20</v>
      </c>
      <c r="H52" s="3">
        <v>15</v>
      </c>
      <c r="I52" s="3">
        <v>14</v>
      </c>
      <c r="J52" s="3">
        <v>13</v>
      </c>
      <c r="K52" s="3">
        <v>13</v>
      </c>
      <c r="L52" s="3">
        <v>12</v>
      </c>
      <c r="M52" s="11">
        <f>IF(C52="","",H52*100/C52)</f>
        <v>75</v>
      </c>
      <c r="N52" s="11">
        <f>IF(D52="","",I52*100/D52)</f>
        <v>70</v>
      </c>
      <c r="O52" s="11">
        <f>IF(E52="","",J52*100/E52)</f>
        <v>65</v>
      </c>
      <c r="P52" s="11">
        <f>IF(F52="","",K52*100/F52)</f>
        <v>65</v>
      </c>
      <c r="Q52" s="11">
        <f>IF(G52="","",L52*100/G52)</f>
        <v>60</v>
      </c>
      <c r="R52" s="3" t="str">
        <f>IF(M52&gt;=$E$10,"1","0")</f>
        <v>1</v>
      </c>
      <c r="S52" s="3" t="str">
        <f>IF(N52&gt;=$E$10,"1","0")</f>
        <v>1</v>
      </c>
      <c r="T52" s="3" t="str">
        <f>IF(O52&gt;=$E$10,"1","0")</f>
        <v>1</v>
      </c>
      <c r="U52" s="3" t="str">
        <f>IF(P52&gt;=$E$10,"1","0")</f>
        <v>1</v>
      </c>
      <c r="V52" s="3" t="str">
        <f>IF(Q52&gt;=$E$10,"1","0")</f>
        <v>1</v>
      </c>
    </row>
    <row r="53" ht="15.75" customHeight="1">
      <c r="A53" s="3">
        <f>Theory!A43</f>
        <v>38</v>
      </c>
      <c r="B53" s="3" t="str">
        <f>Theory!B43</f>
        <v>7376231EE139</v>
      </c>
      <c r="C53" s="3">
        <v>20</v>
      </c>
      <c r="D53" s="3">
        <v>20</v>
      </c>
      <c r="E53" s="3">
        <v>20</v>
      </c>
      <c r="F53" s="3">
        <v>20</v>
      </c>
      <c r="G53" s="3">
        <v>20</v>
      </c>
      <c r="H53" s="3">
        <v>12</v>
      </c>
      <c r="I53" s="3">
        <v>9</v>
      </c>
      <c r="J53" s="3">
        <v>15</v>
      </c>
      <c r="K53" s="3">
        <v>8</v>
      </c>
      <c r="L53" s="3">
        <v>12</v>
      </c>
      <c r="M53" s="11">
        <f>IF(C53="","",H53*100/C53)</f>
        <v>60</v>
      </c>
      <c r="N53" s="11">
        <f>IF(D53="","",I53*100/D53)</f>
        <v>45</v>
      </c>
      <c r="O53" s="11">
        <f>IF(E53="","",J53*100/E53)</f>
        <v>75</v>
      </c>
      <c r="P53" s="11">
        <f>IF(F53="","",K53*100/F53)</f>
        <v>40</v>
      </c>
      <c r="Q53" s="11">
        <f>IF(G53="","",L53*100/G53)</f>
        <v>60</v>
      </c>
      <c r="R53" s="3" t="str">
        <f>IF(M53&gt;=$E$10,"1","0")</f>
        <v>1</v>
      </c>
      <c r="S53" s="3" t="str">
        <f>IF(N53&gt;=$E$10,"1","0")</f>
        <v>0</v>
      </c>
      <c r="T53" s="3" t="str">
        <f>IF(O53&gt;=$E$10,"1","0")</f>
        <v>1</v>
      </c>
      <c r="U53" s="3" t="str">
        <f>IF(P53&gt;=$E$10,"1","0")</f>
        <v>0</v>
      </c>
      <c r="V53" s="3" t="str">
        <f>IF(Q53&gt;=$E$10,"1","0")</f>
        <v>1</v>
      </c>
    </row>
    <row r="54" ht="15.75" customHeight="1">
      <c r="A54" s="3">
        <f>Theory!A44</f>
        <v>39</v>
      </c>
      <c r="B54" s="3" t="str">
        <f>Theory!B44</f>
        <v>7376231EE140</v>
      </c>
      <c r="C54" s="3">
        <v>20</v>
      </c>
      <c r="D54" s="3">
        <v>20</v>
      </c>
      <c r="E54" s="3">
        <v>20</v>
      </c>
      <c r="F54" s="3">
        <v>20</v>
      </c>
      <c r="G54" s="3">
        <v>20</v>
      </c>
      <c r="H54" s="3">
        <v>14</v>
      </c>
      <c r="I54" s="3">
        <v>14</v>
      </c>
      <c r="J54" s="3">
        <v>15</v>
      </c>
      <c r="K54" s="3">
        <v>13</v>
      </c>
      <c r="L54" s="3">
        <v>11</v>
      </c>
      <c r="M54" s="11">
        <f>IF(C54="","",H54*100/C54)</f>
        <v>70</v>
      </c>
      <c r="N54" s="11">
        <f>IF(D54="","",I54*100/D54)</f>
        <v>70</v>
      </c>
      <c r="O54" s="11">
        <f>IF(E54="","",J54*100/E54)</f>
        <v>75</v>
      </c>
      <c r="P54" s="11">
        <f>IF(F54="","",K54*100/F54)</f>
        <v>65</v>
      </c>
      <c r="Q54" s="11">
        <f>IF(G54="","",L54*100/G54)</f>
        <v>55</v>
      </c>
      <c r="R54" s="3" t="str">
        <f>IF(M54&gt;=$E$10,"1","0")</f>
        <v>1</v>
      </c>
      <c r="S54" s="3" t="str">
        <f>IF(N54&gt;=$E$10,"1","0")</f>
        <v>1</v>
      </c>
      <c r="T54" s="3" t="str">
        <f>IF(O54&gt;=$E$10,"1","0")</f>
        <v>1</v>
      </c>
      <c r="U54" s="3" t="str">
        <f>IF(P54&gt;=$E$10,"1","0")</f>
        <v>1</v>
      </c>
      <c r="V54" s="3" t="str">
        <f>IF(Q54&gt;=$E$10,"1","0")</f>
        <v>0</v>
      </c>
    </row>
    <row r="55" ht="15.75" customHeight="1">
      <c r="A55" s="3">
        <f>Theory!A45</f>
        <v>40</v>
      </c>
      <c r="B55" s="3" t="str">
        <f>Theory!B45</f>
        <v>7376231EE141</v>
      </c>
      <c r="C55" s="3">
        <v>20</v>
      </c>
      <c r="D55" s="3">
        <v>20</v>
      </c>
      <c r="E55" s="3">
        <v>20</v>
      </c>
      <c r="F55" s="3">
        <v>20</v>
      </c>
      <c r="G55" s="3">
        <v>20</v>
      </c>
      <c r="H55" s="3">
        <v>12</v>
      </c>
      <c r="I55" s="3">
        <v>12</v>
      </c>
      <c r="J55" s="3">
        <v>14</v>
      </c>
      <c r="K55" s="3">
        <v>12</v>
      </c>
      <c r="L55" s="3">
        <v>14</v>
      </c>
      <c r="M55" s="11">
        <f>IF(C55="","",H55*100/C55)</f>
        <v>60</v>
      </c>
      <c r="N55" s="11">
        <f>IF(D55="","",I55*100/D55)</f>
        <v>60</v>
      </c>
      <c r="O55" s="11">
        <f>IF(E55="","",J55*100/E55)</f>
        <v>70</v>
      </c>
      <c r="P55" s="11">
        <f>IF(F55="","",K55*100/F55)</f>
        <v>60</v>
      </c>
      <c r="Q55" s="11">
        <f>IF(G55="","",L55*100/G55)</f>
        <v>70</v>
      </c>
      <c r="R55" s="3" t="str">
        <f>IF(M55&gt;=$E$10,"1","0")</f>
        <v>1</v>
      </c>
      <c r="S55" s="3" t="str">
        <f>IF(N55&gt;=$E$10,"1","0")</f>
        <v>1</v>
      </c>
      <c r="T55" s="3" t="str">
        <f>IF(O55&gt;=$E$10,"1","0")</f>
        <v>1</v>
      </c>
      <c r="U55" s="3" t="str">
        <f>IF(P55&gt;=$E$10,"1","0")</f>
        <v>1</v>
      </c>
      <c r="V55" s="3" t="str">
        <f>IF(Q55&gt;=$E$10,"1","0")</f>
        <v>1</v>
      </c>
    </row>
    <row r="56" ht="15.75" customHeight="1">
      <c r="A56" s="3">
        <f>Theory!A46</f>
        <v>41</v>
      </c>
      <c r="B56" s="3" t="str">
        <f>Theory!B46</f>
        <v>7376231EE142</v>
      </c>
      <c r="C56" s="3">
        <v>20</v>
      </c>
      <c r="D56" s="3">
        <v>20</v>
      </c>
      <c r="E56" s="3">
        <v>20</v>
      </c>
      <c r="F56" s="3">
        <v>20</v>
      </c>
      <c r="G56" s="3">
        <v>20</v>
      </c>
      <c r="H56" s="3">
        <v>17</v>
      </c>
      <c r="I56" s="3">
        <v>14</v>
      </c>
      <c r="J56" s="3">
        <v>15</v>
      </c>
      <c r="K56" s="3">
        <v>13</v>
      </c>
      <c r="L56" s="3">
        <v>16</v>
      </c>
      <c r="M56" s="11">
        <f>IF(C56="","",H56*100/C56)</f>
        <v>85</v>
      </c>
      <c r="N56" s="11">
        <f>IF(D56="","",I56*100/D56)</f>
        <v>70</v>
      </c>
      <c r="O56" s="11">
        <f>IF(E56="","",J56*100/E56)</f>
        <v>75</v>
      </c>
      <c r="P56" s="11">
        <f>IF(F56="","",K56*100/F56)</f>
        <v>65</v>
      </c>
      <c r="Q56" s="11">
        <f>IF(G56="","",L56*100/G56)</f>
        <v>80</v>
      </c>
      <c r="R56" s="3" t="str">
        <f>IF(M56&gt;=$E$10,"1","0")</f>
        <v>1</v>
      </c>
      <c r="S56" s="3" t="str">
        <f>IF(N56&gt;=$E$10,"1","0")</f>
        <v>1</v>
      </c>
      <c r="T56" s="3" t="str">
        <f>IF(O56&gt;=$E$10,"1","0")</f>
        <v>1</v>
      </c>
      <c r="U56" s="3" t="str">
        <f>IF(P56&gt;=$E$10,"1","0")</f>
        <v>1</v>
      </c>
      <c r="V56" s="3" t="str">
        <f>IF(Q56&gt;=$E$10,"1","0")</f>
        <v>1</v>
      </c>
    </row>
    <row r="57" ht="15.75" customHeight="1">
      <c r="A57" s="3">
        <f>Theory!A47</f>
        <v>42</v>
      </c>
      <c r="B57" s="3" t="str">
        <f>Theory!B47</f>
        <v>7376231EE143</v>
      </c>
      <c r="C57" s="3">
        <v>20</v>
      </c>
      <c r="D57" s="3">
        <v>20</v>
      </c>
      <c r="E57" s="3">
        <v>20</v>
      </c>
      <c r="F57" s="3">
        <v>20</v>
      </c>
      <c r="G57" s="3">
        <v>20</v>
      </c>
      <c r="H57" s="3">
        <v>14</v>
      </c>
      <c r="I57" s="3">
        <v>14</v>
      </c>
      <c r="J57" s="3">
        <v>14</v>
      </c>
      <c r="K57" s="3">
        <v>12</v>
      </c>
      <c r="L57" s="3">
        <v>15</v>
      </c>
      <c r="M57" s="11">
        <f>IF(C57="","",H57*100/C57)</f>
        <v>70</v>
      </c>
      <c r="N57" s="11">
        <f>IF(D57="","",I57*100/D57)</f>
        <v>70</v>
      </c>
      <c r="O57" s="11">
        <f>IF(E57="","",J57*100/E57)</f>
        <v>70</v>
      </c>
      <c r="P57" s="11">
        <f>IF(F57="","",K57*100/F57)</f>
        <v>60</v>
      </c>
      <c r="Q57" s="11">
        <f>IF(G57="","",L57*100/G57)</f>
        <v>75</v>
      </c>
      <c r="R57" s="3" t="str">
        <f>IF(M57&gt;=$E$10,"1","0")</f>
        <v>1</v>
      </c>
      <c r="S57" s="3" t="str">
        <f>IF(N57&gt;=$E$10,"1","0")</f>
        <v>1</v>
      </c>
      <c r="T57" s="3" t="str">
        <f>IF(O57&gt;=$E$10,"1","0")</f>
        <v>1</v>
      </c>
      <c r="U57" s="3" t="str">
        <f>IF(P57&gt;=$E$10,"1","0")</f>
        <v>1</v>
      </c>
      <c r="V57" s="3" t="str">
        <f>IF(Q57&gt;=$E$10,"1","0")</f>
        <v>1</v>
      </c>
    </row>
    <row r="58" ht="15.75" customHeight="1">
      <c r="A58" s="3">
        <f>Theory!A48</f>
        <v>43</v>
      </c>
      <c r="B58" s="3" t="str">
        <f>Theory!B48</f>
        <v>7376231EE144</v>
      </c>
      <c r="C58" s="3">
        <v>20</v>
      </c>
      <c r="D58" s="3">
        <v>20</v>
      </c>
      <c r="E58" s="3">
        <v>20</v>
      </c>
      <c r="F58" s="3">
        <v>20</v>
      </c>
      <c r="G58" s="3">
        <v>20</v>
      </c>
      <c r="H58" s="3">
        <v>16</v>
      </c>
      <c r="I58" s="3">
        <v>15</v>
      </c>
      <c r="J58" s="3">
        <v>18</v>
      </c>
      <c r="K58" s="3">
        <v>13</v>
      </c>
      <c r="L58" s="3">
        <v>17</v>
      </c>
      <c r="M58" s="11">
        <f>IF(C58="","",H58*100/C58)</f>
        <v>80</v>
      </c>
      <c r="N58" s="11">
        <f>IF(D58="","",I58*100/D58)</f>
        <v>75</v>
      </c>
      <c r="O58" s="11">
        <f>IF(E58="","",J58*100/E58)</f>
        <v>90</v>
      </c>
      <c r="P58" s="11">
        <f>IF(F58="","",K58*100/F58)</f>
        <v>65</v>
      </c>
      <c r="Q58" s="11">
        <f>IF(G58="","",L58*100/G58)</f>
        <v>85</v>
      </c>
      <c r="R58" s="3" t="str">
        <f>IF(M58&gt;=$E$10,"1","0")</f>
        <v>1</v>
      </c>
      <c r="S58" s="3" t="str">
        <f>IF(N58&gt;=$E$10,"1","0")</f>
        <v>1</v>
      </c>
      <c r="T58" s="3" t="str">
        <f>IF(O58&gt;=$E$10,"1","0")</f>
        <v>1</v>
      </c>
      <c r="U58" s="3" t="str">
        <f>IF(P58&gt;=$E$10,"1","0")</f>
        <v>1</v>
      </c>
      <c r="V58" s="3" t="str">
        <f>IF(Q58&gt;=$E$10,"1","0")</f>
        <v>1</v>
      </c>
    </row>
    <row r="59" ht="15.75" customHeight="1">
      <c r="A59" s="3">
        <f>Theory!A49</f>
        <v>44</v>
      </c>
      <c r="B59" s="3" t="str">
        <f>Theory!B49</f>
        <v>7376231EE145</v>
      </c>
      <c r="C59" s="3">
        <v>20</v>
      </c>
      <c r="D59" s="3">
        <v>20</v>
      </c>
      <c r="E59" s="3">
        <v>20</v>
      </c>
      <c r="F59" s="3">
        <v>20</v>
      </c>
      <c r="G59" s="3">
        <v>20</v>
      </c>
      <c r="H59" s="3">
        <v>13</v>
      </c>
      <c r="I59" s="3">
        <v>14</v>
      </c>
      <c r="J59" s="3">
        <v>13</v>
      </c>
      <c r="K59" s="3">
        <v>12</v>
      </c>
      <c r="L59" s="3">
        <v>14</v>
      </c>
      <c r="M59" s="11">
        <f>IF(C59="","",H59*100/C59)</f>
        <v>65</v>
      </c>
      <c r="N59" s="11">
        <f>IF(D59="","",I59*100/D59)</f>
        <v>70</v>
      </c>
      <c r="O59" s="11">
        <f>IF(E59="","",J59*100/E59)</f>
        <v>65</v>
      </c>
      <c r="P59" s="11">
        <f>IF(F59="","",K59*100/F59)</f>
        <v>60</v>
      </c>
      <c r="Q59" s="11">
        <f>IF(G59="","",L59*100/G59)</f>
        <v>70</v>
      </c>
      <c r="R59" s="3" t="str">
        <f>IF(M59&gt;=$E$10,"1","0")</f>
        <v>1</v>
      </c>
      <c r="S59" s="3" t="str">
        <f>IF(N59&gt;=$E$10,"1","0")</f>
        <v>1</v>
      </c>
      <c r="T59" s="3" t="str">
        <f>IF(O59&gt;=$E$10,"1","0")</f>
        <v>1</v>
      </c>
      <c r="U59" s="3" t="str">
        <f>IF(P59&gt;=$E$10,"1","0")</f>
        <v>1</v>
      </c>
      <c r="V59" s="3" t="str">
        <f>IF(Q59&gt;=$E$10,"1","0")</f>
        <v>1</v>
      </c>
    </row>
    <row r="60" ht="15.75" customHeight="1">
      <c r="A60" s="3">
        <f>Theory!A50</f>
        <v>45</v>
      </c>
      <c r="B60" s="3" t="str">
        <f>Theory!B50</f>
        <v>7376231EE146</v>
      </c>
      <c r="C60" s="3">
        <v>20</v>
      </c>
      <c r="D60" s="3">
        <v>20</v>
      </c>
      <c r="E60" s="3">
        <v>20</v>
      </c>
      <c r="F60" s="3">
        <v>20</v>
      </c>
      <c r="G60" s="3">
        <v>20</v>
      </c>
      <c r="H60" s="3">
        <v>12</v>
      </c>
      <c r="I60" s="3">
        <v>16</v>
      </c>
      <c r="J60" s="3">
        <v>16</v>
      </c>
      <c r="K60" s="3">
        <v>13</v>
      </c>
      <c r="L60" s="3">
        <v>14</v>
      </c>
      <c r="M60" s="11">
        <f>IF(C60="","",H60*100/C60)</f>
        <v>60</v>
      </c>
      <c r="N60" s="11">
        <f>IF(D60="","",I60*100/D60)</f>
        <v>80</v>
      </c>
      <c r="O60" s="11">
        <f>IF(E60="","",J60*100/E60)</f>
        <v>80</v>
      </c>
      <c r="P60" s="11">
        <f>IF(F60="","",K60*100/F60)</f>
        <v>65</v>
      </c>
      <c r="Q60" s="11">
        <f>IF(G60="","",L60*100/G60)</f>
        <v>70</v>
      </c>
      <c r="R60" s="3" t="str">
        <f>IF(M60&gt;=$E$10,"1","0")</f>
        <v>1</v>
      </c>
      <c r="S60" s="3" t="str">
        <f>IF(N60&gt;=$E$10,"1","0")</f>
        <v>1</v>
      </c>
      <c r="T60" s="3" t="str">
        <f>IF(O60&gt;=$E$10,"1","0")</f>
        <v>1</v>
      </c>
      <c r="U60" s="3" t="str">
        <f>IF(P60&gt;=$E$10,"1","0")</f>
        <v>1</v>
      </c>
      <c r="V60" s="3" t="str">
        <f>IF(Q60&gt;=$E$10,"1","0")</f>
        <v>1</v>
      </c>
    </row>
    <row r="61" ht="15.75" customHeight="1">
      <c r="A61" s="3">
        <f>Theory!A51</f>
        <v>46</v>
      </c>
      <c r="B61" s="3" t="str">
        <f>Theory!B51</f>
        <v>7376231EE147</v>
      </c>
      <c r="C61" s="3">
        <v>20</v>
      </c>
      <c r="D61" s="3">
        <v>20</v>
      </c>
      <c r="E61" s="3">
        <v>20</v>
      </c>
      <c r="F61" s="3">
        <v>20</v>
      </c>
      <c r="G61" s="3">
        <v>20</v>
      </c>
      <c r="H61" s="3">
        <v>14</v>
      </c>
      <c r="I61" s="3">
        <v>11</v>
      </c>
      <c r="J61" s="3">
        <v>9</v>
      </c>
      <c r="K61" s="3">
        <v>11</v>
      </c>
      <c r="L61" s="3">
        <v>16</v>
      </c>
      <c r="M61" s="11">
        <f>IF(C61="","",H61*100/C61)</f>
        <v>70</v>
      </c>
      <c r="N61" s="11">
        <f>IF(D61="","",I61*100/D61)</f>
        <v>55</v>
      </c>
      <c r="O61" s="11">
        <f>IF(E61="","",J61*100/E61)</f>
        <v>45</v>
      </c>
      <c r="P61" s="11">
        <f>IF(F61="","",K61*100/F61)</f>
        <v>55</v>
      </c>
      <c r="Q61" s="11">
        <f>IF(G61="","",L61*100/G61)</f>
        <v>80</v>
      </c>
      <c r="R61" s="3" t="str">
        <f>IF(M61&gt;=$E$10,"1","0")</f>
        <v>1</v>
      </c>
      <c r="S61" s="3" t="str">
        <f>IF(N61&gt;=$E$10,"1","0")</f>
        <v>0</v>
      </c>
      <c r="T61" s="3" t="str">
        <f>IF(O61&gt;=$E$10,"1","0")</f>
        <v>0</v>
      </c>
      <c r="U61" s="3" t="str">
        <f>IF(P61&gt;=$E$10,"1","0")</f>
        <v>0</v>
      </c>
      <c r="V61" s="3" t="str">
        <f>IF(Q61&gt;=$E$10,"1","0")</f>
        <v>1</v>
      </c>
    </row>
    <row r="62" ht="15.75" customHeight="1">
      <c r="A62" s="3">
        <f>Theory!A52</f>
        <v>47</v>
      </c>
      <c r="B62" s="3" t="str">
        <f>Theory!B52</f>
        <v>7376231EE148</v>
      </c>
      <c r="C62" s="3">
        <v>20</v>
      </c>
      <c r="D62" s="3">
        <v>20</v>
      </c>
      <c r="E62" s="3">
        <v>20</v>
      </c>
      <c r="F62" s="3">
        <v>20</v>
      </c>
      <c r="G62" s="3">
        <v>20</v>
      </c>
      <c r="H62" s="3">
        <v>18</v>
      </c>
      <c r="I62" s="3">
        <v>16</v>
      </c>
      <c r="J62" s="3">
        <v>15</v>
      </c>
      <c r="K62" s="3">
        <v>12</v>
      </c>
      <c r="L62" s="3">
        <v>11</v>
      </c>
      <c r="M62" s="11">
        <f>IF(C62="","",H62*100/C62)</f>
        <v>90</v>
      </c>
      <c r="N62" s="11">
        <f>IF(D62="","",I62*100/D62)</f>
        <v>80</v>
      </c>
      <c r="O62" s="11">
        <f>IF(E62="","",J62*100/E62)</f>
        <v>75</v>
      </c>
      <c r="P62" s="11">
        <f>IF(F62="","",K62*100/F62)</f>
        <v>60</v>
      </c>
      <c r="Q62" s="11">
        <f>IF(G62="","",L62*100/G62)</f>
        <v>55</v>
      </c>
      <c r="R62" s="3" t="str">
        <f>IF(M62&gt;=$E$10,"1","0")</f>
        <v>1</v>
      </c>
      <c r="S62" s="3" t="str">
        <f>IF(N62&gt;=$E$10,"1","0")</f>
        <v>1</v>
      </c>
      <c r="T62" s="3" t="str">
        <f>IF(O62&gt;=$E$10,"1","0")</f>
        <v>1</v>
      </c>
      <c r="U62" s="3" t="str">
        <f>IF(P62&gt;=$E$10,"1","0")</f>
        <v>1</v>
      </c>
      <c r="V62" s="3" t="str">
        <f>IF(Q62&gt;=$E$10,"1","0")</f>
        <v>0</v>
      </c>
    </row>
    <row r="63" ht="15.75" customHeight="1">
      <c r="A63" s="3">
        <f>Theory!A53</f>
        <v>48</v>
      </c>
      <c r="B63" s="3" t="str">
        <f>Theory!B53</f>
        <v>7376231EE149</v>
      </c>
      <c r="C63" s="3">
        <v>20</v>
      </c>
      <c r="D63" s="3">
        <v>20</v>
      </c>
      <c r="E63" s="3">
        <v>20</v>
      </c>
      <c r="F63" s="3">
        <v>20</v>
      </c>
      <c r="G63" s="3">
        <v>20</v>
      </c>
      <c r="H63" s="3">
        <v>12</v>
      </c>
      <c r="I63" s="3">
        <v>11</v>
      </c>
      <c r="J63" s="3">
        <v>12</v>
      </c>
      <c r="K63" s="3">
        <v>13</v>
      </c>
      <c r="L63" s="3">
        <v>10</v>
      </c>
      <c r="M63" s="11">
        <f>IF(C63="","",H63*100/C63)</f>
        <v>60</v>
      </c>
      <c r="N63" s="11">
        <f>IF(D63="","",I63*100/D63)</f>
        <v>55</v>
      </c>
      <c r="O63" s="11">
        <f>IF(E63="","",J63*100/E63)</f>
        <v>60</v>
      </c>
      <c r="P63" s="11">
        <f>IF(F63="","",K63*100/F63)</f>
        <v>65</v>
      </c>
      <c r="Q63" s="11">
        <f>IF(G63="","",L63*100/G63)</f>
        <v>50</v>
      </c>
      <c r="R63" s="3" t="str">
        <f>IF(M63&gt;=$E$10,"1","0")</f>
        <v>1</v>
      </c>
      <c r="S63" s="3" t="str">
        <f>IF(N63&gt;=$E$10,"1","0")</f>
        <v>0</v>
      </c>
      <c r="T63" s="3" t="str">
        <f>IF(O63&gt;=$E$10,"1","0")</f>
        <v>1</v>
      </c>
      <c r="U63" s="3" t="str">
        <f>IF(P63&gt;=$E$10,"1","0")</f>
        <v>1</v>
      </c>
      <c r="V63" s="3" t="str">
        <f>IF(Q63&gt;=$E$10,"1","0")</f>
        <v>0</v>
      </c>
    </row>
    <row r="64" ht="15.75" customHeight="1">
      <c r="A64" s="3">
        <f>Theory!A54</f>
        <v>49</v>
      </c>
      <c r="B64" s="3" t="str">
        <f>Theory!B54</f>
        <v>7376231EE150</v>
      </c>
      <c r="C64" s="3">
        <v>20</v>
      </c>
      <c r="D64" s="3">
        <v>20</v>
      </c>
      <c r="E64" s="3">
        <v>20</v>
      </c>
      <c r="F64" s="3">
        <v>20</v>
      </c>
      <c r="G64" s="3">
        <v>20</v>
      </c>
      <c r="H64" s="3">
        <v>13</v>
      </c>
      <c r="I64" s="3">
        <v>13</v>
      </c>
      <c r="J64" s="3">
        <v>14</v>
      </c>
      <c r="K64" s="3">
        <v>13</v>
      </c>
      <c r="L64" s="3">
        <v>11</v>
      </c>
      <c r="M64" s="11">
        <f>IF(C64="","",H64*100/C64)</f>
        <v>65</v>
      </c>
      <c r="N64" s="11">
        <f>IF(D64="","",I64*100/D64)</f>
        <v>65</v>
      </c>
      <c r="O64" s="11">
        <f>IF(E64="","",J64*100/E64)</f>
        <v>70</v>
      </c>
      <c r="P64" s="11">
        <f>IF(F64="","",K64*100/F64)</f>
        <v>65</v>
      </c>
      <c r="Q64" s="11">
        <f>IF(G64="","",L64*100/G64)</f>
        <v>55</v>
      </c>
      <c r="R64" s="3" t="str">
        <f>IF(M64&gt;=$E$10,"1","0")</f>
        <v>1</v>
      </c>
      <c r="S64" s="3" t="str">
        <f>IF(N64&gt;=$E$10,"1","0")</f>
        <v>1</v>
      </c>
      <c r="T64" s="3" t="str">
        <f>IF(O64&gt;=$E$10,"1","0")</f>
        <v>1</v>
      </c>
      <c r="U64" s="3" t="str">
        <f>IF(P64&gt;=$E$10,"1","0")</f>
        <v>1</v>
      </c>
      <c r="V64" s="3" t="str">
        <f>IF(Q64&gt;=$E$10,"1","0")</f>
        <v>0</v>
      </c>
    </row>
    <row r="65" ht="15.75" customHeight="1">
      <c r="A65" s="3">
        <f>Theory!A55</f>
        <v>50</v>
      </c>
      <c r="B65" s="3" t="str">
        <f>Theory!B55</f>
        <v>7376231EE151</v>
      </c>
      <c r="C65" s="3">
        <v>20</v>
      </c>
      <c r="D65" s="3">
        <v>20</v>
      </c>
      <c r="E65" s="3">
        <v>20</v>
      </c>
      <c r="F65" s="3">
        <v>20</v>
      </c>
      <c r="G65" s="3">
        <v>20</v>
      </c>
      <c r="H65" s="3">
        <v>13</v>
      </c>
      <c r="I65" s="3">
        <v>13</v>
      </c>
      <c r="J65" s="3">
        <v>12</v>
      </c>
      <c r="K65" s="3">
        <v>13</v>
      </c>
      <c r="L65" s="3">
        <v>11</v>
      </c>
      <c r="M65" s="11">
        <f>IF(C65="","",H65*100/C65)</f>
        <v>65</v>
      </c>
      <c r="N65" s="11">
        <f>IF(D65="","",I65*100/D65)</f>
        <v>65</v>
      </c>
      <c r="O65" s="11">
        <f>IF(E65="","",J65*100/E65)</f>
        <v>60</v>
      </c>
      <c r="P65" s="11">
        <f>IF(F65="","",K65*100/F65)</f>
        <v>65</v>
      </c>
      <c r="Q65" s="11">
        <f>IF(G65="","",L65*100/G65)</f>
        <v>55</v>
      </c>
      <c r="R65" s="3" t="str">
        <f>IF(M65&gt;=$E$10,"1","0")</f>
        <v>1</v>
      </c>
      <c r="S65" s="3" t="str">
        <f>IF(N65&gt;=$E$10,"1","0")</f>
        <v>1</v>
      </c>
      <c r="T65" s="3" t="str">
        <f>IF(O65&gt;=$E$10,"1","0")</f>
        <v>1</v>
      </c>
      <c r="U65" s="3" t="str">
        <f>IF(P65&gt;=$E$10,"1","0")</f>
        <v>1</v>
      </c>
      <c r="V65" s="3" t="str">
        <f>IF(Q65&gt;=$E$10,"1","0")</f>
        <v>0</v>
      </c>
    </row>
    <row r="66" ht="15.75" customHeight="1">
      <c r="A66" s="3">
        <f>Theory!A56</f>
        <v>51</v>
      </c>
      <c r="B66" s="3" t="str">
        <f>Theory!B56</f>
        <v>7376231EE152</v>
      </c>
      <c r="C66" s="3">
        <v>20</v>
      </c>
      <c r="D66" s="3">
        <v>20</v>
      </c>
      <c r="E66" s="3">
        <v>20</v>
      </c>
      <c r="F66" s="3">
        <v>20</v>
      </c>
      <c r="G66" s="3">
        <v>20</v>
      </c>
      <c r="H66" s="3">
        <v>15</v>
      </c>
      <c r="I66" s="3">
        <v>13</v>
      </c>
      <c r="J66" s="3">
        <v>14</v>
      </c>
      <c r="K66" s="3">
        <v>12</v>
      </c>
      <c r="L66" s="3">
        <v>16</v>
      </c>
      <c r="M66" s="11">
        <f>IF(C66="","",H66*100/C66)</f>
        <v>75</v>
      </c>
      <c r="N66" s="11">
        <f>IF(D66="","",I66*100/D66)</f>
        <v>65</v>
      </c>
      <c r="O66" s="11">
        <f>IF(E66="","",J66*100/E66)</f>
        <v>70</v>
      </c>
      <c r="P66" s="11">
        <f>IF(F66="","",K66*100/F66)</f>
        <v>60</v>
      </c>
      <c r="Q66" s="11">
        <f>IF(G66="","",L66*100/G66)</f>
        <v>80</v>
      </c>
      <c r="R66" s="3" t="str">
        <f>IF(M66&gt;=$E$10,"1","0")</f>
        <v>1</v>
      </c>
      <c r="S66" s="3" t="str">
        <f>IF(N66&gt;=$E$10,"1","0")</f>
        <v>1</v>
      </c>
      <c r="T66" s="3" t="str">
        <f>IF(O66&gt;=$E$10,"1","0")</f>
        <v>1</v>
      </c>
      <c r="U66" s="3" t="str">
        <f>IF(P66&gt;=$E$10,"1","0")</f>
        <v>1</v>
      </c>
      <c r="V66" s="3" t="str">
        <f>IF(Q66&gt;=$E$10,"1","0")</f>
        <v>1</v>
      </c>
    </row>
    <row r="67" ht="15.75" customHeight="1">
      <c r="A67" s="3">
        <f>Theory!A57</f>
        <v>52</v>
      </c>
      <c r="B67" s="3" t="str">
        <f>Theory!B57</f>
        <v>7376231EE153</v>
      </c>
      <c r="C67" s="3">
        <v>20</v>
      </c>
      <c r="D67" s="3">
        <v>20</v>
      </c>
      <c r="E67" s="3">
        <v>20</v>
      </c>
      <c r="F67" s="3">
        <v>20</v>
      </c>
      <c r="G67" s="3">
        <v>20</v>
      </c>
      <c r="H67" s="3">
        <v>14</v>
      </c>
      <c r="I67" s="3">
        <v>14</v>
      </c>
      <c r="J67" s="3">
        <v>14</v>
      </c>
      <c r="K67" s="3">
        <v>12</v>
      </c>
      <c r="L67" s="3">
        <v>14</v>
      </c>
      <c r="M67" s="11">
        <f>IF(C67="","",H67*100/C67)</f>
        <v>70</v>
      </c>
      <c r="N67" s="11">
        <f>IF(D67="","",I67*100/D67)</f>
        <v>70</v>
      </c>
      <c r="O67" s="11">
        <f>IF(E67="","",J67*100/E67)</f>
        <v>70</v>
      </c>
      <c r="P67" s="11">
        <f>IF(F67="","",K67*100/F67)</f>
        <v>60</v>
      </c>
      <c r="Q67" s="11">
        <f>IF(G67="","",L67*100/G67)</f>
        <v>70</v>
      </c>
      <c r="R67" s="3" t="str">
        <f>IF(M67&gt;=$E$10,"1","0")</f>
        <v>1</v>
      </c>
      <c r="S67" s="3" t="str">
        <f>IF(N67&gt;=$E$10,"1","0")</f>
        <v>1</v>
      </c>
      <c r="T67" s="3" t="str">
        <f>IF(O67&gt;=$E$10,"1","0")</f>
        <v>1</v>
      </c>
      <c r="U67" s="3" t="str">
        <f>IF(P67&gt;=$E$10,"1","0")</f>
        <v>1</v>
      </c>
      <c r="V67" s="3" t="str">
        <f>IF(Q67&gt;=$E$10,"1","0")</f>
        <v>1</v>
      </c>
    </row>
    <row r="68" ht="15.75" customHeight="1">
      <c r="A68" s="3">
        <f>Theory!A58</f>
        <v>53</v>
      </c>
      <c r="B68" s="3" t="str">
        <f>Theory!B58</f>
        <v>7376231EE154</v>
      </c>
      <c r="C68" s="3">
        <v>20</v>
      </c>
      <c r="D68" s="3">
        <v>20</v>
      </c>
      <c r="E68" s="3">
        <v>20</v>
      </c>
      <c r="F68" s="3">
        <v>20</v>
      </c>
      <c r="G68" s="3">
        <v>20</v>
      </c>
      <c r="H68" s="3">
        <v>16</v>
      </c>
      <c r="I68" s="3">
        <v>11</v>
      </c>
      <c r="J68" s="3">
        <v>15</v>
      </c>
      <c r="K68" s="3">
        <v>11</v>
      </c>
      <c r="L68" s="3">
        <v>14</v>
      </c>
      <c r="M68" s="11">
        <f>IF(C68="","",H68*100/C68)</f>
        <v>80</v>
      </c>
      <c r="N68" s="11">
        <f>IF(D68="","",I68*100/D68)</f>
        <v>55</v>
      </c>
      <c r="O68" s="11">
        <f>IF(E68="","",J68*100/E68)</f>
        <v>75</v>
      </c>
      <c r="P68" s="11">
        <f>IF(F68="","",K68*100/F68)</f>
        <v>55</v>
      </c>
      <c r="Q68" s="11">
        <f>IF(G68="","",L68*100/G68)</f>
        <v>70</v>
      </c>
      <c r="R68" s="3" t="str">
        <f>IF(M68&gt;=$E$10,"1","0")</f>
        <v>1</v>
      </c>
      <c r="S68" s="3" t="str">
        <f>IF(N68&gt;=$E$10,"1","0")</f>
        <v>0</v>
      </c>
      <c r="T68" s="3" t="str">
        <f>IF(O68&gt;=$E$10,"1","0")</f>
        <v>1</v>
      </c>
      <c r="U68" s="3" t="str">
        <f>IF(P68&gt;=$E$10,"1","0")</f>
        <v>0</v>
      </c>
      <c r="V68" s="3" t="str">
        <f>IF(Q68&gt;=$E$10,"1","0")</f>
        <v>1</v>
      </c>
    </row>
    <row r="69" ht="15.75" customHeight="1">
      <c r="A69" s="3">
        <f>Theory!A59</f>
        <v>54</v>
      </c>
      <c r="B69" s="3" t="str">
        <f>Theory!B59</f>
        <v>7376231EE155</v>
      </c>
      <c r="C69" s="3">
        <v>20</v>
      </c>
      <c r="D69" s="3">
        <v>20</v>
      </c>
      <c r="E69" s="3">
        <v>20</v>
      </c>
      <c r="F69" s="3">
        <v>20</v>
      </c>
      <c r="G69" s="3">
        <v>20</v>
      </c>
      <c r="H69" s="3">
        <v>12</v>
      </c>
      <c r="I69" s="3">
        <v>9</v>
      </c>
      <c r="J69" s="3">
        <v>7</v>
      </c>
      <c r="K69" s="3">
        <v>10</v>
      </c>
      <c r="L69" s="3">
        <v>14</v>
      </c>
      <c r="M69" s="11">
        <f>IF(C69="","",H69*100/C69)</f>
        <v>60</v>
      </c>
      <c r="N69" s="11">
        <f>IF(D69="","",I69*100/D69)</f>
        <v>45</v>
      </c>
      <c r="O69" s="11">
        <f>IF(E69="","",J69*100/E69)</f>
        <v>35</v>
      </c>
      <c r="P69" s="11">
        <f>IF(F69="","",K69*100/F69)</f>
        <v>50</v>
      </c>
      <c r="Q69" s="11">
        <f>IF(G69="","",L69*100/G69)</f>
        <v>70</v>
      </c>
      <c r="R69" s="3" t="str">
        <f>IF(M69&gt;=$E$10,"1","0")</f>
        <v>1</v>
      </c>
      <c r="S69" s="3" t="str">
        <f>IF(N69&gt;=$E$10,"1","0")</f>
        <v>0</v>
      </c>
      <c r="T69" s="3" t="str">
        <f>IF(O69&gt;=$E$10,"1","0")</f>
        <v>0</v>
      </c>
      <c r="U69" s="3" t="str">
        <f>IF(P69&gt;=$E$10,"1","0")</f>
        <v>0</v>
      </c>
      <c r="V69" s="3" t="str">
        <f>IF(Q69&gt;=$E$10,"1","0")</f>
        <v>1</v>
      </c>
    </row>
    <row r="70" ht="15.75" customHeight="1">
      <c r="A70" s="3">
        <f>Theory!A60</f>
        <v>55</v>
      </c>
      <c r="B70" s="3" t="str">
        <f>Theory!B60</f>
        <v>7376231EE156</v>
      </c>
      <c r="C70" s="3">
        <v>20</v>
      </c>
      <c r="D70" s="3">
        <v>20</v>
      </c>
      <c r="E70" s="3">
        <v>20</v>
      </c>
      <c r="F70" s="3">
        <v>20</v>
      </c>
      <c r="G70" s="3">
        <v>20</v>
      </c>
      <c r="H70" s="3">
        <v>14</v>
      </c>
      <c r="I70" s="3">
        <v>14</v>
      </c>
      <c r="J70" s="3">
        <v>13</v>
      </c>
      <c r="K70" s="3">
        <v>13</v>
      </c>
      <c r="L70" s="3">
        <v>15</v>
      </c>
      <c r="M70" s="11">
        <f>IF(C70="","",H70*100/C70)</f>
        <v>70</v>
      </c>
      <c r="N70" s="11">
        <f>IF(D70="","",I70*100/D70)</f>
        <v>70</v>
      </c>
      <c r="O70" s="11">
        <f>IF(E70="","",J70*100/E70)</f>
        <v>65</v>
      </c>
      <c r="P70" s="11">
        <f>IF(F70="","",K70*100/F70)</f>
        <v>65</v>
      </c>
      <c r="Q70" s="11">
        <f>IF(G70="","",L70*100/G70)</f>
        <v>75</v>
      </c>
      <c r="R70" s="3" t="str">
        <f>IF(M70&gt;=$E$10,"1","0")</f>
        <v>1</v>
      </c>
      <c r="S70" s="3" t="str">
        <f>IF(N70&gt;=$E$10,"1","0")</f>
        <v>1</v>
      </c>
      <c r="T70" s="3" t="str">
        <f>IF(O70&gt;=$E$10,"1","0")</f>
        <v>1</v>
      </c>
      <c r="U70" s="3" t="str">
        <f>IF(P70&gt;=$E$10,"1","0")</f>
        <v>1</v>
      </c>
      <c r="V70" s="3" t="str">
        <f>IF(Q70&gt;=$E$10,"1","0")</f>
        <v>1</v>
      </c>
    </row>
    <row r="71" ht="15.75" customHeight="1">
      <c r="A71" s="3">
        <f>Theory!A61</f>
        <v>56</v>
      </c>
      <c r="B71" s="3" t="str">
        <f>Theory!B61</f>
        <v>7376231EE157</v>
      </c>
      <c r="C71" s="3">
        <v>20</v>
      </c>
      <c r="D71" s="3">
        <v>20</v>
      </c>
      <c r="E71" s="3">
        <v>20</v>
      </c>
      <c r="F71" s="3">
        <v>20</v>
      </c>
      <c r="G71" s="3">
        <v>20</v>
      </c>
      <c r="H71" s="3">
        <v>14</v>
      </c>
      <c r="I71" s="3">
        <v>14</v>
      </c>
      <c r="J71" s="3">
        <v>15</v>
      </c>
      <c r="K71" s="3">
        <v>11</v>
      </c>
      <c r="L71" s="3">
        <v>14</v>
      </c>
      <c r="M71" s="11">
        <f>IF(C71="","",H71*100/C71)</f>
        <v>70</v>
      </c>
      <c r="N71" s="11">
        <f>IF(D71="","",I71*100/D71)</f>
        <v>70</v>
      </c>
      <c r="O71" s="11">
        <f>IF(E71="","",J71*100/E71)</f>
        <v>75</v>
      </c>
      <c r="P71" s="11">
        <f>IF(F71="","",K71*100/F71)</f>
        <v>55</v>
      </c>
      <c r="Q71" s="11">
        <f>IF(G71="","",L71*100/G71)</f>
        <v>70</v>
      </c>
      <c r="R71" s="3" t="str">
        <f>IF(M71&gt;=$E$10,"1","0")</f>
        <v>1</v>
      </c>
      <c r="S71" s="3" t="str">
        <f>IF(N71&gt;=$E$10,"1","0")</f>
        <v>1</v>
      </c>
      <c r="T71" s="3" t="str">
        <f>IF(O71&gt;=$E$10,"1","0")</f>
        <v>1</v>
      </c>
      <c r="U71" s="3" t="str">
        <f>IF(P71&gt;=$E$10,"1","0")</f>
        <v>0</v>
      </c>
      <c r="V71" s="3" t="str">
        <f>IF(Q71&gt;=$E$10,"1","0")</f>
        <v>1</v>
      </c>
    </row>
    <row r="72" ht="15.75" customHeight="1">
      <c r="A72" s="3">
        <f>Theory!A62</f>
        <v>57</v>
      </c>
      <c r="B72" s="3" t="str">
        <f>Theory!B62</f>
        <v>7376231EE158</v>
      </c>
      <c r="C72" s="3">
        <v>20</v>
      </c>
      <c r="D72" s="3">
        <v>20</v>
      </c>
      <c r="E72" s="3">
        <v>20</v>
      </c>
      <c r="F72" s="3">
        <v>20</v>
      </c>
      <c r="G72" s="3">
        <v>20</v>
      </c>
      <c r="H72" s="3">
        <v>13</v>
      </c>
      <c r="I72" s="3">
        <v>8</v>
      </c>
      <c r="J72" s="3">
        <v>16</v>
      </c>
      <c r="K72" s="3">
        <v>11</v>
      </c>
      <c r="L72" s="3">
        <v>11</v>
      </c>
      <c r="M72" s="11">
        <f>IF(C72="","",H72*100/C72)</f>
        <v>65</v>
      </c>
      <c r="N72" s="11">
        <f>IF(D72="","",I72*100/D72)</f>
        <v>40</v>
      </c>
      <c r="O72" s="11">
        <f>IF(E72="","",J72*100/E72)</f>
        <v>80</v>
      </c>
      <c r="P72" s="11">
        <f>IF(F72="","",K72*100/F72)</f>
        <v>55</v>
      </c>
      <c r="Q72" s="11">
        <f>IF(G72="","",L72*100/G72)</f>
        <v>55</v>
      </c>
      <c r="R72" s="3" t="str">
        <f>IF(M72&gt;=$E$10,"1","0")</f>
        <v>1</v>
      </c>
      <c r="S72" s="3" t="str">
        <f>IF(N72&gt;=$E$10,"1","0")</f>
        <v>0</v>
      </c>
      <c r="T72" s="3" t="str">
        <f>IF(O72&gt;=$E$10,"1","0")</f>
        <v>1</v>
      </c>
      <c r="U72" s="3" t="str">
        <f>IF(P72&gt;=$E$10,"1","0")</f>
        <v>0</v>
      </c>
      <c r="V72" s="3" t="str">
        <f>IF(Q72&gt;=$E$10,"1","0")</f>
        <v>0</v>
      </c>
    </row>
    <row r="73" ht="15.75" customHeight="1">
      <c r="A73" s="3">
        <f>Theory!A63</f>
        <v>58</v>
      </c>
      <c r="B73" s="3" t="str">
        <f>Theory!B63</f>
        <v>7376231EE159</v>
      </c>
      <c r="C73" s="3">
        <v>20</v>
      </c>
      <c r="D73" s="3">
        <v>20</v>
      </c>
      <c r="E73" s="3">
        <v>20</v>
      </c>
      <c r="F73" s="3">
        <v>20</v>
      </c>
      <c r="G73" s="3">
        <v>20</v>
      </c>
      <c r="H73" s="3">
        <v>11</v>
      </c>
      <c r="I73" s="3">
        <v>11</v>
      </c>
      <c r="J73" s="3">
        <v>15</v>
      </c>
      <c r="K73" s="3">
        <v>10</v>
      </c>
      <c r="L73" s="3">
        <v>11</v>
      </c>
      <c r="M73" s="11">
        <f>IF(C73="","",H73*100/C73)</f>
        <v>55</v>
      </c>
      <c r="N73" s="11">
        <f>IF(D73="","",I73*100/D73)</f>
        <v>55</v>
      </c>
      <c r="O73" s="11">
        <f>IF(E73="","",J73*100/E73)</f>
        <v>75</v>
      </c>
      <c r="P73" s="11">
        <f>IF(F73="","",K73*100/F73)</f>
        <v>50</v>
      </c>
      <c r="Q73" s="11">
        <f>IF(G73="","",L73*100/G73)</f>
        <v>55</v>
      </c>
      <c r="R73" s="3" t="str">
        <f>IF(M73&gt;=$E$10,"1","0")</f>
        <v>0</v>
      </c>
      <c r="S73" s="3" t="str">
        <f>IF(N73&gt;=$E$10,"1","0")</f>
        <v>0</v>
      </c>
      <c r="T73" s="3" t="str">
        <f>IF(O73&gt;=$E$10,"1","0")</f>
        <v>1</v>
      </c>
      <c r="U73" s="3" t="str">
        <f>IF(P73&gt;=$E$10,"1","0")</f>
        <v>0</v>
      </c>
      <c r="V73" s="3" t="str">
        <f>IF(Q73&gt;=$E$10,"1","0")</f>
        <v>0</v>
      </c>
    </row>
    <row r="74" ht="15.75" customHeight="1">
      <c r="A74" s="3">
        <f>Theory!A64</f>
        <v>59</v>
      </c>
      <c r="B74" s="3" t="str">
        <f>Theory!B64</f>
        <v>7376231EE160</v>
      </c>
      <c r="C74" s="3">
        <v>20</v>
      </c>
      <c r="D74" s="3">
        <v>20</v>
      </c>
      <c r="E74" s="3">
        <v>20</v>
      </c>
      <c r="F74" s="3">
        <v>20</v>
      </c>
      <c r="G74" s="3">
        <v>20</v>
      </c>
      <c r="H74" s="3">
        <v>17</v>
      </c>
      <c r="I74" s="3">
        <v>12</v>
      </c>
      <c r="J74" s="3">
        <v>13</v>
      </c>
      <c r="K74" s="3">
        <v>12</v>
      </c>
      <c r="L74" s="3">
        <v>15</v>
      </c>
      <c r="M74" s="11">
        <f>IF(C74="","",H74*100/C74)</f>
        <v>85</v>
      </c>
      <c r="N74" s="11">
        <f>IF(D74="","",I74*100/D74)</f>
        <v>60</v>
      </c>
      <c r="O74" s="11">
        <f>IF(E74="","",J74*100/E74)</f>
        <v>65</v>
      </c>
      <c r="P74" s="11">
        <f>IF(F74="","",K74*100/F74)</f>
        <v>60</v>
      </c>
      <c r="Q74" s="11">
        <f>IF(G74="","",L74*100/G74)</f>
        <v>75</v>
      </c>
      <c r="R74" s="3" t="str">
        <f>IF(M74&gt;=$E$10,"1","0")</f>
        <v>1</v>
      </c>
      <c r="S74" s="3" t="str">
        <f>IF(N74&gt;=$E$10,"1","0")</f>
        <v>1</v>
      </c>
      <c r="T74" s="3" t="str">
        <f>IF(O74&gt;=$E$10,"1","0")</f>
        <v>1</v>
      </c>
      <c r="U74" s="3" t="str">
        <f>IF(P74&gt;=$E$10,"1","0")</f>
        <v>1</v>
      </c>
      <c r="V74" s="3" t="str">
        <f>IF(Q74&gt;=$E$10,"1","0")</f>
        <v>1</v>
      </c>
    </row>
    <row r="75" ht="15.75" customHeight="1">
      <c r="A75" s="3">
        <f>Theory!A65</f>
        <v>60</v>
      </c>
      <c r="B75" s="3" t="str">
        <f>Theory!B65</f>
        <v>7376231EE161</v>
      </c>
      <c r="C75" s="3">
        <v>20</v>
      </c>
      <c r="D75" s="3">
        <v>20</v>
      </c>
      <c r="E75" s="3">
        <v>20</v>
      </c>
      <c r="F75" s="3">
        <v>20</v>
      </c>
      <c r="G75" s="3">
        <v>20</v>
      </c>
      <c r="H75" s="3">
        <v>14</v>
      </c>
      <c r="I75" s="3">
        <v>9</v>
      </c>
      <c r="J75" s="3">
        <v>13</v>
      </c>
      <c r="K75" s="3">
        <v>8</v>
      </c>
      <c r="L75" s="3">
        <v>12</v>
      </c>
      <c r="M75" s="11">
        <f>IF(C75="","",H75*100/C75)</f>
        <v>70</v>
      </c>
      <c r="N75" s="11">
        <f>IF(D75="","",I75*100/D75)</f>
        <v>45</v>
      </c>
      <c r="O75" s="11">
        <f>IF(E75="","",J75*100/E75)</f>
        <v>65</v>
      </c>
      <c r="P75" s="11">
        <f>IF(F75="","",K75*100/F75)</f>
        <v>40</v>
      </c>
      <c r="Q75" s="11">
        <f>IF(G75="","",L75*100/G75)</f>
        <v>60</v>
      </c>
      <c r="R75" s="3" t="str">
        <f>IF(M75&gt;=$E$10,"1","0")</f>
        <v>1</v>
      </c>
      <c r="S75" s="3" t="str">
        <f>IF(N75&gt;=$E$10,"1","0")</f>
        <v>0</v>
      </c>
      <c r="T75" s="3" t="str">
        <f>IF(O75&gt;=$E$10,"1","0")</f>
        <v>1</v>
      </c>
      <c r="U75" s="3" t="str">
        <f>IF(P75&gt;=$E$10,"1","0")</f>
        <v>0</v>
      </c>
      <c r="V75" s="3" t="str">
        <f>IF(Q75&gt;=$E$10,"1","0")</f>
        <v>1</v>
      </c>
    </row>
    <row r="76" ht="15.75" customHeight="1">
      <c r="A76" s="3">
        <f>Theory!A66</f>
        <v>61</v>
      </c>
      <c r="B76" s="3" t="str">
        <f>Theory!B66</f>
        <v>7376241EE501</v>
      </c>
      <c r="C76" s="3">
        <v>20</v>
      </c>
      <c r="D76" s="3">
        <v>20</v>
      </c>
      <c r="E76" s="3">
        <v>20</v>
      </c>
      <c r="F76" s="3">
        <v>20</v>
      </c>
      <c r="G76" s="3">
        <v>20</v>
      </c>
      <c r="H76" s="3">
        <v>13</v>
      </c>
      <c r="I76" s="3">
        <v>13</v>
      </c>
      <c r="J76" s="3">
        <v>13</v>
      </c>
      <c r="K76" s="3">
        <v>11</v>
      </c>
      <c r="L76" s="3">
        <v>14</v>
      </c>
      <c r="M76" s="11">
        <f>IF(C76="","",H76*100/C76)</f>
        <v>65</v>
      </c>
      <c r="N76" s="11">
        <f>IF(D76="","",I76*100/D76)</f>
        <v>65</v>
      </c>
      <c r="O76" s="11">
        <f>IF(E76="","",J76*100/E76)</f>
        <v>65</v>
      </c>
      <c r="P76" s="11">
        <f>IF(F76="","",K76*100/F76)</f>
        <v>55</v>
      </c>
      <c r="Q76" s="11">
        <f>IF(G76="","",L76*100/G76)</f>
        <v>70</v>
      </c>
      <c r="R76" s="3" t="str">
        <f>IF(M76&gt;=$E$10,"1","0")</f>
        <v>1</v>
      </c>
      <c r="S76" s="3" t="str">
        <f>IF(N76&gt;=$E$10,"1","0")</f>
        <v>1</v>
      </c>
      <c r="T76" s="3" t="str">
        <f>IF(O76&gt;=$E$10,"1","0")</f>
        <v>1</v>
      </c>
      <c r="U76" s="3" t="str">
        <f>IF(P76&gt;=$E$10,"1","0")</f>
        <v>0</v>
      </c>
      <c r="V76" s="3" t="str">
        <f>IF(Q76&gt;=$E$10,"1","0")</f>
        <v>1</v>
      </c>
    </row>
    <row r="77" ht="15.75" customHeight="1">
      <c r="A77" s="3">
        <f>Theory!A67</f>
        <v>62</v>
      </c>
      <c r="B77" s="3" t="str">
        <f>Theory!B67</f>
        <v>7376241EE502</v>
      </c>
      <c r="C77" s="3">
        <v>20</v>
      </c>
      <c r="D77" s="3">
        <v>20</v>
      </c>
      <c r="E77" s="3">
        <v>20</v>
      </c>
      <c r="F77" s="3">
        <v>20</v>
      </c>
      <c r="G77" s="3">
        <v>20</v>
      </c>
      <c r="H77" s="3">
        <v>2</v>
      </c>
      <c r="I77" s="3">
        <v>6</v>
      </c>
      <c r="J77" s="3">
        <v>6</v>
      </c>
      <c r="K77" s="3">
        <v>10</v>
      </c>
      <c r="L77" s="3">
        <v>9</v>
      </c>
      <c r="M77" s="11">
        <f>IF(C77="","",H77*100/C77)</f>
        <v>10</v>
      </c>
      <c r="N77" s="11">
        <f>IF(D77="","",I77*100/D77)</f>
        <v>30</v>
      </c>
      <c r="O77" s="11">
        <f>IF(E77="","",J77*100/E77)</f>
        <v>30</v>
      </c>
      <c r="P77" s="11">
        <f>IF(F77="","",K77*100/F77)</f>
        <v>50</v>
      </c>
      <c r="Q77" s="11">
        <f>IF(G77="","",L77*100/G77)</f>
        <v>45</v>
      </c>
      <c r="R77" s="3" t="str">
        <f>IF(M77&gt;=$E$10,"1","0")</f>
        <v>0</v>
      </c>
      <c r="S77" s="3" t="str">
        <f>IF(N77&gt;=$E$10,"1","0")</f>
        <v>0</v>
      </c>
      <c r="T77" s="3" t="str">
        <f>IF(O77&gt;=$E$10,"1","0")</f>
        <v>0</v>
      </c>
      <c r="U77" s="3" t="str">
        <f>IF(P77&gt;=$E$10,"1","0")</f>
        <v>0</v>
      </c>
      <c r="V77" s="3" t="str">
        <f>IF(Q77&gt;=$E$10,"1","0")</f>
        <v>0</v>
      </c>
    </row>
    <row r="78" ht="15.75" customHeight="1">
      <c r="A78" s="3">
        <f>Theory!A68</f>
        <v>63</v>
      </c>
      <c r="B78" s="3" t="str">
        <f>Theory!B68</f>
        <v>7376241EE503</v>
      </c>
      <c r="C78" s="3">
        <v>20</v>
      </c>
      <c r="D78" s="3">
        <v>20</v>
      </c>
      <c r="E78" s="3">
        <v>20</v>
      </c>
      <c r="F78" s="3">
        <v>20</v>
      </c>
      <c r="G78" s="3">
        <v>20</v>
      </c>
      <c r="H78" s="3">
        <v>10</v>
      </c>
      <c r="I78" s="3">
        <v>11</v>
      </c>
      <c r="J78" s="3">
        <v>11</v>
      </c>
      <c r="K78" s="3">
        <v>9</v>
      </c>
      <c r="L78" s="3">
        <v>14</v>
      </c>
      <c r="M78" s="11">
        <f>IF(C78="","",H78*100/C78)</f>
        <v>50</v>
      </c>
      <c r="N78" s="11">
        <f>IF(D78="","",I78*100/D78)</f>
        <v>55</v>
      </c>
      <c r="O78" s="11">
        <f>IF(E78="","",J78*100/E78)</f>
        <v>55</v>
      </c>
      <c r="P78" s="11">
        <f>IF(F78="","",K78*100/F78)</f>
        <v>45</v>
      </c>
      <c r="Q78" s="11">
        <f>IF(G78="","",L78*100/G78)</f>
        <v>70</v>
      </c>
      <c r="R78" s="3" t="str">
        <f>IF(M78&gt;=$E$10,"1","0")</f>
        <v>0</v>
      </c>
      <c r="S78" s="3" t="str">
        <f>IF(N78&gt;=$E$10,"1","0")</f>
        <v>0</v>
      </c>
      <c r="T78" s="3" t="str">
        <f>IF(O78&gt;=$E$10,"1","0")</f>
        <v>0</v>
      </c>
      <c r="U78" s="3" t="str">
        <f>IF(P78&gt;=$E$10,"1","0")</f>
        <v>0</v>
      </c>
      <c r="V78" s="3" t="str">
        <f>IF(Q78&gt;=$E$10,"1","0")</f>
        <v>1</v>
      </c>
    </row>
    <row r="79" ht="15.75" customHeight="1">
      <c r="A79" s="3">
        <f>Theory!A69</f>
        <v>64</v>
      </c>
      <c r="B79" s="3" t="str">
        <f>Theory!B69</f>
        <v>7376241EE504</v>
      </c>
      <c r="C79" s="3">
        <v>20</v>
      </c>
      <c r="D79" s="3">
        <v>20</v>
      </c>
      <c r="E79" s="3">
        <v>20</v>
      </c>
      <c r="F79" s="3">
        <v>20</v>
      </c>
      <c r="G79" s="3">
        <v>20</v>
      </c>
      <c r="H79" s="3">
        <v>17</v>
      </c>
      <c r="I79" s="3">
        <v>13</v>
      </c>
      <c r="J79" s="3">
        <v>15</v>
      </c>
      <c r="K79" s="3">
        <v>14</v>
      </c>
      <c r="L79" s="3">
        <v>11</v>
      </c>
      <c r="M79" s="11">
        <f>IF(C79="","",H79*100/C79)</f>
        <v>85</v>
      </c>
      <c r="N79" s="11">
        <f>IF(D79="","",I79*100/D79)</f>
        <v>65</v>
      </c>
      <c r="O79" s="11">
        <f>IF(E79="","",J79*100/E79)</f>
        <v>75</v>
      </c>
      <c r="P79" s="11">
        <f>IF(F79="","",K79*100/F79)</f>
        <v>70</v>
      </c>
      <c r="Q79" s="11">
        <f>IF(G79="","",L79*100/G79)</f>
        <v>55</v>
      </c>
      <c r="R79" s="3" t="str">
        <f>IF(M79&gt;=$E$10,"1","0")</f>
        <v>1</v>
      </c>
      <c r="S79" s="3" t="str">
        <f>IF(N79&gt;=$E$10,"1","0")</f>
        <v>1</v>
      </c>
      <c r="T79" s="3" t="str">
        <f>IF(O79&gt;=$E$10,"1","0")</f>
        <v>1</v>
      </c>
      <c r="U79" s="3" t="str">
        <f>IF(P79&gt;=$E$10,"1","0")</f>
        <v>1</v>
      </c>
      <c r="V79" s="3" t="str">
        <f>IF(Q79&gt;=$E$10,"1","0")</f>
        <v>0</v>
      </c>
    </row>
    <row r="80" ht="15.75" customHeight="1">
      <c r="A80" s="3">
        <f>Theory!A70</f>
        <v>65</v>
      </c>
      <c r="B80" s="3" t="str">
        <f>Theory!B70</f>
        <v>7376241EE505</v>
      </c>
      <c r="C80" s="3">
        <v>20</v>
      </c>
      <c r="D80" s="3">
        <v>20</v>
      </c>
      <c r="E80" s="3">
        <v>20</v>
      </c>
      <c r="F80" s="3">
        <v>20</v>
      </c>
      <c r="G80" s="3">
        <v>20</v>
      </c>
      <c r="H80" s="3">
        <v>14</v>
      </c>
      <c r="I80" s="3">
        <v>15</v>
      </c>
      <c r="J80" s="3">
        <v>17</v>
      </c>
      <c r="K80" s="3">
        <v>17</v>
      </c>
      <c r="L80" s="3">
        <v>16</v>
      </c>
      <c r="M80" s="11">
        <f>IF(C80="","",H80*100/C80)</f>
        <v>70</v>
      </c>
      <c r="N80" s="11">
        <f>IF(D80="","",I80*100/D80)</f>
        <v>75</v>
      </c>
      <c r="O80" s="11">
        <f>IF(E80="","",J80*100/E80)</f>
        <v>85</v>
      </c>
      <c r="P80" s="11">
        <f>IF(F80="","",K80*100/F80)</f>
        <v>85</v>
      </c>
      <c r="Q80" s="11">
        <f>IF(G80="","",L80*100/G80)</f>
        <v>80</v>
      </c>
      <c r="R80" s="3" t="str">
        <f>IF(M80&gt;=$E$10,"1","0")</f>
        <v>1</v>
      </c>
      <c r="S80" s="3" t="str">
        <f>IF(N80&gt;=$E$10,"1","0")</f>
        <v>1</v>
      </c>
      <c r="T80" s="3" t="str">
        <f>IF(O80&gt;=$E$10,"1","0")</f>
        <v>1</v>
      </c>
      <c r="U80" s="3" t="str">
        <f>IF(P80&gt;=$E$10,"1","0")</f>
        <v>1</v>
      </c>
      <c r="V80" s="3" t="str">
        <f>IF(Q80&gt;=$E$10,"1","0")</f>
        <v>1</v>
      </c>
    </row>
    <row r="81" ht="15.75" customHeight="1">
      <c r="A81" s="3">
        <f>Theory!A71</f>
        <v>66</v>
      </c>
      <c r="B81" s="3" t="str">
        <f>Theory!B71</f>
        <v>7376241EE506</v>
      </c>
      <c r="C81" s="3">
        <v>20</v>
      </c>
      <c r="D81" s="3">
        <v>20</v>
      </c>
      <c r="E81" s="3">
        <v>20</v>
      </c>
      <c r="F81" s="3">
        <v>20</v>
      </c>
      <c r="G81" s="3">
        <v>20</v>
      </c>
      <c r="H81" s="3">
        <v>16</v>
      </c>
      <c r="I81" s="3">
        <v>15</v>
      </c>
      <c r="J81" s="3">
        <v>12</v>
      </c>
      <c r="K81" s="3">
        <v>6</v>
      </c>
      <c r="L81" s="3">
        <v>14</v>
      </c>
      <c r="M81" s="11">
        <f>IF(C81="","",H81*100/C81)</f>
        <v>80</v>
      </c>
      <c r="N81" s="11">
        <f>IF(D81="","",I81*100/D81)</f>
        <v>75</v>
      </c>
      <c r="O81" s="11">
        <f>IF(E81="","",J81*100/E81)</f>
        <v>60</v>
      </c>
      <c r="P81" s="11">
        <f>IF(F81="","",K81*100/F81)</f>
        <v>30</v>
      </c>
      <c r="Q81" s="11">
        <f>IF(G81="","",L81*100/G81)</f>
        <v>70</v>
      </c>
      <c r="R81" s="3" t="str">
        <f>IF(M81&gt;=$E$10,"1","0")</f>
        <v>1</v>
      </c>
      <c r="S81" s="3" t="str">
        <f>IF(N81&gt;=$E$10,"1","0")</f>
        <v>1</v>
      </c>
      <c r="T81" s="3" t="str">
        <f>IF(O81&gt;=$E$10,"1","0")</f>
        <v>1</v>
      </c>
      <c r="U81" s="3" t="str">
        <f>IF(P81&gt;=$E$10,"1","0")</f>
        <v>0</v>
      </c>
      <c r="V81" s="3" t="str">
        <f>IF(Q81&gt;=$E$10,"1","0")</f>
        <v>1</v>
      </c>
    </row>
    <row r="82" hidden="1" ht="15.75" customHeight="1"/>
    <row r="83" hidden="1" ht="15.75" customHeight="1"/>
    <row r="84" hidden="1" ht="15.75" customHeight="1"/>
    <row r="85" hidden="1" ht="15.75" customHeight="1"/>
    <row r="86" hidden="1" ht="15.75" customHeight="1"/>
    <row r="87" hidden="1" ht="15.75" customHeight="1"/>
    <row r="88" hidden="1" ht="15.75" customHeight="1"/>
    <row r="89" hidden="1" ht="15.75" customHeight="1"/>
    <row r="90" hidden="1" ht="15.75" customHeight="1"/>
    <row r="91" hidden="1" ht="15.75" customHeight="1"/>
    <row r="92" hidden="1" ht="15.75" customHeight="1"/>
    <row r="93" hidden="1" ht="15.75" customHeight="1"/>
    <row r="94" hidden="1" ht="15.75" customHeight="1"/>
    <row r="95" hidden="1" ht="15.75" customHeight="1"/>
    <row r="96" hidden="1" ht="15.75" customHeight="1"/>
    <row r="97" hidden="1" ht="15.75" customHeight="1"/>
    <row r="98" hidden="1" ht="15.75" customHeight="1"/>
    <row r="99" hidden="1" ht="15.75" customHeight="1"/>
    <row r="100" hidden="1" ht="15.75" customHeight="1"/>
    <row r="101" hidden="1" ht="15.75" customHeight="1"/>
    <row r="102" hidden="1" ht="15.75" customHeight="1"/>
    <row r="103" hidden="1" ht="15.75" customHeight="1"/>
    <row r="104" hidden="1" ht="15.75" customHeight="1"/>
    <row r="105" hidden="1" ht="15.75" customHeight="1"/>
    <row r="106" hidden="1" ht="15.75" customHeight="1"/>
    <row r="107" hidden="1" ht="15.75" customHeight="1"/>
    <row r="108" hidden="1" ht="15.75" customHeight="1"/>
    <row r="109" hidden="1" ht="15.75" customHeight="1"/>
    <row r="110" hidden="1" ht="15.75" customHeight="1"/>
    <row r="111" hidden="1" ht="15.75" customHeight="1"/>
    <row r="112" hidden="1" ht="15.75" customHeight="1"/>
    <row r="113" hidden="1" ht="15.75" customHeight="1"/>
    <row r="114" hidden="1" ht="15.75" customHeight="1"/>
    <row r="115" hidden="1" ht="15.75" customHeight="1"/>
    <row r="116" hidden="1" ht="15.75" customHeight="1"/>
    <row r="117" hidden="1" ht="15.75" customHeight="1"/>
    <row r="118" hidden="1" ht="15.75" customHeight="1"/>
    <row r="119" hidden="1" ht="15.75" customHeight="1"/>
    <row r="120" hidden="1" ht="15.75" customHeight="1"/>
    <row r="121" hidden="1" ht="15.75" customHeight="1"/>
    <row r="122" hidden="1" ht="15.75" customHeight="1"/>
    <row r="123" hidden="1" ht="15.75" customHeight="1"/>
    <row r="124" hidden="1" ht="15.75" customHeight="1"/>
    <row r="125" hidden="1" ht="15.75" customHeight="1"/>
    <row r="126" hidden="1" ht="15.75" customHeight="1"/>
    <row r="127" hidden="1" ht="15.75" customHeight="1"/>
    <row r="128" hidden="1" ht="15.75" customHeight="1"/>
    <row r="129" hidden="1" ht="15.75" customHeight="1"/>
    <row r="130" hidden="1" ht="15.75" customHeight="1"/>
    <row r="131" hidden="1" ht="15.75" customHeight="1"/>
    <row r="132" hidden="1" ht="15.75" customHeight="1"/>
    <row r="133" hidden="1" ht="15.75" customHeight="1"/>
    <row r="134" hidden="1" ht="15.75" customHeight="1"/>
    <row r="135" hidden="1" ht="15.75" customHeight="1"/>
    <row r="136" hidden="1" ht="15.75" customHeight="1"/>
    <row r="137" hidden="1" ht="15.75" customHeight="1"/>
    <row r="138" hidden="1" ht="15.75" customHeight="1"/>
    <row r="139" hidden="1" ht="15.75" customHeight="1"/>
    <row r="140" hidden="1" ht="15.75" customHeight="1"/>
    <row r="141" hidden="1" ht="15.75" customHeight="1"/>
    <row r="142" hidden="1" ht="15.75" customHeight="1"/>
    <row r="143" hidden="1" ht="15.75" customHeight="1"/>
    <row r="144" hidden="1" ht="15.75" customHeight="1"/>
    <row r="145" hidden="1" ht="15.75" customHeight="1"/>
    <row r="146" hidden="1" ht="15.75" customHeight="1"/>
    <row r="147" hidden="1" ht="15.75" customHeight="1"/>
    <row r="148" hidden="1" ht="15.75" customHeight="1"/>
    <row r="149" hidden="1" ht="15.75" customHeight="1"/>
    <row r="150" hidden="1" ht="15.75" customHeight="1"/>
    <row r="151" hidden="1" ht="15.75" customHeight="1"/>
    <row r="152" hidden="1" ht="15.75" customHeight="1"/>
    <row r="153" hidden="1" ht="15.75" customHeight="1"/>
    <row r="154" hidden="1" ht="15.75" customHeight="1"/>
    <row r="155" hidden="1" ht="15.75" customHeight="1"/>
    <row r="156" hidden="1" ht="15.75" customHeight="1"/>
    <row r="157" hidden="1" ht="15.75" customHeight="1"/>
    <row r="158" hidden="1" ht="15.75" customHeight="1"/>
    <row r="159" hidden="1" ht="15.75" customHeight="1"/>
    <row r="160" hidden="1" ht="15.75" customHeight="1"/>
    <row r="161" hidden="1" ht="15.75" customHeight="1"/>
    <row r="162" hidden="1" ht="15.75" customHeight="1"/>
    <row r="163" hidden="1" ht="15.75" customHeight="1"/>
    <row r="164" hidden="1" ht="15.75" customHeight="1"/>
    <row r="165" hidden="1" ht="15.75" customHeight="1"/>
    <row r="166" hidden="1" ht="15.75" customHeight="1"/>
    <row r="167" hidden="1" ht="15.75" customHeight="1"/>
    <row r="168" hidden="1" ht="15.75" customHeight="1"/>
    <row r="169" hidden="1" ht="15.75" customHeight="1"/>
    <row r="170" hidden="1" ht="15.75" customHeight="1"/>
    <row r="171" hidden="1" ht="15.75" customHeight="1"/>
    <row r="172" hidden="1" ht="15.75" customHeight="1"/>
    <row r="173" hidden="1" ht="15.75" customHeight="1"/>
    <row r="174" hidden="1" ht="15.75" customHeight="1"/>
    <row r="175" hidden="1" ht="15.75" customHeight="1"/>
    <row r="176" hidden="1" ht="15.75" customHeight="1"/>
    <row r="177" hidden="1" ht="15.75" customHeight="1"/>
    <row r="178" hidden="1" ht="15.75" customHeight="1"/>
    <row r="179" hidden="1" ht="15.75" customHeight="1"/>
    <row r="180" hidden="1" ht="15.75" customHeight="1"/>
    <row r="181" hidden="1" ht="15.75" customHeight="1"/>
    <row r="182" hidden="1" ht="15.75" customHeight="1"/>
    <row r="183" hidden="1" ht="15.75" customHeight="1"/>
    <row r="184" hidden="1" ht="15.75" customHeight="1"/>
    <row r="185" hidden="1" ht="15.75" customHeight="1"/>
    <row r="186" hidden="1" ht="15.75" customHeight="1"/>
    <row r="187" hidden="1" ht="15.75" customHeight="1"/>
    <row r="188" hidden="1" ht="15.75" customHeight="1"/>
    <row r="189" hidden="1" ht="15.75" customHeight="1"/>
    <row r="190" hidden="1" ht="15.75" customHeight="1"/>
    <row r="191" hidden="1" ht="15.75" customHeight="1"/>
    <row r="192" hidden="1" ht="15.75" customHeight="1"/>
    <row r="193" hidden="1" ht="15.75" customHeight="1"/>
    <row r="194" hidden="1" ht="15.75" customHeight="1"/>
    <row r="195" hidden="1" ht="15.75" customHeight="1"/>
    <row r="196" hidden="1" ht="15.75" customHeight="1"/>
    <row r="197" hidden="1" ht="15.75" customHeight="1"/>
    <row r="198" hidden="1" ht="15.75" customHeight="1"/>
    <row r="199" hidden="1" ht="15.75" customHeight="1"/>
    <row r="200" hidden="1" ht="15.75" customHeight="1"/>
    <row r="201" hidden="1" ht="15.75" customHeight="1"/>
    <row r="202" hidden="1" ht="15.75" customHeight="1"/>
    <row r="203" hidden="1" ht="15.75" customHeight="1"/>
    <row r="204" hidden="1" ht="15.75" customHeight="1"/>
    <row r="205" hidden="1" ht="15.75" customHeight="1"/>
    <row r="206" hidden="1" ht="15.75" customHeight="1"/>
    <row r="207" hidden="1" ht="15.75" customHeight="1"/>
    <row r="208" hidden="1" ht="15.75" customHeight="1"/>
    <row r="209" hidden="1" ht="15.75" customHeight="1"/>
    <row r="210" hidden="1" ht="15.75" customHeight="1"/>
    <row r="211" hidden="1" ht="15.75" customHeight="1"/>
    <row r="212" hidden="1" ht="15.75" customHeight="1"/>
    <row r="213" hidden="1" ht="15.75" customHeight="1"/>
    <row r="214" hidden="1" ht="15.75" customHeight="1"/>
    <row r="215" hidden="1" ht="15.75" customHeight="1"/>
    <row r="216" hidden="1" ht="15.75" customHeight="1"/>
    <row r="217" hidden="1" ht="15.75" customHeight="1"/>
    <row r="218" hidden="1" ht="15.75" customHeight="1"/>
    <row r="219" hidden="1" ht="15.75" customHeight="1"/>
    <row r="220" hidden="1" ht="15.75" customHeight="1"/>
    <row r="221" hidden="1" ht="15.75" customHeight="1"/>
    <row r="222" hidden="1" ht="15.75" customHeight="1"/>
    <row r="223" hidden="1" ht="15.75" customHeight="1"/>
    <row r="224" hidden="1" ht="15.75" customHeight="1"/>
    <row r="225" hidden="1" ht="15.75" customHeight="1"/>
    <row r="226" hidden="1" ht="15.75" customHeight="1"/>
    <row r="227" hidden="1" ht="15.75" customHeight="1"/>
    <row r="228" hidden="1" ht="15.75" customHeight="1"/>
    <row r="229" hidden="1" ht="15.75" customHeight="1"/>
    <row r="230" hidden="1" ht="15.75" customHeight="1"/>
    <row r="231" hidden="1" ht="15.75" customHeight="1"/>
    <row r="232" hidden="1" ht="15.75" customHeight="1"/>
    <row r="233" hidden="1" ht="15.75" customHeight="1"/>
    <row r="234" hidden="1" ht="15.75" customHeight="1"/>
    <row r="235" hidden="1" ht="15.75" customHeight="1"/>
    <row r="236" hidden="1" ht="15.75" customHeight="1"/>
    <row r="237" hidden="1" ht="15.75" customHeight="1"/>
    <row r="238" hidden="1" ht="15.75" customHeight="1"/>
    <row r="239" hidden="1" ht="15.75" customHeight="1"/>
    <row r="240" hidden="1" ht="15.75" customHeight="1"/>
    <row r="241" hidden="1" ht="15.75" customHeight="1"/>
    <row r="242" hidden="1" ht="15.75" customHeight="1"/>
    <row r="243" hidden="1" ht="15.75" customHeight="1"/>
    <row r="244" hidden="1" ht="15.75" customHeight="1"/>
    <row r="245" hidden="1" ht="15.75" customHeight="1"/>
    <row r="246" hidden="1" ht="15.75" customHeight="1"/>
    <row r="247" hidden="1" ht="15.75" customHeight="1"/>
    <row r="248" hidden="1" ht="15.75" customHeight="1"/>
    <row r="249" hidden="1" ht="15.75" customHeight="1"/>
    <row r="250" hidden="1" ht="15.75" customHeight="1"/>
    <row r="251" hidden="1" ht="15.75" customHeight="1"/>
    <row r="252" hidden="1" ht="15.75" customHeight="1"/>
    <row r="253" hidden="1" ht="15.75" customHeight="1"/>
    <row r="254" hidden="1" ht="15.75" customHeight="1"/>
    <row r="255" hidden="1" ht="15.75" customHeight="1"/>
    <row r="256" hidden="1" ht="15.75" customHeight="1"/>
    <row r="257" hidden="1" ht="15.75" customHeight="1"/>
    <row r="258" hidden="1" ht="15.75" customHeight="1"/>
    <row r="259" hidden="1" ht="15.75" customHeight="1"/>
    <row r="260" hidden="1" ht="15.75" customHeight="1"/>
    <row r="261" hidden="1" ht="15.75" customHeight="1"/>
    <row r="262" hidden="1" ht="15.75" customHeight="1"/>
    <row r="263" hidden="1" ht="15.75" customHeight="1"/>
    <row r="264" hidden="1" ht="15.75" customHeight="1"/>
    <row r="265" hidden="1" ht="15.75" customHeight="1"/>
    <row r="266" hidden="1" ht="15.75" customHeight="1"/>
    <row r="267" hidden="1" ht="15.75" customHeight="1"/>
    <row r="268" hidden="1" ht="15.75" customHeight="1"/>
    <row r="269" hidden="1" ht="15.75" customHeight="1"/>
    <row r="270" hidden="1" ht="15.75" customHeight="1"/>
    <row r="271" hidden="1" ht="15.75" customHeight="1"/>
    <row r="272" hidden="1" ht="15.75" customHeight="1"/>
    <row r="273" hidden="1" ht="15.75" customHeight="1"/>
    <row r="274" hidden="1" ht="15.75" customHeight="1"/>
    <row r="275" hidden="1" ht="15.75" customHeight="1"/>
    <row r="276" hidden="1" ht="15.75" customHeight="1"/>
    <row r="277" hidden="1" ht="15.75" customHeight="1"/>
    <row r="278" hidden="1" ht="15.75" customHeight="1"/>
    <row r="279" hidden="1" ht="15.75" customHeight="1"/>
    <row r="280" hidden="1" ht="15.75" customHeight="1"/>
    <row r="281" hidden="1" ht="15.75" customHeight="1"/>
    <row r="282" hidden="1" ht="15.75" customHeight="1"/>
    <row r="283" hidden="1" ht="15.75" customHeight="1"/>
    <row r="284" hidden="1" ht="15.75" customHeight="1"/>
    <row r="285" hidden="1" ht="15.75" customHeight="1"/>
    <row r="286" hidden="1" ht="15.75" customHeight="1"/>
    <row r="287" hidden="1" ht="15.75" customHeight="1"/>
    <row r="288" hidden="1" ht="15.75" customHeight="1"/>
    <row r="289" hidden="1" ht="15.75" customHeight="1"/>
    <row r="290" hidden="1" ht="15.75" customHeight="1"/>
    <row r="291" hidden="1" ht="15.75" customHeight="1"/>
    <row r="292" hidden="1" ht="15.75" customHeight="1"/>
    <row r="293" hidden="1" ht="15.75" customHeight="1"/>
    <row r="294" hidden="1" ht="15.75" customHeight="1"/>
    <row r="295" hidden="1" ht="15.75" customHeight="1"/>
    <row r="296" hidden="1" ht="15.75" customHeight="1"/>
    <row r="297" hidden="1" ht="15.75" customHeight="1"/>
    <row r="298" hidden="1" ht="15.75" customHeight="1"/>
    <row r="299" hidden="1" ht="15.75" customHeight="1"/>
    <row r="300" hidden="1" ht="15.75" customHeight="1"/>
    <row r="301" hidden="1" ht="15.75" customHeight="1"/>
    <row r="302" hidden="1" ht="15.75" customHeight="1"/>
    <row r="303" hidden="1" ht="15.75" customHeight="1"/>
    <row r="304" hidden="1" ht="15.75" customHeight="1"/>
    <row r="305" hidden="1" ht="15.75" customHeight="1"/>
    <row r="306" hidden="1" ht="15.75" customHeight="1"/>
    <row r="307" hidden="1" ht="15.75" customHeight="1"/>
    <row r="308" hidden="1" ht="15.75" customHeight="1"/>
    <row r="309" hidden="1" ht="15.75" customHeight="1"/>
    <row r="310" hidden="1" ht="15.75" customHeight="1"/>
    <row r="311" hidden="1" ht="15.75" customHeight="1"/>
    <row r="312" hidden="1" ht="15.75" customHeight="1"/>
    <row r="313" hidden="1" ht="15.75" customHeight="1"/>
    <row r="314" hidden="1" ht="15.75" customHeight="1"/>
    <row r="315" hidden="1" ht="15.75" customHeight="1"/>
    <row r="316" hidden="1" ht="15.75" customHeight="1"/>
    <row r="317" hidden="1" ht="15.75" customHeight="1"/>
    <row r="318" hidden="1" ht="15.75" customHeight="1"/>
    <row r="319" hidden="1" ht="15.75" customHeight="1"/>
    <row r="320" hidden="1" ht="15.75" customHeight="1"/>
    <row r="321" hidden="1" ht="15.75" customHeight="1"/>
    <row r="322" hidden="1" ht="15.75" customHeight="1"/>
    <row r="323" hidden="1" ht="15.75" customHeight="1"/>
    <row r="324" hidden="1" ht="15.75" customHeight="1"/>
    <row r="325" hidden="1" ht="15.75" customHeight="1"/>
    <row r="326" hidden="1" ht="15.75" customHeight="1"/>
    <row r="327" hidden="1" ht="15.75" customHeight="1"/>
    <row r="328" hidden="1" ht="15.75" customHeight="1"/>
    <row r="329" hidden="1" ht="15.75" customHeight="1"/>
    <row r="330" hidden="1" ht="15.75" customHeight="1"/>
    <row r="331" hidden="1" ht="15.75" customHeight="1"/>
    <row r="332" hidden="1" ht="15.75" customHeight="1"/>
    <row r="333" hidden="1" ht="15.75" customHeight="1"/>
    <row r="334" hidden="1" ht="15.75" customHeight="1"/>
    <row r="335" hidden="1" ht="15.75" customHeight="1"/>
    <row r="336" hidden="1" ht="15.75" customHeight="1"/>
    <row r="337" hidden="1" ht="15.75" customHeight="1"/>
    <row r="338" hidden="1" ht="15.75" customHeight="1"/>
    <row r="339" hidden="1" ht="15.75" customHeight="1"/>
    <row r="340" hidden="1" ht="15.75" customHeight="1"/>
    <row r="341" hidden="1" ht="15.75" customHeight="1"/>
    <row r="342" hidden="1" ht="15.75" customHeight="1"/>
    <row r="343" hidden="1" ht="15.75" customHeight="1"/>
    <row r="344" hidden="1" ht="15.75" customHeight="1"/>
    <row r="345" hidden="1" ht="15.75" customHeight="1"/>
    <row r="346" hidden="1" ht="15.75" customHeight="1"/>
    <row r="347" hidden="1" ht="15.75" customHeight="1"/>
    <row r="348" hidden="1" ht="15.75" customHeight="1"/>
    <row r="349" hidden="1" ht="15.75" customHeight="1"/>
    <row r="350" hidden="1" ht="15.75" customHeight="1"/>
    <row r="351" hidden="1" ht="15.75" customHeight="1"/>
    <row r="352" hidden="1" ht="15.75" customHeight="1"/>
    <row r="353" hidden="1" ht="15.75" customHeight="1"/>
    <row r="354" hidden="1" ht="15.75" customHeight="1"/>
    <row r="355" hidden="1" ht="15.75" customHeight="1"/>
    <row r="356" hidden="1" ht="15.75" customHeight="1"/>
    <row r="357" hidden="1" ht="15.75" customHeight="1"/>
    <row r="358" hidden="1" ht="15.75" customHeight="1"/>
    <row r="359" hidden="1" ht="15.75" customHeight="1"/>
    <row r="360" hidden="1" ht="15.75" customHeight="1"/>
    <row r="361" hidden="1" ht="15.75" customHeight="1"/>
    <row r="362" hidden="1" ht="15.75" customHeight="1"/>
  </sheetData>
  <mergeCells count="27">
    <mergeCell ref="R14:V14"/>
    <mergeCell ref="A11:D11"/>
    <mergeCell ref="E11:F11"/>
    <mergeCell ref="L11:Q11"/>
    <mergeCell ref="A12:D12"/>
    <mergeCell ref="E12:F12"/>
    <mergeCell ref="L12:Q12"/>
    <mergeCell ref="A14:A15"/>
    <mergeCell ref="A10:D10"/>
    <mergeCell ref="E10:F10"/>
    <mergeCell ref="L10:Q10"/>
    <mergeCell ref="B14:B15"/>
    <mergeCell ref="C14:G14"/>
    <mergeCell ref="H14:L14"/>
    <mergeCell ref="M14:Q14"/>
    <mergeCell ref="A6:V6"/>
    <mergeCell ref="L7:V7"/>
    <mergeCell ref="A7:A9"/>
    <mergeCell ref="B7:K9"/>
    <mergeCell ref="L8:Q8"/>
    <mergeCell ref="L9:Q9"/>
    <mergeCell ref="A1:V1"/>
    <mergeCell ref="A2:V2"/>
    <mergeCell ref="A4:B4"/>
    <mergeCell ref="E4:F4"/>
    <mergeCell ref="H4:J4"/>
    <mergeCell ref="K4:Q4"/>
  </mergeCells>
  <pageMargins left="0.7" right="0.7" top="0.75" bottom="0.75" header="0" footer="0"/>
  <ignoredErrors>
    <ignoredError numberStoredAsText="1" sqref="A1:Z36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Z1000"/>
  <sheetViews>
    <sheetView workbookViewId="0" rightToLeft="0"/>
  </sheetViews>
  <cols>
    <col min="1" max="1" customWidth="1" width="6.140625"/>
    <col min="2" max="2" customWidth="1" width="11.7109375"/>
    <col min="3" max="3" customWidth="1" width="8"/>
    <col min="4" max="4" customWidth="1" width="9.28515625"/>
    <col min="5" max="5" customWidth="1" width="8"/>
    <col min="6" max="6" customWidth="1" width="11.28515625"/>
    <col min="7" max="7" customWidth="1" width="8"/>
    <col min="8" max="8" customWidth="1" width="8"/>
    <col min="9" max="9" customWidth="1" width="12.42578125"/>
    <col min="10" max="10" customWidth="1" width="9.7109375"/>
    <col min="11" max="11" customWidth="1" width="9.5703125"/>
    <col min="12" max="12" customWidth="1" width="8"/>
    <col min="13" max="13" customWidth="1" width="8"/>
    <col min="14" max="14" customWidth="1" width="8"/>
    <col min="15" max="15" customWidth="1" width="8"/>
    <col min="16" max="16" customWidth="1" width="8"/>
    <col min="17" max="17" customWidth="1" width="8"/>
    <col min="18" max="18" customWidth="1" width="14"/>
    <col min="19" max="19" customWidth="1" width="12.28515625"/>
    <col min="20" max="20" customWidth="1" width="8"/>
    <col min="21" max="21" customWidth="1" width="8"/>
    <col min="22" max="22" customWidth="1" width="8"/>
    <col min="23" max="23" customWidth="1" width="14.42578125"/>
    <col min="24" max="24" customWidth="1" width="14.42578125"/>
    <col min="25" max="25" customWidth="1" width="14.42578125"/>
    <col min="26" max="26" customWidth="1" width="14.42578125"/>
  </cols>
  <sheetData>
    <row r="1" ht="26.25" customHeight="1" xml:space="preserve">
      <c r="X1" s="4" t="str" xml:space="preserve">
        <f>CONCATENATE("CO Attainment Level ",'Final Attainment'!H7,": ",'Final Attainment'!K7,CHAR(10),"CO Attainment Level ",'Final Attainment'!H8,": ",'Final Attainment'!K8,CHAR(10),"CO Attainment Level ",'Final Attainment'!H9,": ",'Final Attainment'!K9,,CHAR(10),"CO Attainment Level ",'Final Attainment'!H10,": ",'Final Attainment'!K10)</f>
        <v xml:space="preserve">CO Attainment Level 0: &lt;50% of students scoring less than the target marks_x000d_
CO Attainment Level 1: 50% of students scoring more than the target marks_x000d_
CO Attainment Level 2: 60% of students scoring more than the target marks_x000d_
CO Attainment Level 3: 70% of students scoring more than the target marks</v>
      </c>
    </row>
    <row r="2" ht="19.5" customHeight="1"/>
    <row r="3" ht="15.75" customHeight="1"/>
    <row r="4" ht="39" customHeight="1">
      <c r="A4" s="3" t="str">
        <v>Academic Year:</v>
      </c>
      <c r="C4" s="3" t="str">
        <v>2024-2025 EVEN</v>
      </c>
      <c r="F4" s="3" t="str">
        <v>Sem &amp; Year:</v>
      </c>
      <c r="G4" s="4" t="str">
        <v>IV &amp; II</v>
      </c>
      <c r="H4" s="3" t="str">
        <v>Course Code &amp; Title:</v>
      </c>
      <c r="K4" s="3" t="str">
        <f>Theory!C3</f>
        <v>22EE401 &amp; POWER GENERATION, TRANSMISSION AND DISTRIBUTION</v>
      </c>
      <c r="R4" s="3" t="str">
        <v>Faculty Name</v>
      </c>
      <c r="S4" s="3" t="str">
        <f>Theory!C4</f>
        <v>Dr.SIVARAMAN P / EE1329</v>
      </c>
    </row>
    <row r="5" ht="15.75" customHeight="1"/>
    <row r="6" ht="24.75" customHeight="1">
      <c r="G6" s="3" t="str">
        <v>Name</v>
      </c>
      <c r="H6" s="3" t="str">
        <v>Level</v>
      </c>
      <c r="I6" s="3" t="str">
        <v>Range From</v>
      </c>
      <c r="J6" s="3" t="str">
        <v>Range To</v>
      </c>
    </row>
    <row r="7" ht="15.75" customHeight="1">
      <c r="B7" s="3" t="str">
        <v>Target marks for CO :</v>
      </c>
      <c r="E7" s="4">
        <v>58</v>
      </c>
      <c r="G7" s="3" t="str">
        <v>Level 0</v>
      </c>
      <c r="H7" s="3">
        <v>0</v>
      </c>
      <c r="I7" s="3">
        <v>0</v>
      </c>
      <c r="J7" s="3">
        <v>50</v>
      </c>
      <c r="K7" s="4" t="str">
        <v>&lt;50% of students scoring less than the target marks</v>
      </c>
    </row>
    <row r="8" ht="15.75" customHeight="1">
      <c r="G8" s="3" t="str">
        <v>Level 1</v>
      </c>
      <c r="H8" s="3">
        <v>1</v>
      </c>
      <c r="I8" s="3">
        <v>50</v>
      </c>
      <c r="J8" s="3">
        <v>60</v>
      </c>
      <c r="K8" s="4" t="str">
        <v>50% of students scoring more than the target marks</v>
      </c>
    </row>
    <row r="9" ht="15.75" customHeight="1">
      <c r="G9" s="3" t="str">
        <v>Level 2</v>
      </c>
      <c r="H9" s="3">
        <v>2</v>
      </c>
      <c r="I9" s="3">
        <v>60</v>
      </c>
      <c r="J9" s="3">
        <v>70</v>
      </c>
      <c r="K9" s="4" t="str">
        <v>60% of students scoring more than the target marks</v>
      </c>
    </row>
    <row r="10" ht="15.75" customHeight="1">
      <c r="G10" s="3" t="str">
        <v>Level 3</v>
      </c>
      <c r="H10" s="3">
        <v>3</v>
      </c>
      <c r="I10" s="3">
        <v>70</v>
      </c>
      <c r="J10" s="3">
        <v>100</v>
      </c>
      <c r="K10" s="4" t="str">
        <v>70% of students scoring more than the target marks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>
      <c r="A17" s="13" t="str">
        <v>CO ATTAINMENT</v>
      </c>
    </row>
    <row r="18" ht="15.75" customHeight="1"/>
    <row r="19" ht="10.5" customHeight="1"/>
    <row r="20" ht="15.75" customHeight="1">
      <c r="F20" s="13" t="str">
        <v>Direct Assessment</v>
      </c>
      <c r="M20" s="13" t="str">
        <v>CO1</v>
      </c>
      <c r="N20" s="13" t="str">
        <v>CO2</v>
      </c>
      <c r="O20" s="13" t="str">
        <v>CO3</v>
      </c>
      <c r="P20" s="13" t="str">
        <v>CO4</v>
      </c>
      <c r="Q20" s="13" t="str">
        <v>CO5</v>
      </c>
    </row>
    <row r="21" ht="15.75" customHeight="1">
      <c r="F21" s="4" t="str">
        <v>Test 1</v>
      </c>
      <c r="L21" s="4">
        <v>0.12</v>
      </c>
      <c r="M21" s="4">
        <f>INDIRECT("'"&amp;$F21&amp;"'!R11")</f>
        <v>2</v>
      </c>
      <c r="N21" s="4">
        <f>INDIRECT("'"&amp;$F21&amp;"'!S11")</f>
        <v>2</v>
      </c>
      <c r="O21" s="4">
        <f>INDIRECT("'"&amp;$F21&amp;"'!T11")</f>
        <v>3</v>
      </c>
    </row>
    <row r="22" ht="15.75" customHeight="1">
      <c r="F22" s="4" t="str">
        <v>Test 2</v>
      </c>
      <c r="L22" s="4">
        <v>0.12</v>
      </c>
      <c r="M22" s="4" t="str">
        <f>INDIRECT("'"&amp;$F22&amp;"'!R12")</f>
        <v/>
      </c>
      <c r="N22" s="4" t="str">
        <f>INDIRECT("'"&amp;$F22&amp;"'!S12")</f>
        <v/>
      </c>
      <c r="O22" s="4">
        <f>INDIRECT("'"&amp;$F22&amp;"'!T12")</f>
        <v>3</v>
      </c>
      <c r="P22" s="4">
        <f>INDIRECT("'"&amp;F22&amp;"'!U11")</f>
        <v>2</v>
      </c>
      <c r="Q22" s="4">
        <f>INDIRECT("'"&amp;$F22&amp;"'!V11")</f>
        <v>2</v>
      </c>
    </row>
    <row r="23" ht="15.75" customHeight="1">
      <c r="F23" s="4" t="str">
        <v>IP1</v>
      </c>
      <c r="L23" s="4">
        <v>0.08</v>
      </c>
      <c r="M23" s="4">
        <f>INDIRECT("'"&amp;$F23&amp;"'!R13")</f>
        <v>3</v>
      </c>
      <c r="N23" s="4" t="str">
        <f>INDIRECT("'"&amp;$F23&amp;"'!S13")</f>
        <v/>
      </c>
      <c r="O23" s="4" t="str">
        <f>INDIRECT("'"&amp;$F23&amp;"'!T13")</f>
        <v/>
      </c>
      <c r="P23" s="4" t="str">
        <f>INDIRECT("'"&amp;F23&amp;"'!U12")</f>
        <v/>
      </c>
      <c r="Q23" s="4" t="str">
        <f>INDIRECT("'"&amp;$F23&amp;"'!V12")</f>
        <v/>
      </c>
    </row>
    <row r="24" ht="15.75" customHeight="1">
      <c r="F24" s="4" t="str">
        <v>IP2</v>
      </c>
      <c r="L24" s="4">
        <v>0.08</v>
      </c>
      <c r="M24" s="4" t="str">
        <f>INDIRECT("'"&amp;$F24&amp;"'!R14")</f>
        <v/>
      </c>
      <c r="N24" s="4" t="str">
        <f>INDIRECT("'"&amp;$F24&amp;"'!S14")</f>
        <v/>
      </c>
      <c r="O24" s="4" t="str">
        <f>INDIRECT("'"&amp;$F24&amp;"'!T14")</f>
        <v/>
      </c>
      <c r="P24" s="4">
        <f>INDIRECT("'"&amp;F24&amp;"'!U13")</f>
        <v>3</v>
      </c>
      <c r="Q24" s="4" t="str">
        <f>INDIRECT("'"&amp;$F24&amp;"'!V13")</f>
        <v/>
      </c>
    </row>
    <row r="25" ht="15.75" customHeight="1"/>
    <row r="26" ht="15.75" customHeight="1"/>
    <row r="27" ht="15.75" customHeight="1"/>
    <row r="28" ht="15.75" customHeight="1"/>
    <row r="29" ht="15.75" customHeight="1">
      <c r="F29" s="4" t="str">
        <v>ESM</v>
      </c>
      <c r="L29" s="4">
        <v>0.6</v>
      </c>
      <c r="M29" s="4">
        <f t="array" ref="M29">INDIRECT("'"&amp;$F29&amp;"'!R11")</f>
        <v>3</v>
      </c>
      <c r="N29" s="4">
        <f t="array" ref="N29">INDIRECT("'"&amp;$F29&amp;"'!S11")</f>
        <v>2</v>
      </c>
      <c r="O29" s="4">
        <f t="array" ref="O29">INDIRECT("'"&amp;$F29&amp;"'!T11")</f>
        <v>3</v>
      </c>
      <c r="P29" s="4">
        <f t="array" ref="P29">INDIRECT("'"&amp;F29&amp;"'!U11")</f>
        <v>0</v>
      </c>
      <c r="Q29" s="4">
        <f t="array" ref="Q29">INDIRECT("'"&amp;$F29&amp;"'!V11")</f>
        <v>3</v>
      </c>
    </row>
    <row r="30" ht="15.75" customHeight="1">
      <c r="F30" s="14" t="str">
        <v>Continuous Internal Evaluation (CIE)</v>
      </c>
      <c r="L30" s="14">
        <v>0.4</v>
      </c>
      <c r="M30" s="14">
        <f>SUMPRODUCT($L$21:$L$27,M21:M27)/SUMIF(M21:M27,"&gt;=0",$L$21:$L$27)</f>
        <v>2.4</v>
      </c>
      <c r="N30" s="14">
        <f>SUMPRODUCT($L$21:$L$27,N21:N27)/SUMIF(N21:N27,"&gt;=0",$L$21:$L$27)</f>
        <v>2</v>
      </c>
      <c r="O30" s="14">
        <f>SUMPRODUCT($L$21:$L$27,O21:O27)/SUMIF(O21:O27,"&gt;=0",$L$21:$L$27)</f>
        <v>3</v>
      </c>
      <c r="P30" s="14">
        <f>SUMPRODUCT($L$21:$L$27,P21:P27)/SUMIF(P21:P27,"&gt;=0",$L$21:$L$27)</f>
        <v>2.4</v>
      </c>
      <c r="Q30" s="14">
        <f>SUMPRODUCT($L$21:$L$27,Q21:Q27)/SUMIF(Q21:Q27,"&gt;=0",$L$21:$L$27)</f>
        <v>2</v>
      </c>
    </row>
    <row r="31" ht="15.75" customHeight="1">
      <c r="F31" s="15" t="str">
        <v>Direct CO Attainment (100%)</v>
      </c>
      <c r="M31" s="15">
        <f>SUMPRODUCT($L$29:$L$30,M29:M30)/SUMIF(M29:M30,"&gt;=0",$L$29:$L$30)</f>
        <v>2.76</v>
      </c>
      <c r="N31" s="15">
        <f>SUMPRODUCT($L$29:$L$30,N29:N30)/SUMIF(N29:N30,"&gt;=0",$L$29:$L$30)</f>
        <v>2</v>
      </c>
      <c r="O31" s="15">
        <f>SUMPRODUCT($L$29:$L$30,O29:O30)/SUMIF(O29:O30,"&gt;=0",$L$29:$L$30)</f>
        <v>3</v>
      </c>
      <c r="P31" s="15">
        <f>SUMPRODUCT($L$29:$L$30,P29:P30)/SUMIF(P29:P30,"&gt;=0",$L$29:$L$30)</f>
        <v>0.96</v>
      </c>
      <c r="Q31" s="15">
        <f>SUMPRODUCT($L$29:$L$30,Q29:Q30)/SUMIF(Q29:Q30,"&gt;=0",$L$29:$L$30)</f>
        <v>2.5999999999999996</v>
      </c>
    </row>
    <row r="32" ht="15.75" customHeight="1">
      <c r="F32" s="16" t="str">
        <v>Course Exit Survey (CES)</v>
      </c>
      <c r="M32" s="16">
        <v>2.4</v>
      </c>
      <c r="N32" s="16">
        <v>2.4</v>
      </c>
      <c r="O32" s="16">
        <v>2.4</v>
      </c>
      <c r="P32" s="16">
        <v>3</v>
      </c>
      <c r="Q32" s="16">
        <v>3</v>
      </c>
    </row>
    <row r="33" ht="15.75" customHeight="1">
      <c r="F33" s="17" t="str">
        <v>Final CO Attainment Level (80% Direct CO Att. + 20% CES)</v>
      </c>
      <c r="M33" s="17">
        <f>0.8*M31+0.2*M32</f>
        <v>2.6879999999999997</v>
      </c>
      <c r="N33" s="17">
        <f>0.8*N31+0.2*N32</f>
        <v>2.08</v>
      </c>
      <c r="O33" s="17">
        <f>0.8*O31+0.2*O32</f>
        <v>2.8800000000000003</v>
      </c>
      <c r="P33" s="17">
        <f>0.8*P31+0.2*P32</f>
        <v>1.368</v>
      </c>
      <c r="Q33" s="17">
        <f>0.8*Q31+0.2*Q32</f>
        <v>2.6799999999999997</v>
      </c>
    </row>
    <row r="34" ht="9.75" customHeight="1"/>
    <row r="35" ht="15.75" customHeight="1">
      <c r="A35" s="13" t="str">
        <v>PO &amp; PSO ATTAINMENT</v>
      </c>
    </row>
    <row r="36" ht="15.75" customHeight="1"/>
    <row r="37" ht="24" customHeight="1">
      <c r="D37" s="4" t="str">
        <v>CO-PO-PSO Articulation Matrix</v>
      </c>
    </row>
    <row r="38" ht="15.75" customHeight="1">
      <c r="D38" s="18" t="str">
        <v>CO No.</v>
      </c>
      <c r="E38" s="18" t="str">
        <v>PO1</v>
      </c>
      <c r="F38" s="18" t="str">
        <v>PO2</v>
      </c>
      <c r="G38" s="18" t="str">
        <v>PO3</v>
      </c>
      <c r="H38" s="18" t="str">
        <v>PO4</v>
      </c>
      <c r="I38" s="18" t="str">
        <v>PO5</v>
      </c>
      <c r="J38" s="18" t="str">
        <v>PO6</v>
      </c>
      <c r="K38" s="18" t="str">
        <v>PO7</v>
      </c>
      <c r="L38" s="18" t="str">
        <v>PO8</v>
      </c>
      <c r="M38" s="18" t="str">
        <v>PO9</v>
      </c>
      <c r="N38" s="18" t="str">
        <v>PO10</v>
      </c>
      <c r="O38" s="18" t="str">
        <v>PO11</v>
      </c>
      <c r="P38" s="18" t="str">
        <v>PO12</v>
      </c>
      <c r="Q38" s="18" t="str">
        <v>PSO1</v>
      </c>
      <c r="R38" s="18" t="str">
        <v>PSO2</v>
      </c>
      <c r="S38" s="18" t="str">
        <v>PSO3</v>
      </c>
    </row>
    <row r="39" ht="15.75" customHeight="1">
      <c r="D39" s="19">
        <v>1</v>
      </c>
      <c r="E39" s="3">
        <v>3</v>
      </c>
      <c r="F39" s="3">
        <v>2</v>
      </c>
      <c r="G39" s="3">
        <v>2</v>
      </c>
      <c r="H39" s="3">
        <v>2</v>
      </c>
      <c r="N39" s="3">
        <v>1</v>
      </c>
      <c r="Q39" s="3">
        <v>3</v>
      </c>
      <c r="R39" s="3">
        <v>2</v>
      </c>
    </row>
    <row r="40" ht="15.75" customHeight="1">
      <c r="D40" s="19">
        <v>2</v>
      </c>
      <c r="E40" s="3">
        <v>3</v>
      </c>
      <c r="F40" s="3">
        <v>3</v>
      </c>
      <c r="G40" s="3">
        <v>2</v>
      </c>
      <c r="H40" s="3">
        <v>2</v>
      </c>
      <c r="N40" s="3">
        <v>1</v>
      </c>
      <c r="Q40" s="3">
        <v>3</v>
      </c>
      <c r="R40" s="3">
        <v>2</v>
      </c>
    </row>
    <row r="41" ht="15.75" customHeight="1">
      <c r="D41" s="19">
        <v>3</v>
      </c>
      <c r="E41" s="3">
        <v>3</v>
      </c>
      <c r="F41" s="3">
        <v>3</v>
      </c>
      <c r="G41" s="3">
        <v>3</v>
      </c>
      <c r="H41" s="3">
        <v>2</v>
      </c>
      <c r="N41" s="3">
        <v>2</v>
      </c>
      <c r="Q41" s="3">
        <v>3</v>
      </c>
      <c r="R41" s="3">
        <v>3</v>
      </c>
    </row>
    <row r="42" ht="15.75" customHeight="1">
      <c r="D42" s="19">
        <v>4</v>
      </c>
      <c r="E42" s="3">
        <v>3</v>
      </c>
      <c r="F42" s="3">
        <v>2</v>
      </c>
      <c r="G42" s="3">
        <v>3</v>
      </c>
      <c r="H42" s="3">
        <v>3</v>
      </c>
      <c r="I42" s="3">
        <v>2</v>
      </c>
      <c r="N42" s="3">
        <v>2</v>
      </c>
      <c r="Q42" s="3">
        <v>3</v>
      </c>
      <c r="R42" s="3">
        <v>3</v>
      </c>
    </row>
    <row r="43" ht="15.75" customHeight="1">
      <c r="D43" s="19">
        <v>5</v>
      </c>
      <c r="E43" s="3">
        <v>3</v>
      </c>
      <c r="F43" s="3">
        <v>2</v>
      </c>
      <c r="G43" s="3">
        <v>3</v>
      </c>
      <c r="H43" s="3">
        <v>2</v>
      </c>
      <c r="N43" s="3">
        <v>2</v>
      </c>
      <c r="Q43" s="3">
        <v>3</v>
      </c>
      <c r="R43" s="3">
        <v>3</v>
      </c>
    </row>
    <row r="44" ht="15.75" customHeight="1">
      <c r="D44" s="18" t="str">
        <v>Average</v>
      </c>
      <c r="E44" s="20">
        <f>IFERROR(AVERAGE(E39:E43),"")</f>
        <v>3</v>
      </c>
      <c r="F44" s="20">
        <f>IFERROR(AVERAGE(F39:F43),"")</f>
        <v>2.4</v>
      </c>
      <c r="G44" s="20">
        <f>IFERROR(AVERAGE(G39:G43),"")</f>
        <v>2.6</v>
      </c>
      <c r="H44" s="20">
        <f>IFERROR(AVERAGE(H39:H43),"")</f>
        <v>2.2</v>
      </c>
      <c r="I44" s="20">
        <f>IFERROR(AVERAGE(I39:I43),"")</f>
        <v>2</v>
      </c>
      <c r="J44" s="20" t="str">
        <f>IFERROR(AVERAGE(J39:J43),"")</f>
        <v/>
      </c>
      <c r="K44" s="20" t="str">
        <f>IFERROR(AVERAGE(K39:K43),"")</f>
        <v/>
      </c>
      <c r="L44" s="20" t="str">
        <f>IFERROR(AVERAGE(L39:L43),"")</f>
        <v/>
      </c>
      <c r="M44" s="20" t="str">
        <f>IFERROR(AVERAGE(M39:M43),"")</f>
        <v/>
      </c>
      <c r="N44" s="20">
        <f>IFERROR(AVERAGE(N39:N43),"")</f>
        <v>1.6</v>
      </c>
      <c r="O44" s="20" t="str">
        <f>IFERROR(AVERAGE(O39:O43),"")</f>
        <v/>
      </c>
      <c r="P44" s="20" t="str">
        <f>IFERROR(AVERAGE(P39:P43),"")</f>
        <v/>
      </c>
      <c r="Q44" s="20">
        <f>IFERROR(AVERAGE(Q39:Q43),"")</f>
        <v>3</v>
      </c>
      <c r="R44" s="20">
        <f>IFERROR(AVERAGE(R39:R43),"")</f>
        <v>2.6</v>
      </c>
      <c r="S44" s="20" t="str">
        <f>IFERROR(AVERAGE(S39:S43),"")</f>
        <v/>
      </c>
    </row>
    <row r="45" ht="24.75" customHeight="1">
      <c r="C45" s="3" t="str">
        <v>PO &amp; PSO Attainment Level and Percentage</v>
      </c>
    </row>
    <row r="46" ht="15.75" customHeight="1">
      <c r="C46" s="21" t="str">
        <v>CO No.</v>
      </c>
      <c r="D46" s="21" t="str">
        <v>CO Attainment</v>
      </c>
      <c r="F46" s="21" t="str">
        <v>PO1</v>
      </c>
      <c r="G46" s="21" t="str">
        <v>PO2</v>
      </c>
      <c r="H46" s="21" t="str">
        <v>PO3</v>
      </c>
      <c r="I46" s="21" t="str">
        <v>PO4</v>
      </c>
      <c r="J46" s="21" t="str">
        <v>PO5</v>
      </c>
      <c r="K46" s="21" t="str">
        <v>PO6</v>
      </c>
      <c r="L46" s="21" t="str">
        <v>PO7</v>
      </c>
      <c r="M46" s="21" t="str">
        <v>PO8</v>
      </c>
      <c r="N46" s="21" t="str">
        <v>PO9</v>
      </c>
      <c r="O46" s="21" t="str">
        <v>PO10</v>
      </c>
      <c r="P46" s="21" t="str">
        <v>PO11</v>
      </c>
      <c r="Q46" s="21" t="str">
        <v>PO12</v>
      </c>
      <c r="R46" s="21" t="str">
        <v>PSO1</v>
      </c>
      <c r="S46" s="21" t="str">
        <v>PSO2</v>
      </c>
      <c r="T46" s="21" t="str">
        <v>PSO3</v>
      </c>
    </row>
    <row r="47" ht="15.75" customHeight="1">
      <c r="C47" s="22">
        <v>1</v>
      </c>
      <c r="D47" s="17">
        <f>M33</f>
        <v>2.6879999999999997</v>
      </c>
      <c r="F47" s="7">
        <f>IF(E39="","",$D$47*E39/3)</f>
        <v>2.688</v>
      </c>
      <c r="G47" s="7">
        <f>IF(F39="","",$D$47*F39/3)</f>
        <v>1.7919999999999998</v>
      </c>
      <c r="H47" s="7">
        <f>IF(G39="","",$D$47*G39/3)</f>
        <v>1.7919999999999998</v>
      </c>
      <c r="I47" s="7">
        <f>IF(H39="","",$D$47*H39/3)</f>
        <v>1.7919999999999998</v>
      </c>
      <c r="J47" s="7" t="str">
        <f>IF(I39="","",$D$47*I39/3)</f>
        <v/>
      </c>
      <c r="K47" s="7" t="str">
        <f>IF(J39="","",$D$47*J39/3)</f>
        <v/>
      </c>
      <c r="L47" s="7" t="str">
        <f>IF(K39="","",$D$47*K39/3)</f>
        <v/>
      </c>
      <c r="M47" s="7" t="str">
        <f>IF(L39="","",$D$47*L39/3)</f>
        <v/>
      </c>
      <c r="N47" s="7" t="str">
        <f>IF(M39="","",$D$47*M39/3)</f>
        <v/>
      </c>
      <c r="O47" s="7">
        <f>IF(N39="","",$D$47*N39/3)</f>
        <v>0.8959999999999999</v>
      </c>
      <c r="P47" s="7" t="str">
        <f>IF(O39="","",$D$47*O39/3)</f>
        <v/>
      </c>
      <c r="Q47" s="7" t="str">
        <f>IF(P39="","",$D$47*P39/3)</f>
        <v/>
      </c>
      <c r="R47" s="7">
        <f>IF(Q39="","",$D$47*Q39/3)</f>
        <v>2.688</v>
      </c>
      <c r="S47" s="7">
        <f>IF(R39="","",$D$47*R39/3)</f>
        <v>1.7919999999999998</v>
      </c>
      <c r="T47" s="7" t="str">
        <f>IF(S39="","",$D$47*S39/3)</f>
        <v/>
      </c>
    </row>
    <row r="48" ht="15.75" customHeight="1">
      <c r="C48" s="22">
        <v>2</v>
      </c>
      <c r="D48" s="17">
        <f>N33</f>
        <v>2.08</v>
      </c>
      <c r="F48" s="7">
        <f>IF(E40="","",$D$48*E40/3)</f>
        <v>2.08</v>
      </c>
      <c r="G48" s="7">
        <f>IF(F40="","",$D$48*F40/3)</f>
        <v>2.08</v>
      </c>
      <c r="H48" s="7">
        <f>IF(G40="","",$D$48*G40/3)</f>
        <v>1.3866666666666667</v>
      </c>
      <c r="I48" s="7">
        <f>IF(H40="","",$D$48*H40/3)</f>
        <v>1.3866666666666667</v>
      </c>
      <c r="J48" s="7" t="str">
        <f>IF(I40="","",$D$48*I40/3)</f>
        <v/>
      </c>
      <c r="K48" s="7" t="str">
        <f>IF(J40="","",$D$48*J40/3)</f>
        <v/>
      </c>
      <c r="L48" s="7" t="str">
        <f>IF(K40="","",$D$48*K40/3)</f>
        <v/>
      </c>
      <c r="M48" s="7" t="str">
        <f>IF(L40="","",$D$48*L40/3)</f>
        <v/>
      </c>
      <c r="N48" s="7" t="str">
        <f>IF(M40="","",$D$48*M40/3)</f>
        <v/>
      </c>
      <c r="O48" s="7">
        <f>IF(N40="","",$D$48*N40/3)</f>
        <v>0.6933333333333334</v>
      </c>
      <c r="P48" s="7" t="str">
        <f>IF(O40="","",$D$48*O40/3)</f>
        <v/>
      </c>
      <c r="Q48" s="7" t="str">
        <f>IF(P40="","",$D$48*P40/3)</f>
        <v/>
      </c>
      <c r="R48" s="7">
        <f>IF(Q40="","",$D$48*Q40/3)</f>
        <v>2.08</v>
      </c>
      <c r="S48" s="7">
        <f>IF(R40="","",$D$48*R40/3)</f>
        <v>1.3866666666666667</v>
      </c>
      <c r="T48" s="7" t="str">
        <f>IF(S40="","",$D$48*S40/3)</f>
        <v/>
      </c>
    </row>
    <row r="49" ht="15.75" customHeight="1">
      <c r="C49" s="22">
        <v>3</v>
      </c>
      <c r="D49" s="17">
        <f>O33</f>
        <v>2.8800000000000003</v>
      </c>
      <c r="F49" s="7">
        <f>IF(E41="","",$D$49*E41/3)</f>
        <v>2.8800000000000003</v>
      </c>
      <c r="G49" s="7">
        <f>IF(F41="","",$D$49*F41/3)</f>
        <v>2.8800000000000003</v>
      </c>
      <c r="H49" s="7">
        <f>IF(G41="","",$D$49*G41/3)</f>
        <v>2.8800000000000003</v>
      </c>
      <c r="I49" s="7">
        <f>IF(H41="","",$D$49*H41/3)</f>
        <v>1.9200000000000002</v>
      </c>
      <c r="J49" s="7" t="str">
        <f>IF(I41="","",$D$49*I41/3)</f>
        <v/>
      </c>
      <c r="K49" s="7" t="str">
        <f>IF(J41="","",$D$49*J41/3)</f>
        <v/>
      </c>
      <c r="L49" s="7" t="str">
        <f>IF(K41="","",$D$49*K41/3)</f>
        <v/>
      </c>
      <c r="M49" s="7" t="str">
        <f>IF(L41="","",$D$49*L41/3)</f>
        <v/>
      </c>
      <c r="N49" s="7" t="str">
        <f>IF(M41="","",$D$49*M41/3)</f>
        <v/>
      </c>
      <c r="O49" s="7">
        <f>IF(N41="","",$D$49*N41/3)</f>
        <v>1.9200000000000002</v>
      </c>
      <c r="P49" s="7" t="str">
        <f>IF(O41="","",$D$49*O41/3)</f>
        <v/>
      </c>
      <c r="Q49" s="7" t="str">
        <f>IF(P41="","",$D$49*P41/3)</f>
        <v/>
      </c>
      <c r="R49" s="7">
        <f>IF(Q41="","",$D$49*Q41/3)</f>
        <v>2.8800000000000003</v>
      </c>
      <c r="S49" s="7">
        <f>IF(R41="","",$D$49*R41/3)</f>
        <v>2.8800000000000003</v>
      </c>
      <c r="T49" s="7" t="str">
        <f>IF(S41="","",$D$49*S41/3)</f>
        <v/>
      </c>
    </row>
    <row r="50" ht="15.75" customHeight="1">
      <c r="C50" s="22">
        <v>4</v>
      </c>
      <c r="D50" s="17">
        <f>P33</f>
        <v>1.368</v>
      </c>
      <c r="F50" s="7">
        <f>IF(E42="","",$D$50*E42/3)</f>
        <v>1.368</v>
      </c>
      <c r="G50" s="7">
        <f>IF(F42="","",$D$50*F42/3)</f>
        <v>0.912</v>
      </c>
      <c r="H50" s="7">
        <f>IF(G42="","",$D$50*G42/3)</f>
        <v>1.368</v>
      </c>
      <c r="I50" s="7">
        <f>IF(H42="","",$D$50*H42/3)</f>
        <v>1.368</v>
      </c>
      <c r="J50" s="7">
        <f>IF(I42="","",$D$50*I42/3)</f>
        <v>0.912</v>
      </c>
      <c r="K50" s="7" t="str">
        <f>IF(J42="","",$D$50*J42/3)</f>
        <v/>
      </c>
      <c r="L50" s="7" t="str">
        <f>IF(K42="","",$D$50*K42/3)</f>
        <v/>
      </c>
      <c r="M50" s="7" t="str">
        <f>IF(L42="","",$D$50*L42/3)</f>
        <v/>
      </c>
      <c r="N50" s="7" t="str">
        <f>IF(M42="","",$D$50*M42/3)</f>
        <v/>
      </c>
      <c r="O50" s="7">
        <f>IF(N42="","",$D$50*N42/3)</f>
        <v>0.912</v>
      </c>
      <c r="P50" s="7" t="str">
        <f>IF(O42="","",$D$50*O42/3)</f>
        <v/>
      </c>
      <c r="Q50" s="7" t="str">
        <f>IF(P42="","",$D$50*P42/3)</f>
        <v/>
      </c>
      <c r="R50" s="7">
        <f>IF(Q42="","",$D$50*Q42/3)</f>
        <v>1.368</v>
      </c>
      <c r="S50" s="7">
        <f>IF(R42="","",$D$50*R42/3)</f>
        <v>1.368</v>
      </c>
      <c r="T50" s="7" t="str">
        <f>IF(S42="","",$D$50*S42/3)</f>
        <v/>
      </c>
    </row>
    <row r="51" ht="15.75" customHeight="1">
      <c r="C51" s="22">
        <v>5</v>
      </c>
      <c r="D51" s="17">
        <f>Q33</f>
        <v>2.6799999999999997</v>
      </c>
      <c r="F51" s="7">
        <f>IF(E43="","",$D$51*E43/3)</f>
        <v>2.6799999999999997</v>
      </c>
      <c r="G51" s="7">
        <f>IF(F43="","",$D$51*F43/3)</f>
        <v>1.7866666666666664</v>
      </c>
      <c r="H51" s="7">
        <f>IF(G43="","",$D$51*G43/3)</f>
        <v>2.6799999999999997</v>
      </c>
      <c r="I51" s="7">
        <f>IF(H43="","",$D$51*H43/3)</f>
        <v>1.7866666666666664</v>
      </c>
      <c r="J51" s="7" t="str">
        <f>IF(I43="","",$D$51*I43/3)</f>
        <v/>
      </c>
      <c r="K51" s="7" t="str">
        <f>IF(J43="","",$D$51*J43/3)</f>
        <v/>
      </c>
      <c r="L51" s="7" t="str">
        <f>IF(K43="","",$D$51*K43/3)</f>
        <v/>
      </c>
      <c r="M51" s="7" t="str">
        <f>IF(L43="","",$D$51*L43/3)</f>
        <v/>
      </c>
      <c r="N51" s="7" t="str">
        <f>IF(M43="","",$D$51*M43/3)</f>
        <v/>
      </c>
      <c r="O51" s="7">
        <f>IF(N43="","",$D$51*N43/3)</f>
        <v>1.7866666666666664</v>
      </c>
      <c r="P51" s="7" t="str">
        <f>IF(O43="","",$D$51*O43/3)</f>
        <v/>
      </c>
      <c r="Q51" s="7" t="str">
        <f>IF(P43="","",$D$51*P43/3)</f>
        <v/>
      </c>
      <c r="R51" s="7">
        <f>IF(Q43="","",$D$51*Q43/3)</f>
        <v>2.6799999999999997</v>
      </c>
      <c r="S51" s="7">
        <f>IF(R43="","",$D$51*R43/3)</f>
        <v>2.6799999999999997</v>
      </c>
      <c r="T51" s="7" t="str">
        <f>IF(S43="","",$D$51*S43/3)</f>
        <v/>
      </c>
    </row>
    <row r="52" ht="15.75" customHeight="1">
      <c r="C52" s="23" t="str">
        <v>Overall PO/PSO Level</v>
      </c>
      <c r="F52" s="23">
        <f>IFERROR(SUMPRODUCT($D$47:$D$51,E39:E43)/SUM(E39:E43),"")</f>
        <v>2.3392</v>
      </c>
      <c r="G52" s="23">
        <f>IFERROR(SUMPRODUCT($D$47:$D$51,F39:F43)/SUM(F39:F43),"")</f>
        <v>2.3626666666666667</v>
      </c>
      <c r="H52" s="23">
        <f>IFERROR(SUMPRODUCT($D$47:$D$51,G39:G43)/SUM(G39:G43),"")</f>
        <v>2.332307692307692</v>
      </c>
      <c r="I52" s="23">
        <f>IFERROR(SUMPRODUCT($D$47:$D$51,H39:H43)/SUM(H39:H43),"")</f>
        <v>2.2509090909090905</v>
      </c>
      <c r="J52" s="23">
        <f>IFERROR(SUMPRODUCT($D$47:$D$51,I39:I43)/SUM(I39:I43),"")</f>
        <v>1.368</v>
      </c>
      <c r="K52" s="23" t="str">
        <f>IFERROR(SUMPRODUCT($D$47:$D$51,J39:J43)/SUM(J39:J43),"")</f>
        <v/>
      </c>
      <c r="L52" s="23" t="str">
        <f>IFERROR(SUMPRODUCT($D$47:$D$51,K39:K43)/SUM(K39:K43),"")</f>
        <v/>
      </c>
      <c r="M52" s="23" t="str">
        <f>IFERROR(SUMPRODUCT($D$47:$D$51,L39:L43)/SUM(L39:L43),"")</f>
        <v/>
      </c>
      <c r="N52" s="23" t="str">
        <f>IFERROR(SUMPRODUCT($D$47:$D$51,M39:M43)/SUM(M39:M43),"")</f>
        <v/>
      </c>
      <c r="O52" s="23">
        <f>IFERROR(SUMPRODUCT($D$47:$D$51,N39:N43)/SUM(N39:N43),"")</f>
        <v>2.3280000000000003</v>
      </c>
      <c r="P52" s="23" t="str">
        <f>IFERROR(SUMPRODUCT($D$47:$D$51,O39:O43)/SUM(O39:O43),"")</f>
        <v/>
      </c>
      <c r="Q52" s="23" t="str">
        <f>IFERROR(SUMPRODUCT($D$47:$D$51,P39:P43)/SUM(P39:P43),"")</f>
        <v/>
      </c>
      <c r="R52" s="23">
        <f>IFERROR(SUMPRODUCT($D$47:$D$51,Q39:Q43)/SUM(Q39:Q43),"")</f>
        <v>2.3392</v>
      </c>
      <c r="S52" s="23">
        <f>IFERROR(SUMPRODUCT($D$47:$D$51,R39:R43)/SUM(R39:R43),"")</f>
        <v>2.332307692307692</v>
      </c>
      <c r="T52" s="23" t="str">
        <f>IFERROR(SUMPRODUCT($D$47:$D$51,S39:S43)/SUM(S39:S43),"")</f>
        <v/>
      </c>
    </row>
    <row r="53" ht="15.75" customHeight="1">
      <c r="C53" s="24" t="str">
        <v>Overall PO/PSO %</v>
      </c>
      <c r="F53" s="24">
        <f>IFERROR(F52*100/3,"")</f>
        <v>77.97333333333333</v>
      </c>
      <c r="G53" s="24">
        <f>IFERROR(G52*100/3,"")</f>
        <v>78.75555555555556</v>
      </c>
      <c r="H53" s="24">
        <f>IFERROR(H52*100/3,"")</f>
        <v>77.74358974358974</v>
      </c>
      <c r="I53" s="24">
        <f>IFERROR(I52*100/3,"")</f>
        <v>75.03030303030302</v>
      </c>
      <c r="J53" s="24">
        <f>IFERROR(J52*100/3,"")</f>
        <v>45.6</v>
      </c>
      <c r="K53" s="24" t="str">
        <f>IFERROR(K52*100/3,"")</f>
        <v/>
      </c>
      <c r="L53" s="24" t="str">
        <f>IFERROR(L52*100/3,"")</f>
        <v/>
      </c>
      <c r="M53" s="24" t="str">
        <f>IFERROR(M52*100/3,"")</f>
        <v/>
      </c>
      <c r="N53" s="24" t="str">
        <f>IFERROR(N52*100/3,"")</f>
        <v/>
      </c>
      <c r="O53" s="24">
        <f>IFERROR(O52*100/3,"")</f>
        <v>77.60000000000001</v>
      </c>
      <c r="P53" s="24" t="str">
        <f>IFERROR(P52*100/3,"")</f>
        <v/>
      </c>
      <c r="Q53" s="24" t="str">
        <f>IFERROR(Q52*100/3,"")</f>
        <v/>
      </c>
      <c r="R53" s="24">
        <f>IFERROR(R52*100/3,"")</f>
        <v>77.97333333333333</v>
      </c>
      <c r="S53" s="24">
        <f>IFERROR(S52*100/3,"")</f>
        <v>77.74358974358974</v>
      </c>
      <c r="T53" s="24" t="str">
        <f>IFERROR(T52*100/3,"")</f>
        <v/>
      </c>
    </row>
    <row r="54" ht="6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F33:K33"/>
    <mergeCell ref="D50:E50"/>
    <mergeCell ref="D51:E51"/>
    <mergeCell ref="C52:E52"/>
    <mergeCell ref="C53:E53"/>
    <mergeCell ref="A35:V36"/>
    <mergeCell ref="D37:S37"/>
    <mergeCell ref="C45:T45"/>
    <mergeCell ref="D46:E46"/>
    <mergeCell ref="D47:E47"/>
    <mergeCell ref="D48:E48"/>
    <mergeCell ref="D49:E49"/>
    <mergeCell ref="F28:K28"/>
    <mergeCell ref="F29:K29"/>
    <mergeCell ref="F30:K30"/>
    <mergeCell ref="F31:K31"/>
    <mergeCell ref="F32:K32"/>
    <mergeCell ref="F23:K23"/>
    <mergeCell ref="F24:K24"/>
    <mergeCell ref="F25:K25"/>
    <mergeCell ref="F26:K26"/>
    <mergeCell ref="F27:K27"/>
    <mergeCell ref="B7:D7"/>
    <mergeCell ref="A17:V18"/>
    <mergeCell ref="F20:K20"/>
    <mergeCell ref="F21:K21"/>
    <mergeCell ref="F22:K22"/>
    <mergeCell ref="A1:V1"/>
    <mergeCell ref="A2:V2"/>
    <mergeCell ref="A4:B4"/>
    <mergeCell ref="H4:J4"/>
    <mergeCell ref="K4:Q4"/>
  </mergeCells>
  <pageMargins left="0.7" right="0.7" top="0.75" bottom="0.75" header="0" footer="0"/>
  <ignoredErrors>
    <ignoredError numberStoredAsText="1" sqref="A1:Z100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Z1000"/>
  <sheetViews>
    <sheetView workbookViewId="0" rightToLeft="0"/>
  </sheetViews>
  <cols>
    <col min="1" max="1" customWidth="1" width="54.5703125"/>
  </cols>
  <sheetData>
    <row r="1">
      <c r="A1" s="25" t="str">
        <v>CO Attainment</v>
      </c>
      <c r="B1" s="25" t="str">
        <v>CO1</v>
      </c>
      <c r="C1" s="25" t="str">
        <v>CO2</v>
      </c>
      <c r="D1" s="25" t="str">
        <v>CO3</v>
      </c>
      <c r="E1" s="25" t="str">
        <v>CO4</v>
      </c>
      <c r="F1" s="25" t="str">
        <v>CO5</v>
      </c>
    </row>
    <row r="2">
      <c r="A2" s="10" t="str">
        <v>Continuous Internal Evaluation (CIE)</v>
      </c>
      <c r="B2" s="14">
        <f>'Final Attainment'!M30</f>
        <v>2.4</v>
      </c>
      <c r="C2" s="14">
        <f>'Final Attainment'!N30</f>
        <v>2</v>
      </c>
      <c r="D2" s="14">
        <f>'Final Attainment'!O30</f>
        <v>3</v>
      </c>
      <c r="E2" s="14">
        <f>'Final Attainment'!P30</f>
        <v>2.4</v>
      </c>
      <c r="F2" s="14">
        <f>'Final Attainment'!Q30</f>
        <v>2</v>
      </c>
    </row>
    <row r="3">
      <c r="A3" s="10" t="str">
        <v>Semester End Examination (SEE)</v>
      </c>
      <c r="B3" s="14">
        <f>'Final Attainment'!M29</f>
        <v>3</v>
      </c>
      <c r="C3" s="14">
        <f>'Final Attainment'!N29</f>
        <v>2</v>
      </c>
      <c r="D3" s="14">
        <f>'Final Attainment'!O29</f>
        <v>3</v>
      </c>
      <c r="E3" s="14">
        <f>'Final Attainment'!P29</f>
        <v>0</v>
      </c>
      <c r="F3" s="14">
        <f>'Final Attainment'!Q29</f>
        <v>3</v>
      </c>
    </row>
    <row r="4">
      <c r="A4" s="26" t="str">
        <v>CO Attainment Level (80% Direct CO Att. + 20% CES)</v>
      </c>
      <c r="B4" s="26">
        <f>'Final Attainment'!M33</f>
        <v>2.6879999999999997</v>
      </c>
      <c r="C4" s="26">
        <f>'Final Attainment'!N33</f>
        <v>2.08</v>
      </c>
      <c r="D4" s="26">
        <f>'Final Attainment'!O33</f>
        <v>2.8800000000000003</v>
      </c>
      <c r="E4" s="26">
        <f>'Final Attainment'!P33</f>
        <v>1.368</v>
      </c>
      <c r="F4" s="26">
        <f>'Final Attainment'!Q33</f>
        <v>2.6799999999999997</v>
      </c>
    </row>
    <row r="5"/>
    <row r="6">
      <c r="A6" s="27" t="str">
        <v>PO &amp; PSO Attainment</v>
      </c>
      <c r="B6" s="27" t="str">
        <v>PO1</v>
      </c>
      <c r="C6" s="27" t="str">
        <v>PO2</v>
      </c>
      <c r="D6" s="27" t="str">
        <v>PO3</v>
      </c>
      <c r="E6" s="27" t="str">
        <v>PO4</v>
      </c>
      <c r="F6" s="27" t="str">
        <v>PO5</v>
      </c>
      <c r="G6" s="27" t="str">
        <v>PO6</v>
      </c>
      <c r="H6" s="27" t="str">
        <v>PO7</v>
      </c>
      <c r="I6" s="27" t="str">
        <v>PO8</v>
      </c>
      <c r="J6" s="27" t="str">
        <v>PO9</v>
      </c>
      <c r="K6" s="27" t="str">
        <v>PO10</v>
      </c>
      <c r="L6" s="27" t="str">
        <v>PO11</v>
      </c>
      <c r="M6" s="27" t="str">
        <v>PO12</v>
      </c>
      <c r="N6" s="27" t="str">
        <v>PSO1</v>
      </c>
      <c r="O6" s="27" t="str">
        <v>PSO2</v>
      </c>
      <c r="P6" s="27" t="str">
        <v>PSO3</v>
      </c>
    </row>
    <row r="7">
      <c r="A7" s="28" t="str">
        <v>Overall PO/PSO Level</v>
      </c>
      <c r="B7" s="26">
        <f>'Final Attainment'!F52</f>
        <v>2.3392</v>
      </c>
      <c r="C7" s="26">
        <f>'Final Attainment'!G52</f>
        <v>2.3626666666666667</v>
      </c>
      <c r="D7" s="26">
        <f>'Final Attainment'!H52</f>
        <v>2.332307692307692</v>
      </c>
      <c r="E7" s="26">
        <f>'Final Attainment'!I52</f>
        <v>2.2509090909090905</v>
      </c>
      <c r="F7" s="26">
        <f>'Final Attainment'!J52</f>
        <v>1.368</v>
      </c>
      <c r="G7" s="26" t="str">
        <f>'Final Attainment'!K52</f>
        <v/>
      </c>
      <c r="H7" s="26" t="str">
        <f>'Final Attainment'!L52</f>
        <v/>
      </c>
      <c r="I7" s="26" t="str">
        <f>'Final Attainment'!M52</f>
        <v/>
      </c>
      <c r="J7" s="26" t="str">
        <f>'Final Attainment'!N52</f>
        <v/>
      </c>
      <c r="K7" s="26">
        <f>'Final Attainment'!O52</f>
        <v>2.3280000000000003</v>
      </c>
      <c r="L7" s="26" t="str">
        <f>'Final Attainment'!P52</f>
        <v/>
      </c>
      <c r="M7" s="26" t="str">
        <f>'Final Attainment'!Q52</f>
        <v/>
      </c>
      <c r="N7" s="26">
        <f>'Final Attainment'!R52</f>
        <v>2.3392</v>
      </c>
      <c r="O7" s="26">
        <f>'Final Attainment'!S52</f>
        <v>2.332307692307692</v>
      </c>
      <c r="P7" s="26" t="str">
        <f>'Final Attainment'!T52</f>
        <v/>
      </c>
    </row>
    <row r="8"/>
    <row r="9"/>
    <row r="10">
      <c r="A10" s="3" t="str">
        <v>CO Target</v>
      </c>
      <c r="B10" s="29">
        <f>'Final Attainment'!E7</f>
        <v>58</v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  <ignoredErrors>
    <ignoredError numberStoredAsText="1" sqref="A1:Z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Theory</vt:lpstr>
      <vt:lpstr>Graph</vt:lpstr>
      <vt:lpstr>IP</vt:lpstr>
      <vt:lpstr>Test 1</vt:lpstr>
      <vt:lpstr>Test 2</vt:lpstr>
      <vt:lpstr>IP1</vt:lpstr>
      <vt:lpstr>IP2</vt:lpstr>
      <vt:lpstr>ESM</vt:lpstr>
      <vt:lpstr>Final Attainment</vt:lpstr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2026-03-23T11:16:08Z</dcterms:modified>
  <cp:lastModifiedBy>user</cp:lastModifiedBy>
</cp:coreProperties>
</file>