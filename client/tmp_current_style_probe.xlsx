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000000"/>
    </font>
    <font>
      <sz val="12"/>
      <name val="Calibri"/>
      <b/>
      <color rgb="FF000000"/>
    </font>
    <font>
      <sz val="12"/>
      <name val="Calibri"/>
      <b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7AD592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1" fontId="0" fillId="0" borderId="0" xfId="0" applyNumberFormat="1"/>
    <xf numFmtId="0" fontId="4" fillId="4" borderId="4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1"/>
  <sheetViews>
    <sheetView workbookViewId="0" rightToLeft="0"/>
  </sheetViews>
  <cols>
    <col min="1" max="1" customWidth="1" width="6.140625"/>
    <col min="2" max="2" customWidth="1" width="19.1406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140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 xml:space="preserve">
      <c r="A6" s="4" t="str" xml:space="preserve">
        <v xml:space="preserve">PT 1_x000d_
</v>
      </c>
    </row>
    <row r="7" ht="27.75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9.5" customHeight="1">
      <c r="L9" s="4" t="str">
        <v>Total No. of Students</v>
      </c>
      <c r="R9" s="4">
        <f>COUNTIF(H16:H421,"&gt;=0")</f>
        <v>66</v>
      </c>
      <c r="S9" s="4">
        <f>COUNTIF(I16:I421,"&gt;=0")</f>
        <v>66</v>
      </c>
      <c r="T9" s="4">
        <f>COUNTIF(J16:J421,"&gt;=0")</f>
        <v>66</v>
      </c>
      <c r="U9" s="4">
        <f>COUNTIF(K16:K421,"&gt;=0")</f>
        <v>0</v>
      </c>
      <c r="V9" s="4">
        <f>COUNTIF(L16:L421,"&gt;=0")</f>
        <v>0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5">
        <f>COUNTIF(M16:M421,"&gt;="&amp;$E$10)</f>
        <v>44</v>
      </c>
      <c r="S10" s="5">
        <f>COUNTIF(N16:N421,"&gt;="&amp;$E$10)</f>
        <v>40</v>
      </c>
      <c r="T10" s="5">
        <f>COUNTIF(O16:O421,"&gt;="&amp;$E$10)</f>
        <v>47</v>
      </c>
      <c r="U10" s="5">
        <f>COUNTIF(P16:P421,"&gt;="&amp;$E$10)</f>
        <v>0</v>
      </c>
      <c r="V10" s="5">
        <f>COUNTIF(Q16:Q421,"&gt;="&amp;$E$10)</f>
        <v>0</v>
      </c>
    </row>
    <row r="11" ht="15.75" customHeight="1">
      <c r="A11" s="4" t="str">
        <v>Total No. of Students:</v>
      </c>
      <c r="E11" s="4">
        <f>COUNTA(B16:B421)</f>
        <v>66</v>
      </c>
      <c r="L11" s="4" t="str">
        <v>Attainment Level</v>
      </c>
      <c r="R11" s="6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)))"),2)</f>
        <v>2</v>
      </c>
      <c r="S11" s="6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6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6" t="str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6" t="str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ht="16.5" customHeight="1">
      <c r="A12" s="4" t="str">
        <v>Total No. of Attended Students:</v>
      </c>
      <c r="E12" s="4">
        <f>R9</f>
        <v>66</v>
      </c>
      <c r="L12" s="4" t="str">
        <v>Total No. of Students who need Remedial Class</v>
      </c>
      <c r="R12" s="7">
        <f>R9-R10</f>
        <v>22</v>
      </c>
      <c r="S12" s="7">
        <f>S9-S10</f>
        <v>26</v>
      </c>
      <c r="T12" s="7">
        <f>T9-T10</f>
        <v>19</v>
      </c>
      <c r="U12" s="7">
        <f>U9-U10</f>
        <v>0</v>
      </c>
      <c r="V12" s="7">
        <f>V9-V10</f>
        <v>0</v>
      </c>
    </row>
    <row r="13" ht="15.75" customHeight="1"/>
    <row r="14" ht="15.75" customHeight="1">
      <c r="A14" s="8" t="str">
        <v>S.No</v>
      </c>
      <c r="B14" s="8" t="str">
        <v>Reg.No.</v>
      </c>
      <c r="C14" s="8" t="str">
        <v>MARKS ALLOCATED</v>
      </c>
      <c r="H14" s="8" t="str">
        <v>MARKS OBTAINED</v>
      </c>
      <c r="M14" s="8" t="str">
        <v>CO ATTAINMENT %</v>
      </c>
      <c r="R14" s="8" t="str">
        <v>ATTAINMENT of COs</v>
      </c>
      <c r="W14" s="8" t="str">
        <v>PT1</v>
      </c>
    </row>
    <row r="15" ht="15.75" customHeight="1">
      <c r="C15" s="8" t="str">
        <v>CO1</v>
      </c>
      <c r="D15" s="8" t="str">
        <v>CO2</v>
      </c>
      <c r="E15" s="8" t="str">
        <v>CO3</v>
      </c>
      <c r="F15" s="8" t="str">
        <v>CO4</v>
      </c>
      <c r="G15" s="8" t="str">
        <v>CO5</v>
      </c>
      <c r="H15" s="8" t="str">
        <v>CO1</v>
      </c>
      <c r="I15" s="8" t="str">
        <v>CO2</v>
      </c>
      <c r="J15" s="8" t="str">
        <v>CO3</v>
      </c>
      <c r="K15" s="8" t="str">
        <v>CO4</v>
      </c>
      <c r="L15" s="8" t="str">
        <v>CO5</v>
      </c>
      <c r="M15" s="8" t="str">
        <v>CO1</v>
      </c>
      <c r="N15" s="8" t="str">
        <v>CO2</v>
      </c>
      <c r="O15" s="8" t="str">
        <v>CO3</v>
      </c>
      <c r="P15" s="8" t="str">
        <v>CO4</v>
      </c>
      <c r="Q15" s="8" t="str">
        <v>CO5</v>
      </c>
      <c r="R15" s="8" t="str">
        <v>CO1</v>
      </c>
      <c r="S15" s="8" t="str">
        <v>CO2</v>
      </c>
      <c r="T15" s="8" t="str">
        <v>CO3</v>
      </c>
      <c r="U15" s="8" t="str">
        <v>CO4</v>
      </c>
      <c r="V15" s="8" t="str">
        <v>CO5</v>
      </c>
      <c r="W15" s="8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C16" s="7">
        <v>20</v>
      </c>
      <c r="D16" s="7">
        <v>20</v>
      </c>
      <c r="E16" s="7">
        <v>10</v>
      </c>
      <c r="H16" s="3">
        <v>13</v>
      </c>
      <c r="I16" s="3">
        <v>13</v>
      </c>
      <c r="J16" s="4">
        <v>7</v>
      </c>
      <c r="M16" s="7">
        <f>IF(C16="","",H16*100/C16)</f>
        <v>65</v>
      </c>
      <c r="N16" s="7">
        <f>IF(D16="","",I16*100/D16)</f>
        <v>65</v>
      </c>
      <c r="O16" s="7">
        <f>IF(E16="","",J16*100/E16)</f>
        <v>70</v>
      </c>
      <c r="P16" s="7" t="str">
        <f>IF(F16="","",K16*100/F16)</f>
        <v/>
      </c>
      <c r="Q16" s="7" t="str">
        <f>IF(G16="","",L16*100/G16)</f>
        <v/>
      </c>
      <c r="R16" s="3" t="str">
        <f>IF(M16&gt;=$E$10,"1","0")</f>
        <v>1</v>
      </c>
      <c r="S16" s="3" t="str">
        <f>IF(N16&gt;=$E$10,"1","0")</f>
        <v>1</v>
      </c>
      <c r="T16" s="3" t="str">
        <f>IF(O16&gt;=$E$10,"1","0")</f>
        <v>1</v>
      </c>
      <c r="W16" s="3">
        <f>Theory!D6</f>
        <v>33</v>
      </c>
    </row>
    <row r="17" ht="16.5" customHeight="1">
      <c r="A17" s="3">
        <f>Theory!A7</f>
        <v>2</v>
      </c>
      <c r="B17" s="3" t="str">
        <f>Theory!B7</f>
        <v>7376231EE103</v>
      </c>
      <c r="C17" s="7">
        <v>20</v>
      </c>
      <c r="D17" s="7">
        <v>20</v>
      </c>
      <c r="E17" s="7">
        <v>10</v>
      </c>
      <c r="H17" s="3">
        <v>13</v>
      </c>
      <c r="I17" s="3">
        <v>13</v>
      </c>
      <c r="J17" s="4">
        <v>7</v>
      </c>
      <c r="M17" s="7">
        <f>IF(C17="","",H17*100/C17)</f>
        <v>65</v>
      </c>
      <c r="N17" s="7">
        <f>IF(D17="","",I17*100/D17)</f>
        <v>65</v>
      </c>
      <c r="O17" s="7">
        <f>IF(E17="","",J17*100/E17)</f>
        <v>70</v>
      </c>
      <c r="P17" s="7" t="str">
        <f>IF(F17="","",K17*100/F17)</f>
        <v/>
      </c>
      <c r="Q17" s="7" t="str">
        <f>IF(G17="","",L17*100/G17)</f>
        <v/>
      </c>
      <c r="R17" s="3" t="str">
        <f>IF(M17&gt;=$E$10,"1","0")</f>
        <v>1</v>
      </c>
      <c r="S17" s="3" t="str">
        <f>IF(N17&gt;=$E$10,"1","0")</f>
        <v>1</v>
      </c>
      <c r="T17" s="3" t="str">
        <f>IF(O17&gt;=$E$10,"1","0")</f>
        <v>1</v>
      </c>
      <c r="W17" s="3">
        <f>Theory!D7</f>
        <v>33</v>
      </c>
    </row>
    <row r="18" ht="16.5" customHeight="1">
      <c r="A18" s="3">
        <f>Theory!A8</f>
        <v>3</v>
      </c>
      <c r="B18" s="3" t="str">
        <f>Theory!B8</f>
        <v>7376231EE104</v>
      </c>
      <c r="C18" s="7">
        <v>20</v>
      </c>
      <c r="D18" s="7">
        <v>20</v>
      </c>
      <c r="E18" s="7">
        <v>10</v>
      </c>
      <c r="H18" s="3">
        <v>7</v>
      </c>
      <c r="I18" s="3">
        <v>7</v>
      </c>
      <c r="J18" s="4">
        <v>4</v>
      </c>
      <c r="M18" s="7">
        <f>IF(C18="","",H18*100/C18)</f>
        <v>35</v>
      </c>
      <c r="N18" s="7">
        <f>IF(D18="","",I18*100/D18)</f>
        <v>35</v>
      </c>
      <c r="O18" s="7">
        <f>IF(E18="","",J18*100/E18)</f>
        <v>40</v>
      </c>
      <c r="P18" s="7" t="str">
        <f>IF(F18="","",K18*100/F18)</f>
        <v/>
      </c>
      <c r="Q18" s="7" t="str">
        <f>IF(G18="","",L18*100/G18)</f>
        <v/>
      </c>
      <c r="R18" s="3" t="str">
        <f>IF(M18&gt;=$E$10,"1","0")</f>
        <v>0</v>
      </c>
      <c r="S18" s="3" t="str">
        <f>IF(N18&gt;=$E$10,"1","0")</f>
        <v>0</v>
      </c>
      <c r="T18" s="3" t="str">
        <f>IF(O18&gt;=$E$10,"1","0")</f>
        <v>0</v>
      </c>
      <c r="W18" s="3">
        <f>Theory!D8</f>
        <v>18</v>
      </c>
    </row>
    <row r="19" ht="16.5" customHeight="1">
      <c r="A19" s="3">
        <f>Theory!A9</f>
        <v>4</v>
      </c>
      <c r="B19" s="3" t="str">
        <f>Theory!B9</f>
        <v>7376231EE105</v>
      </c>
      <c r="C19" s="7">
        <v>20</v>
      </c>
      <c r="D19" s="7">
        <v>20</v>
      </c>
      <c r="E19" s="7">
        <v>10</v>
      </c>
      <c r="H19" s="3">
        <v>14</v>
      </c>
      <c r="I19" s="3">
        <v>14</v>
      </c>
      <c r="J19" s="4">
        <v>6</v>
      </c>
      <c r="M19" s="7">
        <f>IF(C19="","",H19*100/C19)</f>
        <v>70</v>
      </c>
      <c r="N19" s="7">
        <f>IF(D19="","",I19*100/D19)</f>
        <v>70</v>
      </c>
      <c r="O19" s="7">
        <f>IF(E19="","",J19*100/E19)</f>
        <v>60</v>
      </c>
      <c r="P19" s="7" t="str">
        <f>IF(F19="","",K19*100/F19)</f>
        <v/>
      </c>
      <c r="Q19" s="7" t="str">
        <f>IF(G19="","",L19*100/G19)</f>
        <v/>
      </c>
      <c r="R19" s="3" t="str">
        <f>IF(M19&gt;=$E$10,"1","0")</f>
        <v>1</v>
      </c>
      <c r="S19" s="3" t="str">
        <f>IF(N19&gt;=$E$10,"1","0")</f>
        <v>1</v>
      </c>
      <c r="T19" s="3" t="str">
        <f>IF(O19&gt;=$E$10,"1","0")</f>
        <v>1</v>
      </c>
      <c r="W19" s="3">
        <f>Theory!D9</f>
        <v>34</v>
      </c>
    </row>
    <row r="20" ht="16.5" customHeight="1">
      <c r="A20" s="3">
        <f>Theory!A10</f>
        <v>5</v>
      </c>
      <c r="B20" s="3" t="str">
        <f>Theory!B10</f>
        <v>7376231EE106</v>
      </c>
      <c r="C20" s="7">
        <v>20</v>
      </c>
      <c r="D20" s="7">
        <v>20</v>
      </c>
      <c r="E20" s="7">
        <v>10</v>
      </c>
      <c r="H20" s="3">
        <v>13</v>
      </c>
      <c r="I20" s="3">
        <v>13</v>
      </c>
      <c r="J20" s="4">
        <v>6</v>
      </c>
      <c r="M20" s="7">
        <f>IF(C20="","",H20*100/C20)</f>
        <v>65</v>
      </c>
      <c r="N20" s="7">
        <f>IF(D20="","",I20*100/D20)</f>
        <v>65</v>
      </c>
      <c r="O20" s="7">
        <f>IF(E20="","",J20*100/E20)</f>
        <v>60</v>
      </c>
      <c r="P20" s="7" t="str">
        <f>IF(F20="","",K20*100/F20)</f>
        <v/>
      </c>
      <c r="Q20" s="7" t="str">
        <f>IF(G20="","",L20*100/G20)</f>
        <v/>
      </c>
      <c r="R20" s="3" t="str">
        <f>IF(M20&gt;=$E$10,"1","0")</f>
        <v>1</v>
      </c>
      <c r="S20" s="3" t="str">
        <f>IF(N20&gt;=$E$10,"1","0")</f>
        <v>1</v>
      </c>
      <c r="T20" s="3" t="str">
        <f>IF(O20&gt;=$E$10,"1","0")</f>
        <v>1</v>
      </c>
      <c r="W20" s="3">
        <f>Theory!D10</f>
        <v>32</v>
      </c>
    </row>
    <row r="21" ht="16.5" customHeight="1">
      <c r="A21" s="3">
        <f>Theory!A11</f>
        <v>6</v>
      </c>
      <c r="B21" s="3" t="str">
        <f>Theory!B11</f>
        <v>7376231EE107</v>
      </c>
      <c r="C21" s="7">
        <v>20</v>
      </c>
      <c r="D21" s="7">
        <v>20</v>
      </c>
      <c r="E21" s="7">
        <v>10</v>
      </c>
      <c r="H21" s="3">
        <v>14</v>
      </c>
      <c r="I21" s="3">
        <v>14</v>
      </c>
      <c r="J21" s="4">
        <v>6</v>
      </c>
      <c r="M21" s="7">
        <f>IF(C21="","",H21*100/C21)</f>
        <v>70</v>
      </c>
      <c r="N21" s="7">
        <f>IF(D21="","",I21*100/D21)</f>
        <v>70</v>
      </c>
      <c r="O21" s="7">
        <f>IF(E21="","",J21*100/E21)</f>
        <v>60</v>
      </c>
      <c r="P21" s="7" t="str">
        <f>IF(F21="","",K21*100/F21)</f>
        <v/>
      </c>
      <c r="Q21" s="7" t="str">
        <f>IF(G21="","",L21*100/G21)</f>
        <v/>
      </c>
      <c r="R21" s="3" t="str">
        <f>IF(M21&gt;=$E$10,"1","0")</f>
        <v>1</v>
      </c>
      <c r="S21" s="3" t="str">
        <f>IF(N21&gt;=$E$10,"1","0")</f>
        <v>1</v>
      </c>
      <c r="T21" s="3" t="str">
        <f>IF(O21&gt;=$E$10,"1","0")</f>
        <v>1</v>
      </c>
      <c r="W21" s="3">
        <f>Theory!D11</f>
        <v>34</v>
      </c>
    </row>
    <row r="22" ht="16.5" customHeight="1">
      <c r="A22" s="3">
        <f>Theory!A12</f>
        <v>7</v>
      </c>
      <c r="B22" s="3" t="str">
        <f>Theory!B12</f>
        <v>7376231EE108</v>
      </c>
      <c r="C22" s="7">
        <v>20</v>
      </c>
      <c r="D22" s="7">
        <v>20</v>
      </c>
      <c r="E22" s="7">
        <v>10</v>
      </c>
      <c r="H22" s="3">
        <v>14</v>
      </c>
      <c r="I22" s="3">
        <v>14</v>
      </c>
      <c r="J22" s="4">
        <v>6</v>
      </c>
      <c r="M22" s="7">
        <f>IF(C22="","",H22*100/C22)</f>
        <v>70</v>
      </c>
      <c r="N22" s="7">
        <f>IF(D22="","",I22*100/D22)</f>
        <v>70</v>
      </c>
      <c r="O22" s="7">
        <f>IF(E22="","",J22*100/E22)</f>
        <v>60</v>
      </c>
      <c r="P22" s="7" t="str">
        <f>IF(F22="","",K22*100/F22)</f>
        <v/>
      </c>
      <c r="Q22" s="7" t="str">
        <f>IF(G22="","",L22*100/G22)</f>
        <v/>
      </c>
      <c r="R22" s="3" t="str">
        <f>IF(M22&gt;=$E$10,"1","0")</f>
        <v>1</v>
      </c>
      <c r="S22" s="3" t="str">
        <f>IF(N22&gt;=$E$10,"1","0")</f>
        <v>1</v>
      </c>
      <c r="T22" s="3" t="str">
        <f>IF(O22&gt;=$E$10,"1","0")</f>
        <v>1</v>
      </c>
      <c r="W22" s="3">
        <f>Theory!D12</f>
        <v>34</v>
      </c>
    </row>
    <row r="23" ht="16.5" customHeight="1">
      <c r="A23" s="3">
        <f>Theory!A13</f>
        <v>8</v>
      </c>
      <c r="B23" s="3" t="str">
        <f>Theory!B13</f>
        <v>7376231EE109</v>
      </c>
      <c r="C23" s="7">
        <v>20</v>
      </c>
      <c r="D23" s="7">
        <v>20</v>
      </c>
      <c r="E23" s="7">
        <v>10</v>
      </c>
      <c r="H23" s="3">
        <v>13</v>
      </c>
      <c r="I23" s="3">
        <v>13</v>
      </c>
      <c r="J23" s="4">
        <v>7</v>
      </c>
      <c r="M23" s="7">
        <f>IF(C23="","",H23*100/C23)</f>
        <v>65</v>
      </c>
      <c r="N23" s="7">
        <f>IF(D23="","",I23*100/D23)</f>
        <v>65</v>
      </c>
      <c r="O23" s="7">
        <f>IF(E23="","",J23*100/E23)</f>
        <v>70</v>
      </c>
      <c r="P23" s="7" t="str">
        <f>IF(F23="","",K23*100/F23)</f>
        <v/>
      </c>
      <c r="Q23" s="7" t="str">
        <f>IF(G23="","",L23*100/G23)</f>
        <v/>
      </c>
      <c r="R23" s="3" t="str">
        <f>IF(M23&gt;=$E$10,"1","0")</f>
        <v>1</v>
      </c>
      <c r="S23" s="3" t="str">
        <f>IF(N23&gt;=$E$10,"1","0")</f>
        <v>1</v>
      </c>
      <c r="T23" s="3" t="str">
        <f>IF(O23&gt;=$E$10,"1","0")</f>
        <v>1</v>
      </c>
      <c r="W23" s="3">
        <f>Theory!D13</f>
        <v>33</v>
      </c>
    </row>
    <row r="24" ht="16.5" customHeight="1">
      <c r="A24" s="3">
        <f>Theory!A14</f>
        <v>9</v>
      </c>
      <c r="B24" s="3" t="str">
        <f>Theory!B14</f>
        <v>7376231EE110</v>
      </c>
      <c r="C24" s="7">
        <v>20</v>
      </c>
      <c r="D24" s="7">
        <v>20</v>
      </c>
      <c r="E24" s="7">
        <v>10</v>
      </c>
      <c r="H24" s="3">
        <v>15</v>
      </c>
      <c r="I24" s="3">
        <v>14</v>
      </c>
      <c r="J24" s="4">
        <v>7</v>
      </c>
      <c r="M24" s="7">
        <f>IF(C24="","",H24*100/C24)</f>
        <v>75</v>
      </c>
      <c r="N24" s="7">
        <f>IF(D24="","",I24*100/D24)</f>
        <v>70</v>
      </c>
      <c r="O24" s="7">
        <f>IF(E24="","",J24*100/E24)</f>
        <v>70</v>
      </c>
      <c r="P24" s="7" t="str">
        <f>IF(F24="","",K24*100/F24)</f>
        <v/>
      </c>
      <c r="Q24" s="7" t="str">
        <f>IF(G24="","",L24*100/G24)</f>
        <v/>
      </c>
      <c r="R24" s="3" t="str">
        <f>IF(M24&gt;=$E$10,"1","0")</f>
        <v>1</v>
      </c>
      <c r="S24" s="3" t="str">
        <f>IF(N24&gt;=$E$10,"1","0")</f>
        <v>1</v>
      </c>
      <c r="T24" s="3" t="str">
        <f>IF(O24&gt;=$E$10,"1","0")</f>
        <v>1</v>
      </c>
      <c r="W24" s="3">
        <f>Theory!D14</f>
        <v>36</v>
      </c>
    </row>
    <row r="25" ht="16.5" customHeight="1">
      <c r="A25" s="3">
        <f>Theory!A15</f>
        <v>10</v>
      </c>
      <c r="B25" s="3" t="str">
        <f>Theory!B15</f>
        <v>7376231EE111</v>
      </c>
      <c r="C25" s="7">
        <v>20</v>
      </c>
      <c r="D25" s="7">
        <v>20</v>
      </c>
      <c r="E25" s="7">
        <v>10</v>
      </c>
      <c r="H25" s="3">
        <v>6</v>
      </c>
      <c r="I25" s="3">
        <v>5</v>
      </c>
      <c r="J25" s="4">
        <v>3</v>
      </c>
      <c r="M25" s="7">
        <f>IF(C25="","",H25*100/C25)</f>
        <v>30</v>
      </c>
      <c r="N25" s="7">
        <f>IF(D25="","",I25*100/D25)</f>
        <v>25</v>
      </c>
      <c r="O25" s="7">
        <f>IF(E25="","",J25*100/E25)</f>
        <v>30</v>
      </c>
      <c r="P25" s="7" t="str">
        <f>IF(F25="","",K25*100/F25)</f>
        <v/>
      </c>
      <c r="Q25" s="7" t="str">
        <f>IF(G25="","",L25*100/G25)</f>
        <v/>
      </c>
      <c r="R25" s="3" t="str">
        <f>IF(M25&gt;=$E$10,"1","0")</f>
        <v>0</v>
      </c>
      <c r="S25" s="3" t="str">
        <f>IF(N25&gt;=$E$10,"1","0")</f>
        <v>0</v>
      </c>
      <c r="T25" s="3" t="str">
        <f>IF(O25&gt;=$E$10,"1","0")</f>
        <v>0</v>
      </c>
      <c r="W25" s="3">
        <f>Theory!D15</f>
        <v>14</v>
      </c>
    </row>
    <row r="26" ht="16.5" customHeight="1">
      <c r="A26" s="3">
        <f>Theory!A16</f>
        <v>11</v>
      </c>
      <c r="B26" s="3" t="str">
        <f>Theory!B16</f>
        <v>7376231EE112</v>
      </c>
      <c r="C26" s="7">
        <v>20</v>
      </c>
      <c r="D26" s="7">
        <v>20</v>
      </c>
      <c r="E26" s="7">
        <v>10</v>
      </c>
      <c r="H26" s="3">
        <v>13</v>
      </c>
      <c r="I26" s="3">
        <v>13</v>
      </c>
      <c r="J26" s="4">
        <v>6</v>
      </c>
      <c r="M26" s="7">
        <f>IF(C26="","",H26*100/C26)</f>
        <v>65</v>
      </c>
      <c r="N26" s="7">
        <f>IF(D26="","",I26*100/D26)</f>
        <v>65</v>
      </c>
      <c r="O26" s="7">
        <f>IF(E26="","",J26*100/E26)</f>
        <v>60</v>
      </c>
      <c r="P26" s="7" t="str">
        <f>IF(F26="","",K26*100/F26)</f>
        <v/>
      </c>
      <c r="Q26" s="7" t="str">
        <f>IF(G26="","",L26*100/G26)</f>
        <v/>
      </c>
      <c r="R26" s="3" t="str">
        <f>IF(M26&gt;=$E$10,"1","0")</f>
        <v>1</v>
      </c>
      <c r="S26" s="3" t="str">
        <f>IF(N26&gt;=$E$10,"1","0")</f>
        <v>1</v>
      </c>
      <c r="T26" s="3" t="str">
        <f>IF(O26&gt;=$E$10,"1","0")</f>
        <v>1</v>
      </c>
      <c r="W26" s="3">
        <f>Theory!D16</f>
        <v>32</v>
      </c>
    </row>
    <row r="27" ht="16.5" customHeight="1">
      <c r="A27" s="3">
        <f>Theory!A17</f>
        <v>12</v>
      </c>
      <c r="B27" s="3" t="str">
        <f>Theory!B17</f>
        <v>7376231EE113</v>
      </c>
      <c r="C27" s="7">
        <v>20</v>
      </c>
      <c r="D27" s="7">
        <v>20</v>
      </c>
      <c r="E27" s="7">
        <v>10</v>
      </c>
      <c r="H27" s="3">
        <v>12</v>
      </c>
      <c r="I27" s="3">
        <v>13</v>
      </c>
      <c r="J27" s="4">
        <v>5</v>
      </c>
      <c r="M27" s="7">
        <f>IF(C27="","",H27*100/C27)</f>
        <v>60</v>
      </c>
      <c r="N27" s="7">
        <f>IF(D27="","",I27*100/D27)</f>
        <v>65</v>
      </c>
      <c r="O27" s="7">
        <f>IF(E27="","",J27*100/E27)</f>
        <v>50</v>
      </c>
      <c r="P27" s="7" t="str">
        <f>IF(F27="","",K27*100/F27)</f>
        <v/>
      </c>
      <c r="Q27" s="7" t="str">
        <f>IF(G27="","",L27*100/G27)</f>
        <v/>
      </c>
      <c r="R27" s="3" t="str">
        <f>IF(M27&gt;=$E$10,"1","0")</f>
        <v>1</v>
      </c>
      <c r="S27" s="3" t="str">
        <f>IF(N27&gt;=$E$10,"1","0")</f>
        <v>1</v>
      </c>
      <c r="T27" s="3" t="str">
        <f>IF(O27&gt;=$E$10,"1","0")</f>
        <v>0</v>
      </c>
      <c r="W27" s="3">
        <f>Theory!D17</f>
        <v>30</v>
      </c>
    </row>
    <row r="28" ht="16.5" customHeight="1">
      <c r="A28" s="3">
        <f>Theory!A18</f>
        <v>13</v>
      </c>
      <c r="B28" s="3" t="str">
        <f>Theory!B18</f>
        <v>7376231EE114</v>
      </c>
      <c r="C28" s="7">
        <v>20</v>
      </c>
      <c r="D28" s="7">
        <v>20</v>
      </c>
      <c r="E28" s="7">
        <v>10</v>
      </c>
      <c r="H28" s="3">
        <v>12</v>
      </c>
      <c r="I28" s="3">
        <v>13</v>
      </c>
      <c r="J28" s="4">
        <v>5</v>
      </c>
      <c r="M28" s="7">
        <f>IF(C28="","",H28*100/C28)</f>
        <v>60</v>
      </c>
      <c r="N28" s="7">
        <f>IF(D28="","",I28*100/D28)</f>
        <v>65</v>
      </c>
      <c r="O28" s="7">
        <f>IF(E28="","",J28*100/E28)</f>
        <v>50</v>
      </c>
      <c r="P28" s="7" t="str">
        <f>IF(F28="","",K28*100/F28)</f>
        <v/>
      </c>
      <c r="Q28" s="7" t="str">
        <f>IF(G28="","",L28*100/G28)</f>
        <v/>
      </c>
      <c r="R28" s="3" t="str">
        <f>IF(M28&gt;=$E$10,"1","0")</f>
        <v>1</v>
      </c>
      <c r="S28" s="3" t="str">
        <f>IF(N28&gt;=$E$10,"1","0")</f>
        <v>1</v>
      </c>
      <c r="T28" s="3" t="str">
        <f>IF(O28&gt;=$E$10,"1","0")</f>
        <v>0</v>
      </c>
      <c r="W28" s="3">
        <f>Theory!D18</f>
        <v>30</v>
      </c>
    </row>
    <row r="29" ht="16.5" customHeight="1">
      <c r="A29" s="3">
        <f>Theory!A19</f>
        <v>14</v>
      </c>
      <c r="B29" s="3" t="str">
        <f>Theory!B19</f>
        <v>7376231EE115</v>
      </c>
      <c r="C29" s="7">
        <v>20</v>
      </c>
      <c r="D29" s="7">
        <v>20</v>
      </c>
      <c r="E29" s="7">
        <v>10</v>
      </c>
      <c r="H29" s="3">
        <v>9</v>
      </c>
      <c r="I29" s="3">
        <v>7</v>
      </c>
      <c r="J29" s="4">
        <v>4</v>
      </c>
      <c r="M29" s="7">
        <f>IF(C29="","",H29*100/C29)</f>
        <v>45</v>
      </c>
      <c r="N29" s="7">
        <f>IF(D29="","",I29*100/D29)</f>
        <v>35</v>
      </c>
      <c r="O29" s="7">
        <f>IF(E29="","",J29*100/E29)</f>
        <v>40</v>
      </c>
      <c r="P29" s="7" t="str">
        <f>IF(F29="","",K29*100/F29)</f>
        <v/>
      </c>
      <c r="Q29" s="7" t="str">
        <f>IF(G29="","",L29*100/G29)</f>
        <v/>
      </c>
      <c r="R29" s="3" t="str">
        <f>IF(M29&gt;=$E$10,"1","0")</f>
        <v>0</v>
      </c>
      <c r="S29" s="3" t="str">
        <f>IF(N29&gt;=$E$10,"1","0")</f>
        <v>0</v>
      </c>
      <c r="T29" s="3" t="str">
        <f>IF(O29&gt;=$E$10,"1","0")</f>
        <v>0</v>
      </c>
      <c r="W29" s="3">
        <f>Theory!D19</f>
        <v>20</v>
      </c>
    </row>
    <row r="30" ht="16.5" customHeight="1">
      <c r="A30" s="3">
        <f>Theory!A20</f>
        <v>15</v>
      </c>
      <c r="B30" s="3" t="str">
        <f>Theory!B20</f>
        <v>7376231EE116</v>
      </c>
      <c r="C30" s="7">
        <v>20</v>
      </c>
      <c r="D30" s="7">
        <v>20</v>
      </c>
      <c r="E30" s="7">
        <v>10</v>
      </c>
      <c r="H30" s="3">
        <v>11</v>
      </c>
      <c r="I30" s="3">
        <v>11</v>
      </c>
      <c r="J30" s="4">
        <v>6</v>
      </c>
      <c r="M30" s="7">
        <f>IF(C30="","",H30*100/C30)</f>
        <v>55</v>
      </c>
      <c r="N30" s="7">
        <f>IF(D30="","",I30*100/D30)</f>
        <v>55</v>
      </c>
      <c r="O30" s="7">
        <f>IF(E30="","",J30*100/E30)</f>
        <v>60</v>
      </c>
      <c r="P30" s="7" t="str">
        <f>IF(F30="","",K30*100/F30)</f>
        <v/>
      </c>
      <c r="Q30" s="7" t="str">
        <f>IF(G30="","",L30*100/G30)</f>
        <v/>
      </c>
      <c r="R30" s="3" t="str">
        <f>IF(M30&gt;=$E$10,"1","0")</f>
        <v>0</v>
      </c>
      <c r="S30" s="3" t="str">
        <f>IF(N30&gt;=$E$10,"1","0")</f>
        <v>0</v>
      </c>
      <c r="T30" s="3" t="str">
        <f>IF(O30&gt;=$E$10,"1","0")</f>
        <v>1</v>
      </c>
      <c r="W30" s="3">
        <f>Theory!D20</f>
        <v>28</v>
      </c>
    </row>
    <row r="31" ht="16.5" customHeight="1">
      <c r="A31" s="3">
        <f>Theory!A21</f>
        <v>16</v>
      </c>
      <c r="B31" s="3" t="str">
        <f>Theory!B21</f>
        <v>7376231EE117</v>
      </c>
      <c r="C31" s="7">
        <v>20</v>
      </c>
      <c r="D31" s="7">
        <v>20</v>
      </c>
      <c r="E31" s="7">
        <v>10</v>
      </c>
      <c r="H31" s="3">
        <v>11</v>
      </c>
      <c r="I31" s="3">
        <v>8</v>
      </c>
      <c r="J31" s="4">
        <v>3</v>
      </c>
      <c r="M31" s="7">
        <f>IF(C31="","",H31*100/C31)</f>
        <v>55</v>
      </c>
      <c r="N31" s="7">
        <f>IF(D31="","",I31*100/D31)</f>
        <v>40</v>
      </c>
      <c r="O31" s="7">
        <f>IF(E31="","",J31*100/E31)</f>
        <v>30</v>
      </c>
      <c r="P31" s="7" t="str">
        <f>IF(F31="","",K31*100/F31)</f>
        <v/>
      </c>
      <c r="Q31" s="7" t="str">
        <f>IF(G31="","",L31*100/G31)</f>
        <v/>
      </c>
      <c r="R31" s="3" t="str">
        <f>IF(M31&gt;=$E$10,"1","0")</f>
        <v>0</v>
      </c>
      <c r="S31" s="3" t="str">
        <f>IF(N31&gt;=$E$10,"1","0")</f>
        <v>0</v>
      </c>
      <c r="T31" s="3" t="str">
        <f>IF(O31&gt;=$E$10,"1","0")</f>
        <v>0</v>
      </c>
      <c r="W31" s="3">
        <f>Theory!D21</f>
        <v>22</v>
      </c>
    </row>
    <row r="32" ht="16.5" customHeight="1">
      <c r="A32" s="3">
        <f>Theory!A22</f>
        <v>17</v>
      </c>
      <c r="B32" s="3" t="str">
        <f>Theory!B22</f>
        <v>7376231EE118</v>
      </c>
      <c r="C32" s="7">
        <v>20</v>
      </c>
      <c r="D32" s="7">
        <v>20</v>
      </c>
      <c r="E32" s="7">
        <v>10</v>
      </c>
      <c r="H32" s="3">
        <v>12</v>
      </c>
      <c r="I32" s="3">
        <v>13</v>
      </c>
      <c r="J32" s="4">
        <v>5</v>
      </c>
      <c r="M32" s="7">
        <f>IF(C32="","",H32*100/C32)</f>
        <v>60</v>
      </c>
      <c r="N32" s="7">
        <f>IF(D32="","",I32*100/D32)</f>
        <v>65</v>
      </c>
      <c r="O32" s="7">
        <f>IF(E32="","",J32*100/E32)</f>
        <v>50</v>
      </c>
      <c r="P32" s="7" t="str">
        <f>IF(F32="","",K32*100/F32)</f>
        <v/>
      </c>
      <c r="Q32" s="7" t="str">
        <f>IF(G32="","",L32*100/G32)</f>
        <v/>
      </c>
      <c r="R32" s="3" t="str">
        <f>IF(M32&gt;=$E$10,"1","0")</f>
        <v>1</v>
      </c>
      <c r="S32" s="3" t="str">
        <f>IF(N32&gt;=$E$10,"1","0")</f>
        <v>1</v>
      </c>
      <c r="T32" s="3" t="str">
        <f>IF(O32&gt;=$E$10,"1","0")</f>
        <v>0</v>
      </c>
      <c r="W32" s="3">
        <f>Theory!D22</f>
        <v>30</v>
      </c>
    </row>
    <row r="33" ht="16.5" customHeight="1">
      <c r="A33" s="3">
        <f>Theory!A23</f>
        <v>18</v>
      </c>
      <c r="B33" s="3" t="str">
        <f>Theory!B23</f>
        <v>7376231EE119</v>
      </c>
      <c r="C33" s="7">
        <v>20</v>
      </c>
      <c r="D33" s="7">
        <v>20</v>
      </c>
      <c r="E33" s="7">
        <v>10</v>
      </c>
      <c r="H33" s="3">
        <v>13</v>
      </c>
      <c r="I33" s="3">
        <v>12</v>
      </c>
      <c r="J33" s="4">
        <v>6</v>
      </c>
      <c r="M33" s="7">
        <f>IF(C33="","",H33*100/C33)</f>
        <v>65</v>
      </c>
      <c r="N33" s="7">
        <f>IF(D33="","",I33*100/D33)</f>
        <v>60</v>
      </c>
      <c r="O33" s="7">
        <f>IF(E33="","",J33*100/E33)</f>
        <v>60</v>
      </c>
      <c r="P33" s="7" t="str">
        <f>IF(F33="","",K33*100/F33)</f>
        <v/>
      </c>
      <c r="Q33" s="7" t="str">
        <f>IF(G33="","",L33*100/G33)</f>
        <v/>
      </c>
      <c r="R33" s="3" t="str">
        <f>IF(M33&gt;=$E$10,"1","0")</f>
        <v>1</v>
      </c>
      <c r="S33" s="3" t="str">
        <f>IF(N33&gt;=$E$10,"1","0")</f>
        <v>1</v>
      </c>
      <c r="T33" s="3" t="str">
        <f>IF(O33&gt;=$E$10,"1","0")</f>
        <v>1</v>
      </c>
      <c r="W33" s="3">
        <f>Theory!D23</f>
        <v>31</v>
      </c>
    </row>
    <row r="34" ht="16.5" customHeight="1">
      <c r="A34" s="3">
        <f>Theory!A24</f>
        <v>19</v>
      </c>
      <c r="B34" s="3" t="str">
        <f>Theory!B24</f>
        <v>7376231EE120</v>
      </c>
      <c r="C34" s="7">
        <v>20</v>
      </c>
      <c r="D34" s="7">
        <v>20</v>
      </c>
      <c r="E34" s="7">
        <v>10</v>
      </c>
      <c r="H34" s="3">
        <v>13</v>
      </c>
      <c r="I34" s="3">
        <v>13</v>
      </c>
      <c r="J34" s="4">
        <v>7</v>
      </c>
      <c r="M34" s="7">
        <f>IF(C34="","",H34*100/C34)</f>
        <v>65</v>
      </c>
      <c r="N34" s="7">
        <f>IF(D34="","",I34*100/D34)</f>
        <v>65</v>
      </c>
      <c r="O34" s="7">
        <f>IF(E34="","",J34*100/E34)</f>
        <v>70</v>
      </c>
      <c r="P34" s="7" t="str">
        <f>IF(F34="","",K34*100/F34)</f>
        <v/>
      </c>
      <c r="Q34" s="7" t="str">
        <f>IF(G34="","",L34*100/G34)</f>
        <v/>
      </c>
      <c r="R34" s="3" t="str">
        <f>IF(M34&gt;=$E$10,"1","0")</f>
        <v>1</v>
      </c>
      <c r="S34" s="3" t="str">
        <f>IF(N34&gt;=$E$10,"1","0")</f>
        <v>1</v>
      </c>
      <c r="T34" s="3" t="str">
        <f>IF(O34&gt;=$E$10,"1","0")</f>
        <v>1</v>
      </c>
      <c r="W34" s="3">
        <f>Theory!D24</f>
        <v>33</v>
      </c>
    </row>
    <row r="35" ht="16.5" customHeight="1">
      <c r="A35" s="3">
        <f>Theory!A25</f>
        <v>20</v>
      </c>
      <c r="B35" s="3" t="str">
        <f>Theory!B25</f>
        <v>7376231EE121</v>
      </c>
      <c r="C35" s="7">
        <v>20</v>
      </c>
      <c r="D35" s="7">
        <v>20</v>
      </c>
      <c r="E35" s="7">
        <v>10</v>
      </c>
      <c r="H35" s="3">
        <v>13</v>
      </c>
      <c r="I35" s="3">
        <v>13</v>
      </c>
      <c r="J35" s="4">
        <v>7</v>
      </c>
      <c r="M35" s="7">
        <f>IF(C35="","",H35*100/C35)</f>
        <v>65</v>
      </c>
      <c r="N35" s="7">
        <f>IF(D35="","",I35*100/D35)</f>
        <v>65</v>
      </c>
      <c r="O35" s="7">
        <f>IF(E35="","",J35*100/E35)</f>
        <v>70</v>
      </c>
      <c r="P35" s="7" t="str">
        <f>IF(F35="","",K35*100/F35)</f>
        <v/>
      </c>
      <c r="Q35" s="7" t="str">
        <f>IF(G35="","",L35*100/G35)</f>
        <v/>
      </c>
      <c r="R35" s="3" t="str">
        <f>IF(M35&gt;=$E$10,"1","0")</f>
        <v>1</v>
      </c>
      <c r="S35" s="3" t="str">
        <f>IF(N35&gt;=$E$10,"1","0")</f>
        <v>1</v>
      </c>
      <c r="T35" s="3" t="str">
        <f>IF(O35&gt;=$E$10,"1","0")</f>
        <v>1</v>
      </c>
      <c r="W35" s="3">
        <f>Theory!D25</f>
        <v>33</v>
      </c>
    </row>
    <row r="36" ht="16.5" customHeight="1">
      <c r="A36" s="3">
        <f>Theory!A26</f>
        <v>21</v>
      </c>
      <c r="B36" s="3" t="str">
        <f>Theory!B26</f>
        <v>7376231EE122</v>
      </c>
      <c r="C36" s="7">
        <v>20</v>
      </c>
      <c r="D36" s="7">
        <v>20</v>
      </c>
      <c r="E36" s="7">
        <v>10</v>
      </c>
      <c r="H36" s="3">
        <v>14</v>
      </c>
      <c r="I36" s="3">
        <v>14</v>
      </c>
      <c r="J36" s="4">
        <v>7</v>
      </c>
      <c r="M36" s="7">
        <f>IF(C36="","",H36*100/C36)</f>
        <v>70</v>
      </c>
      <c r="N36" s="7">
        <f>IF(D36="","",I36*100/D36)</f>
        <v>70</v>
      </c>
      <c r="O36" s="7">
        <f>IF(E36="","",J36*100/E36)</f>
        <v>70</v>
      </c>
      <c r="P36" s="7" t="str">
        <f>IF(F36="","",K36*100/F36)</f>
        <v/>
      </c>
      <c r="Q36" s="7" t="str">
        <f>IF(G36="","",L36*100/G36)</f>
        <v/>
      </c>
      <c r="R36" s="3" t="str">
        <f>IF(M36&gt;=$E$10,"1","0")</f>
        <v>1</v>
      </c>
      <c r="S36" s="3" t="str">
        <f>IF(N36&gt;=$E$10,"1","0")</f>
        <v>1</v>
      </c>
      <c r="T36" s="3" t="str">
        <f>IF(O36&gt;=$E$10,"1","0")</f>
        <v>1</v>
      </c>
      <c r="W36" s="3">
        <f>Theory!D26</f>
        <v>35</v>
      </c>
    </row>
    <row r="37" ht="16.5" customHeight="1">
      <c r="A37" s="3">
        <f>Theory!A27</f>
        <v>22</v>
      </c>
      <c r="B37" s="3" t="str">
        <f>Theory!B27</f>
        <v>7376231EE123</v>
      </c>
      <c r="C37" s="7">
        <v>20</v>
      </c>
      <c r="D37" s="7">
        <v>20</v>
      </c>
      <c r="E37" s="7">
        <v>10</v>
      </c>
      <c r="H37" s="3">
        <v>13</v>
      </c>
      <c r="I37" s="3">
        <v>13</v>
      </c>
      <c r="J37" s="4">
        <v>7</v>
      </c>
      <c r="M37" s="7">
        <f>IF(C37="","",H37*100/C37)</f>
        <v>65</v>
      </c>
      <c r="N37" s="7">
        <f>IF(D37="","",I37*100/D37)</f>
        <v>65</v>
      </c>
      <c r="O37" s="7">
        <f>IF(E37="","",J37*100/E37)</f>
        <v>70</v>
      </c>
      <c r="P37" s="7" t="str">
        <f>IF(F37="","",K37*100/F37)</f>
        <v/>
      </c>
      <c r="Q37" s="7" t="str">
        <f>IF(G37="","",L37*100/G37)</f>
        <v/>
      </c>
      <c r="R37" s="3" t="str">
        <f>IF(M37&gt;=$E$10,"1","0")</f>
        <v>1</v>
      </c>
      <c r="S37" s="3" t="str">
        <f>IF(N37&gt;=$E$10,"1","0")</f>
        <v>1</v>
      </c>
      <c r="T37" s="3" t="str">
        <f>IF(O37&gt;=$E$10,"1","0")</f>
        <v>1</v>
      </c>
      <c r="W37" s="3">
        <f>Theory!D27</f>
        <v>33</v>
      </c>
    </row>
    <row r="38" ht="16.5" customHeight="1">
      <c r="A38" s="3">
        <f>Theory!A28</f>
        <v>23</v>
      </c>
      <c r="B38" s="3" t="str">
        <f>Theory!B28</f>
        <v>7376231EE124</v>
      </c>
      <c r="C38" s="7">
        <v>20</v>
      </c>
      <c r="D38" s="7">
        <v>20</v>
      </c>
      <c r="E38" s="7">
        <v>10</v>
      </c>
      <c r="H38" s="3">
        <v>13</v>
      </c>
      <c r="I38" s="3">
        <v>12</v>
      </c>
      <c r="J38" s="4">
        <v>6</v>
      </c>
      <c r="M38" s="7">
        <f>IF(C38="","",H38*100/C38)</f>
        <v>65</v>
      </c>
      <c r="N38" s="7">
        <f>IF(D38="","",I38*100/D38)</f>
        <v>60</v>
      </c>
      <c r="O38" s="7">
        <f>IF(E38="","",J38*100/E38)</f>
        <v>60</v>
      </c>
      <c r="P38" s="7" t="str">
        <f>IF(F38="","",K38*100/F38)</f>
        <v/>
      </c>
      <c r="Q38" s="7" t="str">
        <f>IF(G38="","",L38*100/G38)</f>
        <v/>
      </c>
      <c r="R38" s="3" t="str">
        <f>IF(M38&gt;=$E$10,"1","0")</f>
        <v>1</v>
      </c>
      <c r="S38" s="3" t="str">
        <f>IF(N38&gt;=$E$10,"1","0")</f>
        <v>1</v>
      </c>
      <c r="T38" s="3" t="str">
        <f>IF(O38&gt;=$E$10,"1","0")</f>
        <v>1</v>
      </c>
      <c r="W38" s="3">
        <f>Theory!D28</f>
        <v>31</v>
      </c>
    </row>
    <row r="39" ht="16.5" customHeight="1">
      <c r="A39" s="3">
        <f>Theory!A29</f>
        <v>24</v>
      </c>
      <c r="B39" s="3" t="str">
        <f>Theory!B29</f>
        <v>7376231EE125</v>
      </c>
      <c r="C39" s="7">
        <v>20</v>
      </c>
      <c r="D39" s="7">
        <v>20</v>
      </c>
      <c r="E39" s="7">
        <v>10</v>
      </c>
      <c r="H39" s="3">
        <v>13</v>
      </c>
      <c r="I39" s="3">
        <v>13</v>
      </c>
      <c r="J39" s="4">
        <v>6</v>
      </c>
      <c r="M39" s="7">
        <f>IF(C39="","",H39*100/C39)</f>
        <v>65</v>
      </c>
      <c r="N39" s="7">
        <f>IF(D39="","",I39*100/D39)</f>
        <v>65</v>
      </c>
      <c r="O39" s="7">
        <f>IF(E39="","",J39*100/E39)</f>
        <v>60</v>
      </c>
      <c r="P39" s="7" t="str">
        <f>IF(F39="","",K39*100/F39)</f>
        <v/>
      </c>
      <c r="Q39" s="7" t="str">
        <f>IF(G39="","",L39*100/G39)</f>
        <v/>
      </c>
      <c r="R39" s="3" t="str">
        <f>IF(M39&gt;=$E$10,"1","0")</f>
        <v>1</v>
      </c>
      <c r="S39" s="3" t="str">
        <f>IF(N39&gt;=$E$10,"1","0")</f>
        <v>1</v>
      </c>
      <c r="T39" s="3" t="str">
        <f>IF(O39&gt;=$E$10,"1","0")</f>
        <v>1</v>
      </c>
      <c r="W39" s="3">
        <f>Theory!D29</f>
        <v>32</v>
      </c>
    </row>
    <row r="40" ht="15.75" customHeight="1">
      <c r="A40" s="3">
        <f>Theory!A30</f>
        <v>25</v>
      </c>
      <c r="B40" s="3" t="str">
        <f>Theory!B30</f>
        <v>7376231EE126</v>
      </c>
      <c r="C40" s="7">
        <v>20</v>
      </c>
      <c r="D40" s="7">
        <v>20</v>
      </c>
      <c r="E40" s="7">
        <v>10</v>
      </c>
      <c r="H40" s="3">
        <v>14</v>
      </c>
      <c r="I40" s="3">
        <v>14</v>
      </c>
      <c r="J40" s="4">
        <v>6</v>
      </c>
      <c r="M40" s="7">
        <f>IF(C40="","",H40*100/C40)</f>
        <v>70</v>
      </c>
      <c r="N40" s="7">
        <f>IF(D40="","",I40*100/D40)</f>
        <v>70</v>
      </c>
      <c r="O40" s="7">
        <f>IF(E40="","",J40*100/E40)</f>
        <v>60</v>
      </c>
      <c r="P40" s="7" t="str">
        <f>IF(F40="","",K40*100/F40)</f>
        <v/>
      </c>
      <c r="Q40" s="7" t="str">
        <f>IF(G40="","",L40*100/G40)</f>
        <v/>
      </c>
      <c r="R40" s="3" t="str">
        <f>IF(M40&gt;=$E$10,"1","0")</f>
        <v>1</v>
      </c>
      <c r="S40" s="3" t="str">
        <f>IF(N40&gt;=$E$10,"1","0")</f>
        <v>1</v>
      </c>
      <c r="T40" s="3" t="str">
        <f>IF(O40&gt;=$E$10,"1","0")</f>
        <v>1</v>
      </c>
      <c r="W40" s="3">
        <f>Theory!D30</f>
        <v>34</v>
      </c>
    </row>
    <row r="41" ht="15.75" customHeight="1">
      <c r="A41" s="3">
        <f>Theory!A31</f>
        <v>26</v>
      </c>
      <c r="B41" s="3" t="str">
        <f>Theory!B31</f>
        <v>7376231EE127</v>
      </c>
      <c r="C41" s="7">
        <v>20</v>
      </c>
      <c r="D41" s="7">
        <v>20</v>
      </c>
      <c r="E41" s="7">
        <v>10</v>
      </c>
      <c r="H41" s="3">
        <v>12</v>
      </c>
      <c r="I41" s="3">
        <v>11</v>
      </c>
      <c r="J41" s="4">
        <v>6</v>
      </c>
      <c r="M41" s="7">
        <f>IF(C41="","",H41*100/C41)</f>
        <v>60</v>
      </c>
      <c r="N41" s="7">
        <f>IF(D41="","",I41*100/D41)</f>
        <v>55</v>
      </c>
      <c r="O41" s="7">
        <f>IF(E41="","",J41*100/E41)</f>
        <v>60</v>
      </c>
      <c r="P41" s="7" t="str">
        <f>IF(F41="","",K41*100/F41)</f>
        <v/>
      </c>
      <c r="Q41" s="7" t="str">
        <f>IF(G41="","",L41*100/G41)</f>
        <v/>
      </c>
      <c r="R41" s="3" t="str">
        <f>IF(M41&gt;=$E$10,"1","0")</f>
        <v>1</v>
      </c>
      <c r="S41" s="3" t="str">
        <f>IF(N41&gt;=$E$10,"1","0")</f>
        <v>0</v>
      </c>
      <c r="T41" s="3" t="str">
        <f>IF(O41&gt;=$E$10,"1","0")</f>
        <v>1</v>
      </c>
      <c r="W41" s="3">
        <f>Theory!D31</f>
        <v>29</v>
      </c>
    </row>
    <row r="42" ht="15.75" customHeight="1">
      <c r="A42" s="3">
        <f>Theory!A32</f>
        <v>27</v>
      </c>
      <c r="B42" s="3" t="str">
        <f>Theory!B32</f>
        <v>7376231EE128</v>
      </c>
      <c r="C42" s="7">
        <v>20</v>
      </c>
      <c r="D42" s="7">
        <v>20</v>
      </c>
      <c r="E42" s="7">
        <v>10</v>
      </c>
      <c r="H42" s="3">
        <v>9</v>
      </c>
      <c r="I42" s="3">
        <v>7</v>
      </c>
      <c r="J42" s="4">
        <v>4</v>
      </c>
      <c r="M42" s="7">
        <f>IF(C42="","",H42*100/C42)</f>
        <v>45</v>
      </c>
      <c r="N42" s="7">
        <f>IF(D42="","",I42*100/D42)</f>
        <v>35</v>
      </c>
      <c r="O42" s="7">
        <f>IF(E42="","",J42*100/E42)</f>
        <v>40</v>
      </c>
      <c r="P42" s="7" t="str">
        <f>IF(F42="","",K42*100/F42)</f>
        <v/>
      </c>
      <c r="Q42" s="7" t="str">
        <f>IF(G42="","",L42*100/G42)</f>
        <v/>
      </c>
      <c r="R42" s="3" t="str">
        <f>IF(M42&gt;=$E$10,"1","0")</f>
        <v>0</v>
      </c>
      <c r="S42" s="3" t="str">
        <f>IF(N42&gt;=$E$10,"1","0")</f>
        <v>0</v>
      </c>
      <c r="T42" s="3" t="str">
        <f>IF(O42&gt;=$E$10,"1","0")</f>
        <v>0</v>
      </c>
      <c r="W42" s="3">
        <f>Theory!D32</f>
        <v>20</v>
      </c>
    </row>
    <row r="43" ht="15.75" customHeight="1">
      <c r="A43" s="3">
        <f>Theory!A33</f>
        <v>28</v>
      </c>
      <c r="B43" s="3" t="str">
        <f>Theory!B33</f>
        <v>7376231EE129</v>
      </c>
      <c r="C43" s="7">
        <v>20</v>
      </c>
      <c r="D43" s="7">
        <v>20</v>
      </c>
      <c r="E43" s="7">
        <v>10</v>
      </c>
      <c r="H43" s="3">
        <v>12</v>
      </c>
      <c r="I43" s="3">
        <v>11</v>
      </c>
      <c r="J43" s="4">
        <v>6</v>
      </c>
      <c r="M43" s="7">
        <f>IF(C43="","",H43*100/C43)</f>
        <v>60</v>
      </c>
      <c r="N43" s="7">
        <f>IF(D43="","",I43*100/D43)</f>
        <v>55</v>
      </c>
      <c r="O43" s="7">
        <f>IF(E43="","",J43*100/E43)</f>
        <v>60</v>
      </c>
      <c r="P43" s="7" t="str">
        <f>IF(F43="","",K43*100/F43)</f>
        <v/>
      </c>
      <c r="Q43" s="7" t="str">
        <f>IF(G43="","",L43*100/G43)</f>
        <v/>
      </c>
      <c r="R43" s="3" t="str">
        <f>IF(M43&gt;=$E$10,"1","0")</f>
        <v>1</v>
      </c>
      <c r="S43" s="3" t="str">
        <f>IF(N43&gt;=$E$10,"1","0")</f>
        <v>0</v>
      </c>
      <c r="T43" s="3" t="str">
        <f>IF(O43&gt;=$E$10,"1","0")</f>
        <v>1</v>
      </c>
      <c r="W43" s="3">
        <f>Theory!D33</f>
        <v>29</v>
      </c>
    </row>
    <row r="44" ht="15.75" customHeight="1">
      <c r="A44" s="3">
        <f>Theory!A34</f>
        <v>29</v>
      </c>
      <c r="B44" s="3" t="str">
        <f>Theory!B34</f>
        <v>7376231EE130</v>
      </c>
      <c r="C44" s="7">
        <v>20</v>
      </c>
      <c r="D44" s="7">
        <v>20</v>
      </c>
      <c r="E44" s="7">
        <v>10</v>
      </c>
      <c r="H44" s="3">
        <v>13</v>
      </c>
      <c r="I44" s="3">
        <v>12</v>
      </c>
      <c r="J44" s="4">
        <v>6</v>
      </c>
      <c r="M44" s="7">
        <f>IF(C44="","",H44*100/C44)</f>
        <v>65</v>
      </c>
      <c r="N44" s="7">
        <f>IF(D44="","",I44*100/D44)</f>
        <v>60</v>
      </c>
      <c r="O44" s="7">
        <f>IF(E44="","",J44*100/E44)</f>
        <v>60</v>
      </c>
      <c r="P44" s="7" t="str">
        <f>IF(F44="","",K44*100/F44)</f>
        <v/>
      </c>
      <c r="Q44" s="7" t="str">
        <f>IF(G44="","",L44*100/G44)</f>
        <v/>
      </c>
      <c r="R44" s="3" t="str">
        <f>IF(M44&gt;=$E$10,"1","0")</f>
        <v>1</v>
      </c>
      <c r="S44" s="3" t="str">
        <f>IF(N44&gt;=$E$10,"1","0")</f>
        <v>1</v>
      </c>
      <c r="T44" s="3" t="str">
        <f>IF(O44&gt;=$E$10,"1","0")</f>
        <v>1</v>
      </c>
      <c r="W44" s="3">
        <f>Theory!D34</f>
        <v>31</v>
      </c>
    </row>
    <row r="45" ht="15.75" customHeight="1">
      <c r="A45" s="3">
        <f>Theory!A35</f>
        <v>30</v>
      </c>
      <c r="B45" s="3" t="str">
        <f>Theory!B35</f>
        <v>7376231EE131</v>
      </c>
      <c r="C45" s="7">
        <v>20</v>
      </c>
      <c r="D45" s="7">
        <v>20</v>
      </c>
      <c r="E45" s="7">
        <v>10</v>
      </c>
      <c r="H45" s="3">
        <v>8</v>
      </c>
      <c r="I45" s="3">
        <v>7</v>
      </c>
      <c r="J45" s="4">
        <v>4</v>
      </c>
      <c r="M45" s="7">
        <f>IF(C45="","",H45*100/C45)</f>
        <v>40</v>
      </c>
      <c r="N45" s="7">
        <f>IF(D45="","",I45*100/D45)</f>
        <v>35</v>
      </c>
      <c r="O45" s="7">
        <f>IF(E45="","",J45*100/E45)</f>
        <v>40</v>
      </c>
      <c r="P45" s="7" t="str">
        <f>IF(F45="","",K45*100/F45)</f>
        <v/>
      </c>
      <c r="Q45" s="7" t="str">
        <f>IF(G45="","",L45*100/G45)</f>
        <v/>
      </c>
      <c r="R45" s="3" t="str">
        <f>IF(M45&gt;=$E$10,"1","0")</f>
        <v>0</v>
      </c>
      <c r="S45" s="3" t="str">
        <f>IF(N45&gt;=$E$10,"1","0")</f>
        <v>0</v>
      </c>
      <c r="T45" s="3" t="str">
        <f>IF(O45&gt;=$E$10,"1","0")</f>
        <v>0</v>
      </c>
      <c r="W45" s="3">
        <f>Theory!D35</f>
        <v>19</v>
      </c>
    </row>
    <row r="46" ht="15.75" customHeight="1">
      <c r="A46" s="3">
        <f>Theory!A36</f>
        <v>31</v>
      </c>
      <c r="B46" s="3" t="str">
        <f>Theory!B36</f>
        <v>7376231EE132</v>
      </c>
      <c r="C46" s="7">
        <v>20</v>
      </c>
      <c r="D46" s="7">
        <v>20</v>
      </c>
      <c r="E46" s="7">
        <v>10</v>
      </c>
      <c r="H46" s="3">
        <v>14</v>
      </c>
      <c r="I46" s="3">
        <v>14</v>
      </c>
      <c r="J46" s="4">
        <v>6</v>
      </c>
      <c r="M46" s="7">
        <f>IF(C46="","",H46*100/C46)</f>
        <v>70</v>
      </c>
      <c r="N46" s="7">
        <f>IF(D46="","",I46*100/D46)</f>
        <v>70</v>
      </c>
      <c r="O46" s="7">
        <f>IF(E46="","",J46*100/E46)</f>
        <v>60</v>
      </c>
      <c r="P46" s="7" t="str">
        <f>IF(F46="","",K46*100/F46)</f>
        <v/>
      </c>
      <c r="Q46" s="7" t="str">
        <f>IF(G46="","",L46*100/G46)</f>
        <v/>
      </c>
      <c r="R46" s="3" t="str">
        <f>IF(M46&gt;=$E$10,"1","0")</f>
        <v>1</v>
      </c>
      <c r="S46" s="3" t="str">
        <f>IF(N46&gt;=$E$10,"1","0")</f>
        <v>1</v>
      </c>
      <c r="T46" s="3" t="str">
        <f>IF(O46&gt;=$E$10,"1","0")</f>
        <v>1</v>
      </c>
      <c r="W46" s="3">
        <f>Theory!D36</f>
        <v>34</v>
      </c>
    </row>
    <row r="47" ht="15.75" customHeight="1">
      <c r="A47" s="3">
        <f>Theory!A37</f>
        <v>32</v>
      </c>
      <c r="B47" s="3" t="str">
        <f>Theory!B37</f>
        <v>7376231EE133</v>
      </c>
      <c r="C47" s="7">
        <v>20</v>
      </c>
      <c r="D47" s="7">
        <v>20</v>
      </c>
      <c r="E47" s="7">
        <v>10</v>
      </c>
      <c r="H47" s="3">
        <v>11</v>
      </c>
      <c r="I47" s="3">
        <v>11</v>
      </c>
      <c r="J47" s="4">
        <v>6</v>
      </c>
      <c r="M47" s="7">
        <f>IF(C47="","",H47*100/C47)</f>
        <v>55</v>
      </c>
      <c r="N47" s="7">
        <f>IF(D47="","",I47*100/D47)</f>
        <v>55</v>
      </c>
      <c r="O47" s="7">
        <f>IF(E47="","",J47*100/E47)</f>
        <v>60</v>
      </c>
      <c r="P47" s="7" t="str">
        <f>IF(F47="","",K47*100/F47)</f>
        <v/>
      </c>
      <c r="Q47" s="7" t="str">
        <f>IF(G47="","",L47*100/G47)</f>
        <v/>
      </c>
      <c r="R47" s="3" t="str">
        <f>IF(M47&gt;=$E$10,"1","0")</f>
        <v>0</v>
      </c>
      <c r="S47" s="3" t="str">
        <f>IF(N47&gt;=$E$10,"1","0")</f>
        <v>0</v>
      </c>
      <c r="T47" s="3" t="str">
        <f>IF(O47&gt;=$E$10,"1","0")</f>
        <v>1</v>
      </c>
      <c r="W47" s="3">
        <f>Theory!D37</f>
        <v>28</v>
      </c>
    </row>
    <row r="48" ht="15.75" customHeight="1">
      <c r="A48" s="3">
        <f>Theory!A38</f>
        <v>33</v>
      </c>
      <c r="B48" s="3" t="str">
        <f>Theory!B38</f>
        <v>7376231EE134</v>
      </c>
      <c r="C48" s="7">
        <v>20</v>
      </c>
      <c r="D48" s="7">
        <v>20</v>
      </c>
      <c r="E48" s="7">
        <v>10</v>
      </c>
      <c r="H48" s="3">
        <v>12</v>
      </c>
      <c r="I48" s="3">
        <v>13</v>
      </c>
      <c r="J48" s="4">
        <v>5</v>
      </c>
      <c r="M48" s="7">
        <f>IF(C48="","",H48*100/C48)</f>
        <v>60</v>
      </c>
      <c r="N48" s="7">
        <f>IF(D48="","",I48*100/D48)</f>
        <v>65</v>
      </c>
      <c r="O48" s="7">
        <f>IF(E48="","",J48*100/E48)</f>
        <v>50</v>
      </c>
      <c r="P48" s="7" t="str">
        <f>IF(F48="","",K48*100/F48)</f>
        <v/>
      </c>
      <c r="Q48" s="7" t="str">
        <f>IF(G48="","",L48*100/G48)</f>
        <v/>
      </c>
      <c r="R48" s="3" t="str">
        <f>IF(M48&gt;=$E$10,"1","0")</f>
        <v>1</v>
      </c>
      <c r="S48" s="3" t="str">
        <f>IF(N48&gt;=$E$10,"1","0")</f>
        <v>1</v>
      </c>
      <c r="T48" s="3" t="str">
        <f>IF(O48&gt;=$E$10,"1","0")</f>
        <v>0</v>
      </c>
      <c r="W48" s="3">
        <f>Theory!D38</f>
        <v>30</v>
      </c>
    </row>
    <row r="49" ht="15.75" customHeight="1">
      <c r="A49" s="3">
        <f>Theory!A39</f>
        <v>34</v>
      </c>
      <c r="B49" s="3" t="str">
        <f>Theory!B39</f>
        <v>7376231EE135</v>
      </c>
      <c r="C49" s="7">
        <v>20</v>
      </c>
      <c r="D49" s="7">
        <v>20</v>
      </c>
      <c r="E49" s="7">
        <v>10</v>
      </c>
      <c r="H49" s="3">
        <v>13</v>
      </c>
      <c r="I49" s="3">
        <v>13</v>
      </c>
      <c r="J49" s="4">
        <v>6</v>
      </c>
      <c r="M49" s="7">
        <f>IF(C49="","",H49*100/C49)</f>
        <v>65</v>
      </c>
      <c r="N49" s="7">
        <f>IF(D49="","",I49*100/D49)</f>
        <v>65</v>
      </c>
      <c r="O49" s="7">
        <f>IF(E49="","",J49*100/E49)</f>
        <v>60</v>
      </c>
      <c r="P49" s="7" t="str">
        <f>IF(F49="","",K49*100/F49)</f>
        <v/>
      </c>
      <c r="Q49" s="7" t="str">
        <f>IF(G49="","",L49*100/G49)</f>
        <v/>
      </c>
      <c r="R49" s="3" t="str">
        <f>IF(M49&gt;=$E$10,"1","0")</f>
        <v>1</v>
      </c>
      <c r="S49" s="3" t="str">
        <f>IF(N49&gt;=$E$10,"1","0")</f>
        <v>1</v>
      </c>
      <c r="T49" s="3" t="str">
        <f>IF(O49&gt;=$E$10,"1","0")</f>
        <v>1</v>
      </c>
      <c r="W49" s="3">
        <f>Theory!D39</f>
        <v>32</v>
      </c>
    </row>
    <row r="50" ht="15.75" customHeight="1">
      <c r="A50" s="3">
        <f>Theory!A40</f>
        <v>35</v>
      </c>
      <c r="B50" s="3" t="str">
        <f>Theory!B40</f>
        <v>7376231EE136</v>
      </c>
      <c r="C50" s="7">
        <v>20</v>
      </c>
      <c r="D50" s="7">
        <v>20</v>
      </c>
      <c r="E50" s="7">
        <v>10</v>
      </c>
      <c r="H50" s="3">
        <v>13</v>
      </c>
      <c r="I50" s="3">
        <v>13</v>
      </c>
      <c r="J50" s="4">
        <v>7</v>
      </c>
      <c r="M50" s="7">
        <f>IF(C50="","",H50*100/C50)</f>
        <v>65</v>
      </c>
      <c r="N50" s="7">
        <f>IF(D50="","",I50*100/D50)</f>
        <v>65</v>
      </c>
      <c r="O50" s="7">
        <f>IF(E50="","",J50*100/E50)</f>
        <v>70</v>
      </c>
      <c r="P50" s="7" t="str">
        <f>IF(F50="","",K50*100/F50)</f>
        <v/>
      </c>
      <c r="Q50" s="7" t="str">
        <f>IF(G50="","",L50*100/G50)</f>
        <v/>
      </c>
      <c r="R50" s="3" t="str">
        <f>IF(M50&gt;=$E$10,"1","0")</f>
        <v>1</v>
      </c>
      <c r="S50" s="3" t="str">
        <f>IF(N50&gt;=$E$10,"1","0")</f>
        <v>1</v>
      </c>
      <c r="T50" s="3" t="str">
        <f>IF(O50&gt;=$E$10,"1","0")</f>
        <v>1</v>
      </c>
      <c r="W50" s="3">
        <f>Theory!D40</f>
        <v>33</v>
      </c>
    </row>
    <row r="51" ht="15.75" customHeight="1">
      <c r="A51" s="3">
        <f>Theory!A41</f>
        <v>36</v>
      </c>
      <c r="B51" s="3" t="str">
        <f>Theory!B41</f>
        <v>7376231EE137</v>
      </c>
      <c r="C51" s="7">
        <v>20</v>
      </c>
      <c r="D51" s="7">
        <v>20</v>
      </c>
      <c r="E51" s="7">
        <v>10</v>
      </c>
      <c r="H51" s="3">
        <v>14</v>
      </c>
      <c r="I51" s="3">
        <v>14</v>
      </c>
      <c r="J51" s="4">
        <v>6</v>
      </c>
      <c r="M51" s="7">
        <f>IF(C51="","",H51*100/C51)</f>
        <v>70</v>
      </c>
      <c r="N51" s="7">
        <f>IF(D51="","",I51*100/D51)</f>
        <v>70</v>
      </c>
      <c r="O51" s="7">
        <f>IF(E51="","",J51*100/E51)</f>
        <v>60</v>
      </c>
      <c r="P51" s="7" t="str">
        <f>IF(F51="","",K51*100/F51)</f>
        <v/>
      </c>
      <c r="Q51" s="7" t="str">
        <f>IF(G51="","",L51*100/G51)</f>
        <v/>
      </c>
      <c r="R51" s="3" t="str">
        <f>IF(M51&gt;=$E$10,"1","0")</f>
        <v>1</v>
      </c>
      <c r="S51" s="3" t="str">
        <f>IF(N51&gt;=$E$10,"1","0")</f>
        <v>1</v>
      </c>
      <c r="T51" s="3" t="str">
        <f>IF(O51&gt;=$E$10,"1","0")</f>
        <v>1</v>
      </c>
      <c r="W51" s="3">
        <f>Theory!D41</f>
        <v>34</v>
      </c>
    </row>
    <row r="52" ht="15.75" customHeight="1">
      <c r="A52" s="3">
        <f>Theory!A42</f>
        <v>37</v>
      </c>
      <c r="B52" s="3" t="str">
        <f>Theory!B42</f>
        <v>7376231EE138</v>
      </c>
      <c r="C52" s="7">
        <v>20</v>
      </c>
      <c r="D52" s="7">
        <v>20</v>
      </c>
      <c r="E52" s="7">
        <v>10</v>
      </c>
      <c r="H52" s="3">
        <v>13</v>
      </c>
      <c r="I52" s="3">
        <v>12</v>
      </c>
      <c r="J52" s="4">
        <v>6</v>
      </c>
      <c r="M52" s="7">
        <f>IF(C52="","",H52*100/C52)</f>
        <v>65</v>
      </c>
      <c r="N52" s="7">
        <f>IF(D52="","",I52*100/D52)</f>
        <v>60</v>
      </c>
      <c r="O52" s="7">
        <f>IF(E52="","",J52*100/E52)</f>
        <v>60</v>
      </c>
      <c r="P52" s="7" t="str">
        <f>IF(F52="","",K52*100/F52)</f>
        <v/>
      </c>
      <c r="Q52" s="7" t="str">
        <f>IF(G52="","",L52*100/G52)</f>
        <v/>
      </c>
      <c r="R52" s="3" t="str">
        <f>IF(M52&gt;=$E$10,"1","0")</f>
        <v>1</v>
      </c>
      <c r="S52" s="3" t="str">
        <f>IF(N52&gt;=$E$10,"1","0")</f>
        <v>1</v>
      </c>
      <c r="T52" s="3" t="str">
        <f>IF(O52&gt;=$E$10,"1","0")</f>
        <v>1</v>
      </c>
      <c r="W52" s="3">
        <f>Theory!D42</f>
        <v>31</v>
      </c>
    </row>
    <row r="53" ht="15.75" customHeight="1">
      <c r="A53" s="3">
        <f>Theory!A43</f>
        <v>38</v>
      </c>
      <c r="B53" s="3" t="str">
        <f>Theory!B43</f>
        <v>7376231EE139</v>
      </c>
      <c r="C53" s="7">
        <v>20</v>
      </c>
      <c r="D53" s="7">
        <v>20</v>
      </c>
      <c r="E53" s="7">
        <v>10</v>
      </c>
      <c r="H53" s="3">
        <v>14</v>
      </c>
      <c r="I53" s="3">
        <v>14</v>
      </c>
      <c r="J53" s="4">
        <v>6</v>
      </c>
      <c r="M53" s="7">
        <f>IF(C53="","",H53*100/C53)</f>
        <v>70</v>
      </c>
      <c r="N53" s="7">
        <f>IF(D53="","",I53*100/D53)</f>
        <v>70</v>
      </c>
      <c r="O53" s="7">
        <f>IF(E53="","",J53*100/E53)</f>
        <v>60</v>
      </c>
      <c r="P53" s="7" t="str">
        <f>IF(F53="","",K53*100/F53)</f>
        <v/>
      </c>
      <c r="Q53" s="7" t="str">
        <f>IF(G53="","",L53*100/G53)</f>
        <v/>
      </c>
      <c r="R53" s="3" t="str">
        <f>IF(M53&gt;=$E$10,"1","0")</f>
        <v>1</v>
      </c>
      <c r="S53" s="3" t="str">
        <f>IF(N53&gt;=$E$10,"1","0")</f>
        <v>1</v>
      </c>
      <c r="T53" s="3" t="str">
        <f>IF(O53&gt;=$E$10,"1","0")</f>
        <v>1</v>
      </c>
      <c r="W53" s="3">
        <f>Theory!D43</f>
        <v>34</v>
      </c>
    </row>
    <row r="54" ht="15.75" customHeight="1">
      <c r="A54" s="3">
        <f>Theory!A44</f>
        <v>39</v>
      </c>
      <c r="B54" s="3" t="str">
        <f>Theory!B44</f>
        <v>7376231EE140</v>
      </c>
      <c r="C54" s="7">
        <v>20</v>
      </c>
      <c r="D54" s="7">
        <v>20</v>
      </c>
      <c r="E54" s="7">
        <v>10</v>
      </c>
      <c r="H54" s="3">
        <v>14</v>
      </c>
      <c r="I54" s="3">
        <v>14</v>
      </c>
      <c r="J54" s="4">
        <v>6</v>
      </c>
      <c r="M54" s="7">
        <f>IF(C54="","",H54*100/C54)</f>
        <v>70</v>
      </c>
      <c r="N54" s="7">
        <f>IF(D54="","",I54*100/D54)</f>
        <v>70</v>
      </c>
      <c r="O54" s="7">
        <f>IF(E54="","",J54*100/E54)</f>
        <v>60</v>
      </c>
      <c r="P54" s="7" t="str">
        <f>IF(F54="","",K54*100/F54)</f>
        <v/>
      </c>
      <c r="Q54" s="7" t="str">
        <f>IF(G54="","",L54*100/G54)</f>
        <v/>
      </c>
      <c r="R54" s="3" t="str">
        <f>IF(M54&gt;=$E$10,"1","0")</f>
        <v>1</v>
      </c>
      <c r="S54" s="3" t="str">
        <f>IF(N54&gt;=$E$10,"1","0")</f>
        <v>1</v>
      </c>
      <c r="T54" s="3" t="str">
        <f>IF(O54&gt;=$E$10,"1","0")</f>
        <v>1</v>
      </c>
      <c r="W54" s="3">
        <f>Theory!D44</f>
        <v>34</v>
      </c>
    </row>
    <row r="55" ht="15.75" customHeight="1">
      <c r="A55" s="3">
        <f>Theory!A45</f>
        <v>40</v>
      </c>
      <c r="B55" s="3" t="str">
        <f>Theory!B45</f>
        <v>7376231EE141</v>
      </c>
      <c r="C55" s="7">
        <v>20</v>
      </c>
      <c r="D55" s="7">
        <v>20</v>
      </c>
      <c r="E55" s="7">
        <v>10</v>
      </c>
      <c r="H55" s="3">
        <v>8</v>
      </c>
      <c r="I55" s="3">
        <v>7</v>
      </c>
      <c r="J55" s="4">
        <v>4</v>
      </c>
      <c r="M55" s="7">
        <f>IF(C55="","",H55*100/C55)</f>
        <v>40</v>
      </c>
      <c r="N55" s="7">
        <f>IF(D55="","",I55*100/D55)</f>
        <v>35</v>
      </c>
      <c r="O55" s="7">
        <f>IF(E55="","",J55*100/E55)</f>
        <v>40</v>
      </c>
      <c r="P55" s="7" t="str">
        <f>IF(F55="","",K55*100/F55)</f>
        <v/>
      </c>
      <c r="Q55" s="7" t="str">
        <f>IF(G55="","",L55*100/G55)</f>
        <v/>
      </c>
      <c r="R55" s="3" t="str">
        <f>IF(M55&gt;=$E$10,"1","0")</f>
        <v>0</v>
      </c>
      <c r="S55" s="3" t="str">
        <f>IF(N55&gt;=$E$10,"1","0")</f>
        <v>0</v>
      </c>
      <c r="T55" s="3" t="str">
        <f>IF(O55&gt;=$E$10,"1","0")</f>
        <v>0</v>
      </c>
      <c r="W55" s="3">
        <f>Theory!D45</f>
        <v>19</v>
      </c>
    </row>
    <row r="56" ht="15.75" customHeight="1">
      <c r="A56" s="3">
        <f>Theory!A46</f>
        <v>41</v>
      </c>
      <c r="B56" s="3" t="str">
        <f>Theory!B46</f>
        <v>7376231EE142</v>
      </c>
      <c r="C56" s="7">
        <v>20</v>
      </c>
      <c r="D56" s="7">
        <v>20</v>
      </c>
      <c r="E56" s="7">
        <v>10</v>
      </c>
      <c r="H56" s="3">
        <v>14</v>
      </c>
      <c r="I56" s="3">
        <v>14</v>
      </c>
      <c r="J56" s="4">
        <v>7</v>
      </c>
      <c r="M56" s="7">
        <f>IF(C56="","",H56*100/C56)</f>
        <v>70</v>
      </c>
      <c r="N56" s="7">
        <f>IF(D56="","",I56*100/D56)</f>
        <v>70</v>
      </c>
      <c r="O56" s="7">
        <f>IF(E56="","",J56*100/E56)</f>
        <v>70</v>
      </c>
      <c r="P56" s="7" t="str">
        <f>IF(F56="","",K56*100/F56)</f>
        <v/>
      </c>
      <c r="Q56" s="7" t="str">
        <f>IF(G56="","",L56*100/G56)</f>
        <v/>
      </c>
      <c r="R56" s="3" t="str">
        <f>IF(M56&gt;=$E$10,"1","0")</f>
        <v>1</v>
      </c>
      <c r="S56" s="3" t="str">
        <f>IF(N56&gt;=$E$10,"1","0")</f>
        <v>1</v>
      </c>
      <c r="T56" s="3" t="str">
        <f>IF(O56&gt;=$E$10,"1","0")</f>
        <v>1</v>
      </c>
      <c r="W56" s="3">
        <f>Theory!D46</f>
        <v>35</v>
      </c>
    </row>
    <row r="57" ht="15.75" customHeight="1">
      <c r="A57" s="3">
        <f>Theory!A47</f>
        <v>42</v>
      </c>
      <c r="B57" s="3" t="str">
        <f>Theory!B47</f>
        <v>7376231EE143</v>
      </c>
      <c r="C57" s="7">
        <v>20</v>
      </c>
      <c r="D57" s="7">
        <v>20</v>
      </c>
      <c r="E57" s="7">
        <v>10</v>
      </c>
      <c r="H57" s="3">
        <v>13</v>
      </c>
      <c r="I57" s="3">
        <v>13</v>
      </c>
      <c r="J57" s="4">
        <v>6</v>
      </c>
      <c r="M57" s="7">
        <f>IF(C57="","",H57*100/C57)</f>
        <v>65</v>
      </c>
      <c r="N57" s="7">
        <f>IF(D57="","",I57*100/D57)</f>
        <v>65</v>
      </c>
      <c r="O57" s="7">
        <f>IF(E57="","",J57*100/E57)</f>
        <v>60</v>
      </c>
      <c r="P57" s="7" t="str">
        <f>IF(F57="","",K57*100/F57)</f>
        <v/>
      </c>
      <c r="Q57" s="7" t="str">
        <f>IF(G57="","",L57*100/G57)</f>
        <v/>
      </c>
      <c r="R57" s="3" t="str">
        <f>IF(M57&gt;=$E$10,"1","0")</f>
        <v>1</v>
      </c>
      <c r="S57" s="3" t="str">
        <f>IF(N57&gt;=$E$10,"1","0")</f>
        <v>1</v>
      </c>
      <c r="T57" s="3" t="str">
        <f>IF(O57&gt;=$E$10,"1","0")</f>
        <v>1</v>
      </c>
      <c r="W57" s="3">
        <f>Theory!D47</f>
        <v>32</v>
      </c>
    </row>
    <row r="58" ht="15.75" customHeight="1">
      <c r="A58" s="3">
        <f>Theory!A48</f>
        <v>43</v>
      </c>
      <c r="B58" s="3" t="str">
        <f>Theory!B48</f>
        <v>7376231EE144</v>
      </c>
      <c r="C58" s="7">
        <v>20</v>
      </c>
      <c r="D58" s="7">
        <v>20</v>
      </c>
      <c r="E58" s="7">
        <v>10</v>
      </c>
      <c r="H58" s="3">
        <v>13</v>
      </c>
      <c r="I58" s="3">
        <v>13</v>
      </c>
      <c r="J58" s="4">
        <v>7</v>
      </c>
      <c r="M58" s="7">
        <f>IF(C58="","",H58*100/C58)</f>
        <v>65</v>
      </c>
      <c r="N58" s="7">
        <f>IF(D58="","",I58*100/D58)</f>
        <v>65</v>
      </c>
      <c r="O58" s="7">
        <f>IF(E58="","",J58*100/E58)</f>
        <v>70</v>
      </c>
      <c r="P58" s="7" t="str">
        <f>IF(F58="","",K58*100/F58)</f>
        <v/>
      </c>
      <c r="Q58" s="7" t="str">
        <f>IF(G58="","",L58*100/G58)</f>
        <v/>
      </c>
      <c r="R58" s="3" t="str">
        <f>IF(M58&gt;=$E$10,"1","0")</f>
        <v>1</v>
      </c>
      <c r="S58" s="3" t="str">
        <f>IF(N58&gt;=$E$10,"1","0")</f>
        <v>1</v>
      </c>
      <c r="T58" s="3" t="str">
        <f>IF(O58&gt;=$E$10,"1","0")</f>
        <v>1</v>
      </c>
      <c r="W58" s="3">
        <f>Theory!D48</f>
        <v>33</v>
      </c>
    </row>
    <row r="59" ht="15.75" customHeight="1">
      <c r="A59" s="3">
        <f>Theory!A49</f>
        <v>44</v>
      </c>
      <c r="B59" s="3" t="str">
        <f>Theory!B49</f>
        <v>7376231EE145</v>
      </c>
      <c r="C59" s="7">
        <v>20</v>
      </c>
      <c r="D59" s="7">
        <v>20</v>
      </c>
      <c r="E59" s="7">
        <v>10</v>
      </c>
      <c r="H59" s="3">
        <v>13</v>
      </c>
      <c r="I59" s="3">
        <v>13</v>
      </c>
      <c r="J59" s="4">
        <v>6</v>
      </c>
      <c r="M59" s="7">
        <f>IF(C59="","",H59*100/C59)</f>
        <v>65</v>
      </c>
      <c r="N59" s="7">
        <f>IF(D59="","",I59*100/D59)</f>
        <v>65</v>
      </c>
      <c r="O59" s="7">
        <f>IF(E59="","",J59*100/E59)</f>
        <v>60</v>
      </c>
      <c r="P59" s="7" t="str">
        <f>IF(F59="","",K59*100/F59)</f>
        <v/>
      </c>
      <c r="Q59" s="7" t="str">
        <f>IF(G59="","",L59*100/G59)</f>
        <v/>
      </c>
      <c r="R59" s="3" t="str">
        <f>IF(M59&gt;=$E$10,"1","0")</f>
        <v>1</v>
      </c>
      <c r="S59" s="3" t="str">
        <f>IF(N59&gt;=$E$10,"1","0")</f>
        <v>1</v>
      </c>
      <c r="T59" s="3" t="str">
        <f>IF(O59&gt;=$E$10,"1","0")</f>
        <v>1</v>
      </c>
      <c r="W59" s="3">
        <f>Theory!D49</f>
        <v>32</v>
      </c>
    </row>
    <row r="60" ht="15.75" customHeight="1">
      <c r="A60" s="3">
        <f>Theory!A50</f>
        <v>45</v>
      </c>
      <c r="B60" s="3" t="str">
        <f>Theory!B50</f>
        <v>7376231EE146</v>
      </c>
      <c r="C60" s="7">
        <v>20</v>
      </c>
      <c r="D60" s="7">
        <v>20</v>
      </c>
      <c r="E60" s="7">
        <v>10</v>
      </c>
      <c r="H60" s="3">
        <v>14</v>
      </c>
      <c r="I60" s="3">
        <v>14</v>
      </c>
      <c r="J60" s="4">
        <v>6</v>
      </c>
      <c r="M60" s="7">
        <f>IF(C60="","",H60*100/C60)</f>
        <v>70</v>
      </c>
      <c r="N60" s="7">
        <f>IF(D60="","",I60*100/D60)</f>
        <v>70</v>
      </c>
      <c r="O60" s="7">
        <f>IF(E60="","",J60*100/E60)</f>
        <v>60</v>
      </c>
      <c r="P60" s="7" t="str">
        <f>IF(F60="","",K60*100/F60)</f>
        <v/>
      </c>
      <c r="Q60" s="7" t="str">
        <f>IF(G60="","",L60*100/G60)</f>
        <v/>
      </c>
      <c r="R60" s="3" t="str">
        <f>IF(M60&gt;=$E$10,"1","0")</f>
        <v>1</v>
      </c>
      <c r="S60" s="3" t="str">
        <f>IF(N60&gt;=$E$10,"1","0")</f>
        <v>1</v>
      </c>
      <c r="T60" s="3" t="str">
        <f>IF(O60&gt;=$E$10,"1","0")</f>
        <v>1</v>
      </c>
      <c r="W60" s="3">
        <f>Theory!D50</f>
        <v>34</v>
      </c>
    </row>
    <row r="61" ht="15.75" customHeight="1">
      <c r="A61" s="3">
        <f>Theory!A51</f>
        <v>46</v>
      </c>
      <c r="B61" s="3" t="str">
        <f>Theory!B51</f>
        <v>7376231EE147</v>
      </c>
      <c r="C61" s="7">
        <v>20</v>
      </c>
      <c r="D61" s="7">
        <v>20</v>
      </c>
      <c r="E61" s="7">
        <v>10</v>
      </c>
      <c r="H61" s="3">
        <v>13</v>
      </c>
      <c r="I61" s="3">
        <v>13</v>
      </c>
      <c r="J61" s="4">
        <v>7</v>
      </c>
      <c r="M61" s="7">
        <f>IF(C61="","",H61*100/C61)</f>
        <v>65</v>
      </c>
      <c r="N61" s="7">
        <f>IF(D61="","",I61*100/D61)</f>
        <v>65</v>
      </c>
      <c r="O61" s="7">
        <f>IF(E61="","",J61*100/E61)</f>
        <v>70</v>
      </c>
      <c r="P61" s="7" t="str">
        <f>IF(F61="","",K61*100/F61)</f>
        <v/>
      </c>
      <c r="Q61" s="7" t="str">
        <f>IF(G61="","",L61*100/G61)</f>
        <v/>
      </c>
      <c r="R61" s="3" t="str">
        <f>IF(M61&gt;=$E$10,"1","0")</f>
        <v>1</v>
      </c>
      <c r="S61" s="3" t="str">
        <f>IF(N61&gt;=$E$10,"1","0")</f>
        <v>1</v>
      </c>
      <c r="T61" s="3" t="str">
        <f>IF(O61&gt;=$E$10,"1","0")</f>
        <v>1</v>
      </c>
      <c r="W61" s="3">
        <f>Theory!D51</f>
        <v>33</v>
      </c>
    </row>
    <row r="62" ht="15.75" customHeight="1">
      <c r="A62" s="3">
        <f>Theory!A52</f>
        <v>47</v>
      </c>
      <c r="B62" s="3" t="str">
        <f>Theory!B52</f>
        <v>7376231EE148</v>
      </c>
      <c r="C62" s="7">
        <v>20</v>
      </c>
      <c r="D62" s="7">
        <v>20</v>
      </c>
      <c r="E62" s="7">
        <v>10</v>
      </c>
      <c r="H62" s="3">
        <v>13</v>
      </c>
      <c r="I62" s="3">
        <v>12</v>
      </c>
      <c r="J62" s="4">
        <v>6</v>
      </c>
      <c r="M62" s="7">
        <f>IF(C62="","",H62*100/C62)</f>
        <v>65</v>
      </c>
      <c r="N62" s="7">
        <f>IF(D62="","",I62*100/D62)</f>
        <v>60</v>
      </c>
      <c r="O62" s="7">
        <f>IF(E62="","",J62*100/E62)</f>
        <v>60</v>
      </c>
      <c r="P62" s="7" t="str">
        <f>IF(F62="","",K62*100/F62)</f>
        <v/>
      </c>
      <c r="Q62" s="7" t="str">
        <f>IF(G62="","",L62*100/G62)</f>
        <v/>
      </c>
      <c r="R62" s="3" t="str">
        <f>IF(M62&gt;=$E$10,"1","0")</f>
        <v>1</v>
      </c>
      <c r="S62" s="3" t="str">
        <f>IF(N62&gt;=$E$10,"1","0")</f>
        <v>1</v>
      </c>
      <c r="T62" s="3" t="str">
        <f>IF(O62&gt;=$E$10,"1","0")</f>
        <v>1</v>
      </c>
      <c r="W62" s="3">
        <f>Theory!D52</f>
        <v>31</v>
      </c>
    </row>
    <row r="63" ht="15.75" customHeight="1">
      <c r="A63" s="3">
        <f>Theory!A53</f>
        <v>48</v>
      </c>
      <c r="B63" s="3" t="str">
        <f>Theory!B53</f>
        <v>7376231EE149</v>
      </c>
      <c r="C63" s="7">
        <v>20</v>
      </c>
      <c r="D63" s="7">
        <v>20</v>
      </c>
      <c r="E63" s="7">
        <v>10</v>
      </c>
      <c r="H63" s="3">
        <v>7</v>
      </c>
      <c r="I63" s="3">
        <v>7</v>
      </c>
      <c r="J63" s="4">
        <v>4</v>
      </c>
      <c r="M63" s="7">
        <f>IF(C63="","",H63*100/C63)</f>
        <v>35</v>
      </c>
      <c r="N63" s="7">
        <f>IF(D63="","",I63*100/D63)</f>
        <v>35</v>
      </c>
      <c r="O63" s="7">
        <f>IF(E63="","",J63*100/E63)</f>
        <v>40</v>
      </c>
      <c r="P63" s="7" t="str">
        <f>IF(F63="","",K63*100/F63)</f>
        <v/>
      </c>
      <c r="Q63" s="7" t="str">
        <f>IF(G63="","",L63*100/G63)</f>
        <v/>
      </c>
      <c r="R63" s="3" t="str">
        <f>IF(M63&gt;=$E$10,"1","0")</f>
        <v>0</v>
      </c>
      <c r="S63" s="3" t="str">
        <f>IF(N63&gt;=$E$10,"1","0")</f>
        <v>0</v>
      </c>
      <c r="T63" s="3" t="str">
        <f>IF(O63&gt;=$E$10,"1","0")</f>
        <v>0</v>
      </c>
      <c r="W63" s="3">
        <f>Theory!D53</f>
        <v>18</v>
      </c>
    </row>
    <row r="64" ht="15.75" customHeight="1">
      <c r="A64" s="3">
        <f>Theory!A54</f>
        <v>49</v>
      </c>
      <c r="B64" s="3" t="str">
        <f>Theory!B54</f>
        <v>7376231EE150</v>
      </c>
      <c r="C64" s="7">
        <v>20</v>
      </c>
      <c r="D64" s="7">
        <v>20</v>
      </c>
      <c r="E64" s="7">
        <v>10</v>
      </c>
      <c r="H64" s="3">
        <v>11</v>
      </c>
      <c r="I64" s="3">
        <v>11</v>
      </c>
      <c r="J64" s="4">
        <v>6</v>
      </c>
      <c r="M64" s="7">
        <f>IF(C64="","",H64*100/C64)</f>
        <v>55</v>
      </c>
      <c r="N64" s="7">
        <f>IF(D64="","",I64*100/D64)</f>
        <v>55</v>
      </c>
      <c r="O64" s="7">
        <f>IF(E64="","",J64*100/E64)</f>
        <v>60</v>
      </c>
      <c r="P64" s="7" t="str">
        <f>IF(F64="","",K64*100/F64)</f>
        <v/>
      </c>
      <c r="Q64" s="7" t="str">
        <f>IF(G64="","",L64*100/G64)</f>
        <v/>
      </c>
      <c r="R64" s="3" t="str">
        <f>IF(M64&gt;=$E$10,"1","0")</f>
        <v>0</v>
      </c>
      <c r="S64" s="3" t="str">
        <f>IF(N64&gt;=$E$10,"1","0")</f>
        <v>0</v>
      </c>
      <c r="T64" s="3" t="str">
        <f>IF(O64&gt;=$E$10,"1","0")</f>
        <v>1</v>
      </c>
      <c r="W64" s="3">
        <f>Theory!D54</f>
        <v>28</v>
      </c>
    </row>
    <row r="65" ht="15.75" customHeight="1">
      <c r="A65" s="3">
        <f>Theory!A55</f>
        <v>50</v>
      </c>
      <c r="B65" s="3" t="str">
        <f>Theory!B55</f>
        <v>7376231EE151</v>
      </c>
      <c r="C65" s="7">
        <v>20</v>
      </c>
      <c r="D65" s="7">
        <v>20</v>
      </c>
      <c r="E65" s="7">
        <v>10</v>
      </c>
      <c r="H65" s="3">
        <v>9</v>
      </c>
      <c r="I65" s="3">
        <v>9</v>
      </c>
      <c r="J65" s="4">
        <v>3</v>
      </c>
      <c r="M65" s="7">
        <f>IF(C65="","",H65*100/C65)</f>
        <v>45</v>
      </c>
      <c r="N65" s="7">
        <f>IF(D65="","",I65*100/D65)</f>
        <v>45</v>
      </c>
      <c r="O65" s="7">
        <f>IF(E65="","",J65*100/E65)</f>
        <v>30</v>
      </c>
      <c r="P65" s="7" t="str">
        <f>IF(F65="","",K65*100/F65)</f>
        <v/>
      </c>
      <c r="Q65" s="7" t="str">
        <f>IF(G65="","",L65*100/G65)</f>
        <v/>
      </c>
      <c r="R65" s="3" t="str">
        <f>IF(M65&gt;=$E$10,"1","0")</f>
        <v>0</v>
      </c>
      <c r="S65" s="3" t="str">
        <f>IF(N65&gt;=$E$10,"1","0")</f>
        <v>0</v>
      </c>
      <c r="T65" s="3" t="str">
        <f>IF(O65&gt;=$E$10,"1","0")</f>
        <v>0</v>
      </c>
      <c r="W65" s="3">
        <f>Theory!D55</f>
        <v>21</v>
      </c>
    </row>
    <row r="66" ht="15.75" customHeight="1">
      <c r="A66" s="3">
        <f>Theory!A56</f>
        <v>51</v>
      </c>
      <c r="B66" s="3" t="str">
        <f>Theory!B56</f>
        <v>7376231EE152</v>
      </c>
      <c r="C66" s="7">
        <v>20</v>
      </c>
      <c r="D66" s="7">
        <v>20</v>
      </c>
      <c r="E66" s="7">
        <v>10</v>
      </c>
      <c r="H66" s="3">
        <v>13</v>
      </c>
      <c r="I66" s="3">
        <v>13</v>
      </c>
      <c r="J66" s="4">
        <v>7</v>
      </c>
      <c r="M66" s="7">
        <f>IF(C66="","",H66*100/C66)</f>
        <v>65</v>
      </c>
      <c r="N66" s="7">
        <f>IF(D66="","",I66*100/D66)</f>
        <v>65</v>
      </c>
      <c r="O66" s="7">
        <f>IF(E66="","",J66*100/E66)</f>
        <v>70</v>
      </c>
      <c r="P66" s="7" t="str">
        <f>IF(F66="","",K66*100/F66)</f>
        <v/>
      </c>
      <c r="Q66" s="7" t="str">
        <f>IF(G66="","",L66*100/G66)</f>
        <v/>
      </c>
      <c r="R66" s="3" t="str">
        <f>IF(M66&gt;=$E$10,"1","0")</f>
        <v>1</v>
      </c>
      <c r="S66" s="3" t="str">
        <f>IF(N66&gt;=$E$10,"1","0")</f>
        <v>1</v>
      </c>
      <c r="T66" s="3" t="str">
        <f>IF(O66&gt;=$E$10,"1","0")</f>
        <v>1</v>
      </c>
      <c r="W66" s="3">
        <f>Theory!D56</f>
        <v>33</v>
      </c>
    </row>
    <row r="67" ht="15.75" customHeight="1">
      <c r="A67" s="3">
        <f>Theory!A57</f>
        <v>52</v>
      </c>
      <c r="B67" s="3" t="str">
        <f>Theory!B57</f>
        <v>7376231EE153</v>
      </c>
      <c r="C67" s="7">
        <v>20</v>
      </c>
      <c r="D67" s="7">
        <v>20</v>
      </c>
      <c r="E67" s="7">
        <v>10</v>
      </c>
      <c r="H67" s="3">
        <v>11</v>
      </c>
      <c r="I67" s="3">
        <v>11</v>
      </c>
      <c r="J67" s="4">
        <v>6</v>
      </c>
      <c r="M67" s="7">
        <f>IF(C67="","",H67*100/C67)</f>
        <v>55</v>
      </c>
      <c r="N67" s="7">
        <f>IF(D67="","",I67*100/D67)</f>
        <v>55</v>
      </c>
      <c r="O67" s="7">
        <f>IF(E67="","",J67*100/E67)</f>
        <v>60</v>
      </c>
      <c r="P67" s="7" t="str">
        <f>IF(F67="","",K67*100/F67)</f>
        <v/>
      </c>
      <c r="Q67" s="7" t="str">
        <f>IF(G67="","",L67*100/G67)</f>
        <v/>
      </c>
      <c r="R67" s="3" t="str">
        <f>IF(M67&gt;=$E$10,"1","0")</f>
        <v>0</v>
      </c>
      <c r="S67" s="3" t="str">
        <f>IF(N67&gt;=$E$10,"1","0")</f>
        <v>0</v>
      </c>
      <c r="T67" s="3" t="str">
        <f>IF(O67&gt;=$E$10,"1","0")</f>
        <v>1</v>
      </c>
      <c r="W67" s="3">
        <f>Theory!D57</f>
        <v>28</v>
      </c>
    </row>
    <row r="68" ht="15.75" customHeight="1">
      <c r="A68" s="3">
        <f>Theory!A58</f>
        <v>53</v>
      </c>
      <c r="B68" s="3" t="str">
        <f>Theory!B58</f>
        <v>7376231EE154</v>
      </c>
      <c r="C68" s="7">
        <v>20</v>
      </c>
      <c r="D68" s="7">
        <v>20</v>
      </c>
      <c r="E68" s="7">
        <v>10</v>
      </c>
      <c r="H68" s="3">
        <v>11</v>
      </c>
      <c r="I68" s="3">
        <v>11</v>
      </c>
      <c r="J68" s="4">
        <v>6</v>
      </c>
      <c r="M68" s="7">
        <f>IF(C68="","",H68*100/C68)</f>
        <v>55</v>
      </c>
      <c r="N68" s="7">
        <f>IF(D68="","",I68*100/D68)</f>
        <v>55</v>
      </c>
      <c r="O68" s="7">
        <f>IF(E68="","",J68*100/E68)</f>
        <v>60</v>
      </c>
      <c r="P68" s="7" t="str">
        <f>IF(F68="","",K68*100/F68)</f>
        <v/>
      </c>
      <c r="Q68" s="7" t="str">
        <f>IF(G68="","",L68*100/G68)</f>
        <v/>
      </c>
      <c r="R68" s="3" t="str">
        <f>IF(M68&gt;=$E$10,"1","0")</f>
        <v>0</v>
      </c>
      <c r="S68" s="3" t="str">
        <f>IF(N68&gt;=$E$10,"1","0")</f>
        <v>0</v>
      </c>
      <c r="T68" s="3" t="str">
        <f>IF(O68&gt;=$E$10,"1","0")</f>
        <v>1</v>
      </c>
      <c r="W68" s="3">
        <f>Theory!D58</f>
        <v>28</v>
      </c>
    </row>
    <row r="69" ht="15.75" customHeight="1">
      <c r="A69" s="3">
        <f>Theory!A59</f>
        <v>54</v>
      </c>
      <c r="B69" s="3" t="str">
        <f>Theory!B59</f>
        <v>7376231EE155</v>
      </c>
      <c r="C69" s="7">
        <v>20</v>
      </c>
      <c r="D69" s="7">
        <v>20</v>
      </c>
      <c r="E69" s="7">
        <v>10</v>
      </c>
      <c r="H69" s="3">
        <v>12</v>
      </c>
      <c r="I69" s="3">
        <v>11</v>
      </c>
      <c r="J69" s="4">
        <v>6</v>
      </c>
      <c r="M69" s="7">
        <f>IF(C69="","",H69*100/C69)</f>
        <v>60</v>
      </c>
      <c r="N69" s="7">
        <f>IF(D69="","",I69*100/D69)</f>
        <v>55</v>
      </c>
      <c r="O69" s="7">
        <f>IF(E69="","",J69*100/E69)</f>
        <v>60</v>
      </c>
      <c r="P69" s="7" t="str">
        <f>IF(F69="","",K69*100/F69)</f>
        <v/>
      </c>
      <c r="Q69" s="7" t="str">
        <f>IF(G69="","",L69*100/G69)</f>
        <v/>
      </c>
      <c r="R69" s="3" t="str">
        <f>IF(M69&gt;=$E$10,"1","0")</f>
        <v>1</v>
      </c>
      <c r="S69" s="3" t="str">
        <f>IF(N69&gt;=$E$10,"1","0")</f>
        <v>0</v>
      </c>
      <c r="T69" s="3" t="str">
        <f>IF(O69&gt;=$E$10,"1","0")</f>
        <v>1</v>
      </c>
      <c r="W69" s="3">
        <f>Theory!D59</f>
        <v>29</v>
      </c>
    </row>
    <row r="70" ht="15.75" customHeight="1">
      <c r="A70" s="3">
        <f>Theory!A60</f>
        <v>55</v>
      </c>
      <c r="B70" s="3" t="str">
        <f>Theory!B60</f>
        <v>7376231EE156</v>
      </c>
      <c r="C70" s="7">
        <v>20</v>
      </c>
      <c r="D70" s="7">
        <v>20</v>
      </c>
      <c r="E70" s="7">
        <v>10</v>
      </c>
      <c r="H70" s="3">
        <v>14</v>
      </c>
      <c r="I70" s="3">
        <v>14</v>
      </c>
      <c r="J70" s="4">
        <v>6</v>
      </c>
      <c r="M70" s="7">
        <f>IF(C70="","",H70*100/C70)</f>
        <v>70</v>
      </c>
      <c r="N70" s="7">
        <f>IF(D70="","",I70*100/D70)</f>
        <v>70</v>
      </c>
      <c r="O70" s="7">
        <f>IF(E70="","",J70*100/E70)</f>
        <v>60</v>
      </c>
      <c r="P70" s="7" t="str">
        <f>IF(F70="","",K70*100/F70)</f>
        <v/>
      </c>
      <c r="Q70" s="7" t="str">
        <f>IF(G70="","",L70*100/G70)</f>
        <v/>
      </c>
      <c r="R70" s="3" t="str">
        <f>IF(M70&gt;=$E$10,"1","0")</f>
        <v>1</v>
      </c>
      <c r="S70" s="3" t="str">
        <f>IF(N70&gt;=$E$10,"1","0")</f>
        <v>1</v>
      </c>
      <c r="T70" s="3" t="str">
        <f>IF(O70&gt;=$E$10,"1","0")</f>
        <v>1</v>
      </c>
      <c r="W70" s="3">
        <f>Theory!D60</f>
        <v>34</v>
      </c>
    </row>
    <row r="71" ht="15.75" customHeight="1">
      <c r="A71" s="3">
        <f>Theory!A61</f>
        <v>56</v>
      </c>
      <c r="B71" s="3" t="str">
        <f>Theory!B61</f>
        <v>7376231EE157</v>
      </c>
      <c r="C71" s="7">
        <v>20</v>
      </c>
      <c r="D71" s="7">
        <v>20</v>
      </c>
      <c r="E71" s="7">
        <v>10</v>
      </c>
      <c r="H71" s="3">
        <v>13</v>
      </c>
      <c r="I71" s="3">
        <v>13</v>
      </c>
      <c r="J71" s="4">
        <v>7</v>
      </c>
      <c r="M71" s="7">
        <f>IF(C71="","",H71*100/C71)</f>
        <v>65</v>
      </c>
      <c r="N71" s="7">
        <f>IF(D71="","",I71*100/D71)</f>
        <v>65</v>
      </c>
      <c r="O71" s="7">
        <f>IF(E71="","",J71*100/E71)</f>
        <v>70</v>
      </c>
      <c r="P71" s="7" t="str">
        <f>IF(F71="","",K71*100/F71)</f>
        <v/>
      </c>
      <c r="Q71" s="7" t="str">
        <f>IF(G71="","",L71*100/G71)</f>
        <v/>
      </c>
      <c r="R71" s="3" t="str">
        <f>IF(M71&gt;=$E$10,"1","0")</f>
        <v>1</v>
      </c>
      <c r="S71" s="3" t="str">
        <f>IF(N71&gt;=$E$10,"1","0")</f>
        <v>1</v>
      </c>
      <c r="T71" s="3" t="str">
        <f>IF(O71&gt;=$E$10,"1","0")</f>
        <v>1</v>
      </c>
      <c r="W71" s="3">
        <f>Theory!D61</f>
        <v>33</v>
      </c>
    </row>
    <row r="72" ht="15.75" customHeight="1">
      <c r="A72" s="3">
        <f>Theory!A62</f>
        <v>57</v>
      </c>
      <c r="B72" s="3" t="str">
        <f>Theory!B62</f>
        <v>7376231EE158</v>
      </c>
      <c r="C72" s="7">
        <v>20</v>
      </c>
      <c r="D72" s="7">
        <v>20</v>
      </c>
      <c r="E72" s="7">
        <v>10</v>
      </c>
      <c r="H72" s="3">
        <v>11</v>
      </c>
      <c r="I72" s="3">
        <v>10</v>
      </c>
      <c r="J72" s="4">
        <v>5</v>
      </c>
      <c r="M72" s="7">
        <f>IF(C72="","",H72*100/C72)</f>
        <v>55</v>
      </c>
      <c r="N72" s="7">
        <f>IF(D72="","",I72*100/D72)</f>
        <v>50</v>
      </c>
      <c r="O72" s="7">
        <f>IF(E72="","",J72*100/E72)</f>
        <v>50</v>
      </c>
      <c r="P72" s="7" t="str">
        <f>IF(F72="","",K72*100/F72)</f>
        <v/>
      </c>
      <c r="Q72" s="7" t="str">
        <f>IF(G72="","",L72*100/G72)</f>
        <v/>
      </c>
      <c r="R72" s="3" t="str">
        <f>IF(M72&gt;=$E$10,"1","0")</f>
        <v>0</v>
      </c>
      <c r="S72" s="3" t="str">
        <f>IF(N72&gt;=$E$10,"1","0")</f>
        <v>0</v>
      </c>
      <c r="T72" s="3" t="str">
        <f>IF(O72&gt;=$E$10,"1","0")</f>
        <v>0</v>
      </c>
      <c r="W72" s="3">
        <f>Theory!D62</f>
        <v>26</v>
      </c>
    </row>
    <row r="73" ht="15.75" customHeight="1">
      <c r="A73" s="3">
        <f>Theory!A63</f>
        <v>58</v>
      </c>
      <c r="B73" s="3" t="str">
        <f>Theory!B63</f>
        <v>7376231EE159</v>
      </c>
      <c r="C73" s="7">
        <v>20</v>
      </c>
      <c r="D73" s="7">
        <v>20</v>
      </c>
      <c r="E73" s="7">
        <v>10</v>
      </c>
      <c r="H73" s="3">
        <v>11</v>
      </c>
      <c r="I73" s="3">
        <v>10</v>
      </c>
      <c r="J73" s="4">
        <v>5</v>
      </c>
      <c r="M73" s="7">
        <f>IF(C73="","",H73*100/C73)</f>
        <v>55</v>
      </c>
      <c r="N73" s="7">
        <f>IF(D73="","",I73*100/D73)</f>
        <v>50</v>
      </c>
      <c r="O73" s="7">
        <f>IF(E73="","",J73*100/E73)</f>
        <v>50</v>
      </c>
      <c r="P73" s="7" t="str">
        <f>IF(F73="","",K73*100/F73)</f>
        <v/>
      </c>
      <c r="Q73" s="7" t="str">
        <f>IF(G73="","",L73*100/G73)</f>
        <v/>
      </c>
      <c r="R73" s="3" t="str">
        <f>IF(M73&gt;=$E$10,"1","0")</f>
        <v>0</v>
      </c>
      <c r="S73" s="3" t="str">
        <f>IF(N73&gt;=$E$10,"1","0")</f>
        <v>0</v>
      </c>
      <c r="T73" s="3" t="str">
        <f>IF(O73&gt;=$E$10,"1","0")</f>
        <v>0</v>
      </c>
      <c r="W73" s="3">
        <f>Theory!D63</f>
        <v>26</v>
      </c>
    </row>
    <row r="74" ht="15.75" customHeight="1">
      <c r="A74" s="3">
        <f>Theory!A64</f>
        <v>59</v>
      </c>
      <c r="B74" s="3" t="str">
        <f>Theory!B64</f>
        <v>7376231EE160</v>
      </c>
      <c r="C74" s="7">
        <v>20</v>
      </c>
      <c r="D74" s="7">
        <v>20</v>
      </c>
      <c r="E74" s="7">
        <v>10</v>
      </c>
      <c r="H74" s="3">
        <v>9</v>
      </c>
      <c r="I74" s="3">
        <v>10</v>
      </c>
      <c r="J74" s="4">
        <v>6</v>
      </c>
      <c r="M74" s="7">
        <f>IF(C74="","",H74*100/C74)</f>
        <v>45</v>
      </c>
      <c r="N74" s="7">
        <f>IF(D74="","",I74*100/D74)</f>
        <v>50</v>
      </c>
      <c r="O74" s="7">
        <f>IF(E74="","",J74*100/E74)</f>
        <v>60</v>
      </c>
      <c r="P74" s="7" t="str">
        <f>IF(F74="","",K74*100/F74)</f>
        <v/>
      </c>
      <c r="Q74" s="7" t="str">
        <f>IF(G74="","",L74*100/G74)</f>
        <v/>
      </c>
      <c r="R74" s="3" t="str">
        <f>IF(M74&gt;=$E$10,"1","0")</f>
        <v>0</v>
      </c>
      <c r="S74" s="3" t="str">
        <f>IF(N74&gt;=$E$10,"1","0")</f>
        <v>0</v>
      </c>
      <c r="T74" s="3" t="str">
        <f>IF(O74&gt;=$E$10,"1","0")</f>
        <v>1</v>
      </c>
      <c r="W74" s="3">
        <f>Theory!D64</f>
        <v>25</v>
      </c>
    </row>
    <row r="75" ht="15.75" customHeight="1">
      <c r="A75" s="3">
        <f>Theory!A65</f>
        <v>60</v>
      </c>
      <c r="B75" s="3" t="str">
        <f>Theory!B65</f>
        <v>7376231EE161</v>
      </c>
      <c r="C75" s="7">
        <v>20</v>
      </c>
      <c r="D75" s="7">
        <v>20</v>
      </c>
      <c r="E75" s="7">
        <v>10</v>
      </c>
      <c r="H75" s="3">
        <v>11</v>
      </c>
      <c r="I75" s="3">
        <v>11</v>
      </c>
      <c r="J75" s="4">
        <v>6</v>
      </c>
      <c r="M75" s="7">
        <f>IF(C75="","",H75*100/C75)</f>
        <v>55</v>
      </c>
      <c r="N75" s="7">
        <f>IF(D75="","",I75*100/D75)</f>
        <v>55</v>
      </c>
      <c r="O75" s="7">
        <f>IF(E75="","",J75*100/E75)</f>
        <v>60</v>
      </c>
      <c r="P75" s="7" t="str">
        <f>IF(F75="","",K75*100/F75)</f>
        <v/>
      </c>
      <c r="Q75" s="7" t="str">
        <f>IF(G75="","",L75*100/G75)</f>
        <v/>
      </c>
      <c r="R75" s="3" t="str">
        <f>IF(M75&gt;=$E$10,"1","0")</f>
        <v>0</v>
      </c>
      <c r="S75" s="3" t="str">
        <f>IF(N75&gt;=$E$10,"1","0")</f>
        <v>0</v>
      </c>
      <c r="T75" s="3" t="str">
        <f>IF(O75&gt;=$E$10,"1","0")</f>
        <v>1</v>
      </c>
      <c r="W75" s="3">
        <f>Theory!D65</f>
        <v>28</v>
      </c>
    </row>
    <row r="76" ht="15.75" customHeight="1">
      <c r="A76" s="3">
        <f>Theory!A66</f>
        <v>61</v>
      </c>
      <c r="B76" s="3" t="str">
        <f>Theory!B66</f>
        <v>7376241EE501</v>
      </c>
      <c r="C76" s="7">
        <v>20</v>
      </c>
      <c r="D76" s="7">
        <v>20</v>
      </c>
      <c r="E76" s="7">
        <v>10</v>
      </c>
      <c r="H76" s="3">
        <v>11</v>
      </c>
      <c r="I76" s="3">
        <v>10</v>
      </c>
      <c r="J76" s="4">
        <v>5</v>
      </c>
      <c r="M76" s="7">
        <f>IF(C76="","",H76*100/C76)</f>
        <v>55</v>
      </c>
      <c r="N76" s="7">
        <f>IF(D76="","",I76*100/D76)</f>
        <v>50</v>
      </c>
      <c r="O76" s="7">
        <f>IF(E76="","",J76*100/E76)</f>
        <v>50</v>
      </c>
      <c r="P76" s="7" t="str">
        <f>IF(F76="","",K76*100/F76)</f>
        <v/>
      </c>
      <c r="Q76" s="7" t="str">
        <f>IF(G76="","",L76*100/G76)</f>
        <v/>
      </c>
      <c r="R76" s="3" t="str">
        <f>IF(M76&gt;=$E$10,"1","0")</f>
        <v>0</v>
      </c>
      <c r="S76" s="3" t="str">
        <f>IF(N76&gt;=$E$10,"1","0")</f>
        <v>0</v>
      </c>
      <c r="T76" s="3" t="str">
        <f>IF(O76&gt;=$E$10,"1","0")</f>
        <v>0</v>
      </c>
      <c r="W76" s="3">
        <f>Theory!D66</f>
        <v>26</v>
      </c>
    </row>
    <row r="77" ht="15.75" customHeight="1">
      <c r="A77" s="3">
        <f>Theory!A67</f>
        <v>62</v>
      </c>
      <c r="B77" s="3" t="str">
        <f>Theory!B67</f>
        <v>7376241EE502</v>
      </c>
      <c r="C77" s="7">
        <v>20</v>
      </c>
      <c r="D77" s="7">
        <v>20</v>
      </c>
      <c r="E77" s="7">
        <v>10</v>
      </c>
      <c r="H77" s="3">
        <v>11</v>
      </c>
      <c r="I77" s="3">
        <v>8</v>
      </c>
      <c r="J77" s="4">
        <v>3</v>
      </c>
      <c r="M77" s="7">
        <f>IF(C77="","",H77*100/C77)</f>
        <v>55</v>
      </c>
      <c r="N77" s="7">
        <f>IF(D77="","",I77*100/D77)</f>
        <v>40</v>
      </c>
      <c r="O77" s="7">
        <f>IF(E77="","",J77*100/E77)</f>
        <v>30</v>
      </c>
      <c r="P77" s="7" t="str">
        <f>IF(F77="","",K77*100/F77)</f>
        <v/>
      </c>
      <c r="Q77" s="7" t="str">
        <f>IF(G77="","",L77*100/G77)</f>
        <v/>
      </c>
      <c r="R77" s="3" t="str">
        <f>IF(M77&gt;=$E$10,"1","0")</f>
        <v>0</v>
      </c>
      <c r="S77" s="3" t="str">
        <f>IF(N77&gt;=$E$10,"1","0")</f>
        <v>0</v>
      </c>
      <c r="T77" s="3" t="str">
        <f>IF(O77&gt;=$E$10,"1","0")</f>
        <v>0</v>
      </c>
      <c r="W77" s="3">
        <f>Theory!D67</f>
        <v>22</v>
      </c>
    </row>
    <row r="78" ht="15.75" customHeight="1">
      <c r="A78" s="3">
        <f>Theory!A68</f>
        <v>63</v>
      </c>
      <c r="B78" s="3" t="str">
        <f>Theory!B68</f>
        <v>7376241EE503</v>
      </c>
      <c r="C78" s="7">
        <v>20</v>
      </c>
      <c r="D78" s="7">
        <v>20</v>
      </c>
      <c r="E78" s="7">
        <v>10</v>
      </c>
      <c r="H78" s="3">
        <v>11</v>
      </c>
      <c r="I78" s="3">
        <v>8</v>
      </c>
      <c r="J78" s="4">
        <v>3</v>
      </c>
      <c r="M78" s="7">
        <f>IF(C78="","",H78*100/C78)</f>
        <v>55</v>
      </c>
      <c r="N78" s="7">
        <f>IF(D78="","",I78*100/D78)</f>
        <v>40</v>
      </c>
      <c r="O78" s="7">
        <f>IF(E78="","",J78*100/E78)</f>
        <v>30</v>
      </c>
      <c r="P78" s="7" t="str">
        <f>IF(F78="","",K78*100/F78)</f>
        <v/>
      </c>
      <c r="Q78" s="7" t="str">
        <f>IF(G78="","",L78*100/G78)</f>
        <v/>
      </c>
      <c r="R78" s="3" t="str">
        <f>IF(M78&gt;=$E$10,"1","0")</f>
        <v>0</v>
      </c>
      <c r="S78" s="3" t="str">
        <f>IF(N78&gt;=$E$10,"1","0")</f>
        <v>0</v>
      </c>
      <c r="T78" s="3" t="str">
        <f>IF(O78&gt;=$E$10,"1","0")</f>
        <v>0</v>
      </c>
      <c r="W78" s="3">
        <f>Theory!D68</f>
        <v>22</v>
      </c>
    </row>
    <row r="79" ht="15.75" customHeight="1">
      <c r="A79" s="3">
        <f>Theory!A69</f>
        <v>64</v>
      </c>
      <c r="B79" s="3" t="str">
        <f>Theory!B69</f>
        <v>7376241EE504</v>
      </c>
      <c r="C79" s="7">
        <v>20</v>
      </c>
      <c r="D79" s="7">
        <v>20</v>
      </c>
      <c r="E79" s="7">
        <v>10</v>
      </c>
      <c r="H79" s="3">
        <v>12</v>
      </c>
      <c r="I79" s="3">
        <v>11</v>
      </c>
      <c r="J79" s="4">
        <v>6</v>
      </c>
      <c r="M79" s="7">
        <f>IF(C79="","",H79*100/C79)</f>
        <v>60</v>
      </c>
      <c r="N79" s="7">
        <f>IF(D79="","",I79*100/D79)</f>
        <v>55</v>
      </c>
      <c r="O79" s="7">
        <f>IF(E79="","",J79*100/E79)</f>
        <v>60</v>
      </c>
      <c r="P79" s="7" t="str">
        <f>IF(F79="","",K79*100/F79)</f>
        <v/>
      </c>
      <c r="Q79" s="7" t="str">
        <f>IF(G79="","",L79*100/G79)</f>
        <v/>
      </c>
      <c r="R79" s="3" t="str">
        <f>IF(M79&gt;=$E$10,"1","0")</f>
        <v>1</v>
      </c>
      <c r="S79" s="3" t="str">
        <f>IF(N79&gt;=$E$10,"1","0")</f>
        <v>0</v>
      </c>
      <c r="T79" s="3" t="str">
        <f>IF(O79&gt;=$E$10,"1","0")</f>
        <v>1</v>
      </c>
      <c r="W79" s="3">
        <f>Theory!D69</f>
        <v>29</v>
      </c>
    </row>
    <row r="80" ht="15.75" customHeight="1">
      <c r="A80" s="3">
        <f>Theory!A70</f>
        <v>65</v>
      </c>
      <c r="B80" s="3" t="str">
        <f>Theory!B70</f>
        <v>7376241EE505</v>
      </c>
      <c r="C80" s="7">
        <v>20</v>
      </c>
      <c r="D80" s="7">
        <v>20</v>
      </c>
      <c r="E80" s="7">
        <v>10</v>
      </c>
      <c r="H80" s="3">
        <v>13</v>
      </c>
      <c r="I80" s="3">
        <v>12</v>
      </c>
      <c r="J80" s="4">
        <v>6</v>
      </c>
      <c r="M80" s="7">
        <f>IF(C80="","",H80*100/C80)</f>
        <v>65</v>
      </c>
      <c r="N80" s="7">
        <f>IF(D80="","",I80*100/D80)</f>
        <v>60</v>
      </c>
      <c r="O80" s="7">
        <f>IF(E80="","",J80*100/E80)</f>
        <v>60</v>
      </c>
      <c r="P80" s="7" t="str">
        <f>IF(F80="","",K80*100/F80)</f>
        <v/>
      </c>
      <c r="Q80" s="7" t="str">
        <f>IF(G80="","",L80*100/G80)</f>
        <v/>
      </c>
      <c r="R80" s="3" t="str">
        <f>IF(M80&gt;=$E$10,"1","0")</f>
        <v>1</v>
      </c>
      <c r="S80" s="3" t="str">
        <f>IF(N80&gt;=$E$10,"1","0")</f>
        <v>1</v>
      </c>
      <c r="T80" s="3" t="str">
        <f>IF(O80&gt;=$E$10,"1","0")</f>
        <v>1</v>
      </c>
      <c r="W80" s="3">
        <f>Theory!D70</f>
        <v>31</v>
      </c>
    </row>
    <row r="81" ht="15.75" customHeight="1">
      <c r="A81" s="3">
        <f>Theory!A71</f>
        <v>66</v>
      </c>
      <c r="B81" s="3" t="str">
        <f>Theory!B71</f>
        <v>7376241EE506</v>
      </c>
      <c r="C81" s="7">
        <v>20</v>
      </c>
      <c r="D81" s="7">
        <v>20</v>
      </c>
      <c r="E81" s="7">
        <v>10</v>
      </c>
      <c r="H81" s="3">
        <v>11</v>
      </c>
      <c r="I81" s="3">
        <v>11</v>
      </c>
      <c r="J81" s="4">
        <v>5</v>
      </c>
      <c r="M81" s="7">
        <f>IF(C81="","",H81*100/C81)</f>
        <v>55</v>
      </c>
      <c r="N81" s="7">
        <f>IF(D81="","",I81*100/D81)</f>
        <v>55</v>
      </c>
      <c r="O81" s="7">
        <f>IF(E81="","",J81*100/E81)</f>
        <v>50</v>
      </c>
      <c r="P81" s="7" t="str">
        <f>IF(F81="","",K81*100/F81)</f>
        <v/>
      </c>
      <c r="Q81" s="7" t="str">
        <f>IF(G81="","",L81*100/G81)</f>
        <v/>
      </c>
      <c r="R81" s="3" t="str">
        <f>IF(M81&gt;=$E$10,"1","0")</f>
        <v>0</v>
      </c>
      <c r="S81" s="3" t="str">
        <f>IF(N81&gt;=$E$10,"1","0")</f>
        <v>0</v>
      </c>
      <c r="T81" s="3" t="str">
        <f>IF(O81&gt;=$E$10,"1","0")</f>
        <v>0</v>
      </c>
      <c r="W81" s="3">
        <f>Theory!D71</f>
        <v>27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Theory</vt:lpstr>
      <vt:lpstr>Graph</vt:lpstr>
      <vt:lpstr>IP</vt:lpstr>
      <vt:lpstr>Test 1</vt:lpstr>
      <vt:lpstr>Test 2</vt:lpstr>
      <vt:lpstr>IP1</vt:lpstr>
      <vt:lpstr>IP2</vt:lpstr>
      <vt:lpstr>ESM</vt:lpstr>
      <vt:lpstr>Final Attainment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2026-03-23T11:16:08Z</dcterms:modified>
  <cp:lastModifiedBy>user</cp:lastModifiedBy>
</cp:coreProperties>
</file>